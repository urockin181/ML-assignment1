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capgemini-my.sharepoint.com/personal/ibrahim_eltohamy_capgemini_com/Documents/Desktop/"/>
    </mc:Choice>
  </mc:AlternateContent>
  <xr:revisionPtr revIDLastSave="0" documentId="8_{A896CACF-3E5E-448C-9428-E92AA0DDF602}" xr6:coauthVersionLast="47" xr6:coauthVersionMax="47" xr10:uidLastSave="{00000000-0000-0000-0000-000000000000}"/>
  <bookViews>
    <workbookView xWindow="-108" yWindow="-108" windowWidth="23256" windowHeight="12456" firstSheet="8" activeTab="8" xr2:uid="{00000000-000D-0000-FFFF-FFFF00000000}"/>
  </bookViews>
  <sheets>
    <sheet name="Ramp-Up Plan" sheetId="5" r:id="rId1"/>
    <sheet name="Roles Overview " sheetId="8" r:id="rId2"/>
    <sheet name="Executive Dashboard" sheetId="1" r:id="rId3"/>
    <sheet name="Offering Sheet" sheetId="10" r:id="rId4"/>
    <sheet name="Hiring Demand" sheetId="2" r:id="rId5"/>
    <sheet name="Status List" sheetId="7" state="hidden" r:id="rId6"/>
    <sheet name="Recruiter Performance" sheetId="4" state="hidden" r:id="rId7"/>
    <sheet name="Positions" sheetId="6" state="hidden" r:id="rId8"/>
    <sheet name="Candidate Tracker" sheetId="3" r:id="rId9"/>
    <sheet name="SD Analyst Overview " sheetId="9" r:id="rId10"/>
    <sheet name="Offering Sheet - Pivot" sheetId="11" r:id="rId11"/>
    <sheet name="Candidate - Pivot" sheetId="12" r:id="rId12"/>
  </sheets>
  <definedNames>
    <definedName name="_xlnm._FilterDatabase" localSheetId="8" hidden="1">'Candidate Tracker'!$A$1:$P$241</definedName>
    <definedName name="_xlnm._FilterDatabase" localSheetId="4" hidden="1">'Hiring Demand'!$A$1:$N$28</definedName>
    <definedName name="_xlnm._FilterDatabase" localSheetId="3" hidden="1">'Offering Sheet'!$A$1:$I$88</definedName>
  </definedNames>
  <calcPr calcId="191028"/>
  <pivotCaches>
    <pivotCache cacheId="422" r:id="rId13"/>
    <pivotCache cacheId="42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 i="2" l="1"/>
  <c r="E35" i="9"/>
  <c r="N16" i="2"/>
  <c r="N14" i="2"/>
  <c r="K28" i="2"/>
  <c r="N3" i="2"/>
  <c r="N15" i="2"/>
  <c r="N17" i="2"/>
  <c r="J28" i="2"/>
  <c r="M28" i="2"/>
  <c r="I28" i="2"/>
  <c r="G28" i="2"/>
  <c r="N2" i="2"/>
  <c r="N7" i="2"/>
  <c r="N8" i="2"/>
  <c r="N9" i="2"/>
  <c r="N10" i="2"/>
  <c r="N11" i="2"/>
  <c r="N12" i="2"/>
  <c r="N13" i="2"/>
  <c r="N26" i="2"/>
  <c r="N27" i="2"/>
  <c r="N28" i="2" l="1"/>
  <c r="C5" i="1" s="1"/>
</calcChain>
</file>

<file path=xl/sharedStrings.xml><?xml version="1.0" encoding="utf-8"?>
<sst xmlns="http://schemas.openxmlformats.org/spreadsheetml/2006/main" count="3569" uniqueCount="921">
  <si>
    <t>Wave</t>
  </si>
  <si>
    <t>Join Date</t>
  </si>
  <si>
    <t>Planned HC</t>
  </si>
  <si>
    <t>Column1</t>
  </si>
  <si>
    <t>Actual HC</t>
  </si>
  <si>
    <t>Wave 1</t>
  </si>
  <si>
    <t>01-Sep-2026</t>
  </si>
  <si>
    <t>Wave 2</t>
  </si>
  <si>
    <t>15-Sep-2026</t>
  </si>
  <si>
    <t>Wave 3</t>
  </si>
  <si>
    <t>01-Oct-2026</t>
  </si>
  <si>
    <t>Wave 4</t>
  </si>
  <si>
    <t>15-Oct-2026</t>
  </si>
  <si>
    <t>Wave 5</t>
  </si>
  <si>
    <t>01-Nov-2026</t>
  </si>
  <si>
    <t xml:space="preserve">Project </t>
  </si>
  <si>
    <t>Role </t>
  </si>
  <si>
    <t>Demand </t>
  </si>
  <si>
    <t>accumlative</t>
  </si>
  <si>
    <t>VW</t>
  </si>
  <si>
    <t>SD Analyst</t>
  </si>
  <si>
    <t xml:space="preserve">Hiring View as of September </t>
  </si>
  <si>
    <t xml:space="preserve">Role </t>
  </si>
  <si>
    <t xml:space="preserve">Demand </t>
  </si>
  <si>
    <t>Passed HR&amp;Ops</t>
  </si>
  <si>
    <t xml:space="preserve">Offered </t>
  </si>
  <si>
    <t xml:space="preserve">Offer Accepted </t>
  </si>
  <si>
    <t>Joined</t>
  </si>
  <si>
    <t>1st of sep</t>
  </si>
  <si>
    <t>15th of Sep</t>
  </si>
  <si>
    <t>1st of Oct</t>
  </si>
  <si>
    <t>15th of Oct</t>
  </si>
  <si>
    <t>1st of xNov</t>
  </si>
  <si>
    <t>Knowledge Gatherer</t>
  </si>
  <si>
    <t xml:space="preserve">Quality associate </t>
  </si>
  <si>
    <t xml:space="preserve">Teamleaders </t>
  </si>
  <si>
    <t xml:space="preserve">SD Analayst </t>
  </si>
  <si>
    <t xml:space="preserve">Knowledge Editor , Coordinator </t>
  </si>
  <si>
    <t xml:space="preserve"> Snr SD Analyst </t>
  </si>
  <si>
    <t>Incident Coordinator-English</t>
  </si>
  <si>
    <t xml:space="preserve">Reporting Specialist </t>
  </si>
  <si>
    <t>12 offered</t>
  </si>
  <si>
    <t xml:space="preserve">10 will be shared today </t>
  </si>
  <si>
    <t xml:space="preserve">out of which 3 are immediate </t>
  </si>
  <si>
    <t>AUDI &amp; VW Hiring Governance Dashboard</t>
  </si>
  <si>
    <t>planned</t>
  </si>
  <si>
    <t>actual</t>
  </si>
  <si>
    <t>Total Demand</t>
  </si>
  <si>
    <t>Total Joined</t>
  </si>
  <si>
    <t>Total Gap</t>
  </si>
  <si>
    <t>Funnel Stage</t>
  </si>
  <si>
    <t>Count</t>
  </si>
  <si>
    <t>Sourced</t>
  </si>
  <si>
    <t>Screened</t>
  </si>
  <si>
    <t>Passed Ops&amp; HR</t>
  </si>
  <si>
    <t>Offered</t>
  </si>
  <si>
    <t>PKI Card Requested</t>
  </si>
  <si>
    <t>PKI Card Received</t>
  </si>
  <si>
    <t>Access Received</t>
  </si>
  <si>
    <t>Training Complete</t>
  </si>
  <si>
    <t>dummy values</t>
  </si>
  <si>
    <t>BU</t>
  </si>
  <si>
    <t>Client</t>
  </si>
  <si>
    <t>Skills</t>
  </si>
  <si>
    <t>Candidate Full Name</t>
  </si>
  <si>
    <t>Grade</t>
  </si>
  <si>
    <t xml:space="preserve">Designation </t>
  </si>
  <si>
    <t>Joining Date</t>
  </si>
  <si>
    <t>Joining Month</t>
  </si>
  <si>
    <t>Offer Status</t>
  </si>
  <si>
    <t>CIS</t>
  </si>
  <si>
    <t>Senior Operations Manager - German</t>
  </si>
  <si>
    <t>Ahmed Rashad </t>
  </si>
  <si>
    <t>C2</t>
  </si>
  <si>
    <t>Senior Operations Manager</t>
  </si>
  <si>
    <t>September</t>
  </si>
  <si>
    <t>Offer Decline</t>
  </si>
  <si>
    <t>Associate Service Desk Analyst - German</t>
  </si>
  <si>
    <t>Abdelrahman Elbarbary</t>
  </si>
  <si>
    <t>A4</t>
  </si>
  <si>
    <t>Mohamed Khaled Makram</t>
  </si>
  <si>
    <t>Marwan Ali Sadek</t>
  </si>
  <si>
    <t>Hossam Abdel-moneim</t>
  </si>
  <si>
    <t>Quality Analyst - German</t>
  </si>
  <si>
    <t>Amira Karim</t>
  </si>
  <si>
    <t>A5</t>
  </si>
  <si>
    <t>October</t>
  </si>
  <si>
    <t>Offer Released and Accepted</t>
  </si>
  <si>
    <t>Service Desk Analyst - German</t>
  </si>
  <si>
    <t>Mohamed Safwat</t>
  </si>
  <si>
    <t>Knowledge Gatherer - German</t>
  </si>
  <si>
    <t>Hesham Ali Mostafa</t>
  </si>
  <si>
    <t>B1</t>
  </si>
  <si>
    <t>Hagar Talaat</t>
  </si>
  <si>
    <t>Sarah ashraf algenedy</t>
  </si>
  <si>
    <t>Mohamed Elaidi</t>
  </si>
  <si>
    <t xml:space="preserve">Mohamed Magdy Fouad </t>
  </si>
  <si>
    <t>Saleh Essam</t>
  </si>
  <si>
    <t>SD Team Manager</t>
  </si>
  <si>
    <t xml:space="preserve">Mohamed Badr </t>
  </si>
  <si>
    <t>B2</t>
  </si>
  <si>
    <t>Service Management Consultant</t>
  </si>
  <si>
    <t>Salma Dawaly</t>
  </si>
  <si>
    <t>Habiba Zanaty</t>
  </si>
  <si>
    <t>November</t>
  </si>
  <si>
    <t>Berta Emil</t>
  </si>
  <si>
    <t>Arwa Khaled Mahmoud</t>
  </si>
  <si>
    <t>TBC</t>
  </si>
  <si>
    <t>Offer Voided</t>
  </si>
  <si>
    <t>Hanin Bakhit Ahmed</t>
  </si>
  <si>
    <t>Nada Noemen</t>
  </si>
  <si>
    <t>Ahmed Zidan</t>
  </si>
  <si>
    <t>Alaa Ahmed Madkour</t>
  </si>
  <si>
    <t>Ahmed Magdy Helal </t>
  </si>
  <si>
    <t>Service Desk Analyst</t>
  </si>
  <si>
    <t>Mohamed Shaaban</t>
  </si>
  <si>
    <t>Salah eldin Yasser</t>
  </si>
  <si>
    <t>Knowledge Editor - German</t>
  </si>
  <si>
    <t>Noura Amer Samy</t>
  </si>
  <si>
    <t>Aya Mahmoud Mohamed </t>
  </si>
  <si>
    <t>Shahd Mohamed Ashour</t>
  </si>
  <si>
    <t>Hagar Ahmed Abdelhamid</t>
  </si>
  <si>
    <t>Merna Ashraf </t>
  </si>
  <si>
    <t>Doha Abdelbary</t>
  </si>
  <si>
    <t>Mostafa Mahmoud Amer</t>
  </si>
  <si>
    <t>Incident Coordinator - English</t>
  </si>
  <si>
    <t>Mohamed ElMetwally Mohamed</t>
  </si>
  <si>
    <t>Nouran Mohamed Nabil</t>
  </si>
  <si>
    <t>Ziad Waleed Eid</t>
  </si>
  <si>
    <t xml:space="preserve">Ahmed Magdy </t>
  </si>
  <si>
    <t xml:space="preserve">Mohamed Ayman abdelaal </t>
  </si>
  <si>
    <t>Banan Mahfouz</t>
  </si>
  <si>
    <t>Rawan Fadli</t>
  </si>
  <si>
    <t>Amr Kotb</t>
  </si>
  <si>
    <t>Noran Ashraf</t>
  </si>
  <si>
    <t xml:space="preserve">Eman Mahmoud </t>
  </si>
  <si>
    <t xml:space="preserve">Rawan Ehab </t>
  </si>
  <si>
    <t>Ahmed Galal abuelfadl</t>
  </si>
  <si>
    <t> Nourhan Khafagy</t>
  </si>
  <si>
    <t>Samar Akif</t>
  </si>
  <si>
    <t>Abdelrahman Helmy</t>
  </si>
  <si>
    <t>Ahmed Farag</t>
  </si>
  <si>
    <t>Khaled Adel</t>
  </si>
  <si>
    <t>Hadeel Abdelkader</t>
  </si>
  <si>
    <t>Nancy Maged Elsharqawy</t>
  </si>
  <si>
    <t>Offer Released</t>
  </si>
  <si>
    <t>Alaa Yehia Abdelmoniem</t>
  </si>
  <si>
    <t>Ahmed Saad</t>
  </si>
  <si>
    <t>Mariam Ahmed</t>
  </si>
  <si>
    <t>Offer On-Hold</t>
  </si>
  <si>
    <t>kyrillos Wagdy</t>
  </si>
  <si>
    <t xml:space="preserve">Sarah Mahmoud </t>
  </si>
  <si>
    <t>Complains Manager</t>
  </si>
  <si>
    <t>Hoda Refaat</t>
  </si>
  <si>
    <t>C1</t>
  </si>
  <si>
    <t>-</t>
  </si>
  <si>
    <t>Offer in Process</t>
  </si>
  <si>
    <t>Abdelwahab Mohamed Shaaban</t>
  </si>
  <si>
    <t>Khaled Salah Eldin</t>
  </si>
  <si>
    <t>Maryam Attia Fayad</t>
  </si>
  <si>
    <t>Omar Salah</t>
  </si>
  <si>
    <t>Abdallah Saleh</t>
  </si>
  <si>
    <t xml:space="preserve">Rowan Shawky </t>
  </si>
  <si>
    <t xml:space="preserve">Marwan Magdy </t>
  </si>
  <si>
    <t xml:space="preserve">Mohamed Ezzat </t>
  </si>
  <si>
    <t>Mariam ElMallawany</t>
  </si>
  <si>
    <t>Hager Ahmed Abdraboo</t>
  </si>
  <si>
    <t xml:space="preserve">Rokia Sobhy </t>
  </si>
  <si>
    <t>Radwa Tarek</t>
  </si>
  <si>
    <t>Arwa Ali</t>
  </si>
  <si>
    <t xml:space="preserve">Mohamed Taha </t>
  </si>
  <si>
    <t>Amr Omar</t>
  </si>
  <si>
    <t>Mohamed Mohey</t>
  </si>
  <si>
    <t>Nada Ibrahim</t>
  </si>
  <si>
    <t>Abdelrahman Mohamed</t>
  </si>
  <si>
    <t>Amany Hassan</t>
  </si>
  <si>
    <t>Mohamed Hatem</t>
  </si>
  <si>
    <t xml:space="preserve">Bassel Mohammed </t>
  </si>
  <si>
    <t>Mahmoud Salah</t>
  </si>
  <si>
    <t xml:space="preserve">Monera Mostafa </t>
  </si>
  <si>
    <t>Nada Gamal</t>
  </si>
  <si>
    <t>Dalia ElSabbagh</t>
  </si>
  <si>
    <t>Ammar Yasser</t>
  </si>
  <si>
    <t>Ahmed Mansour Mohamed Esmail</t>
  </si>
  <si>
    <t>Mariam Abdo sayed</t>
  </si>
  <si>
    <t>Mawada Mohamed</t>
  </si>
  <si>
    <t>Shahinda Ali</t>
  </si>
  <si>
    <t>Forecast Month</t>
  </si>
  <si>
    <t>Date</t>
  </si>
  <si>
    <t>Account</t>
  </si>
  <si>
    <t>Role</t>
  </si>
  <si>
    <t>German</t>
  </si>
  <si>
    <t>HC</t>
  </si>
  <si>
    <t>Status</t>
  </si>
  <si>
    <t>Passed Interview</t>
  </si>
  <si>
    <t>Offer Sent</t>
  </si>
  <si>
    <t>Gap</t>
  </si>
  <si>
    <t xml:space="preserve">Comment </t>
  </si>
  <si>
    <t>July</t>
  </si>
  <si>
    <t>German Speaker - Knowledge Gatherer</t>
  </si>
  <si>
    <t>yes</t>
  </si>
  <si>
    <t>closed</t>
  </si>
  <si>
    <t>We are hiring for this position because the current employee is temporarily covering the role and will transition to another internal role once a replacement has been onboarded.</t>
  </si>
  <si>
    <t>August</t>
  </si>
  <si>
    <t>Adoption Change Manager</t>
  </si>
  <si>
    <t xml:space="preserve">No Need </t>
  </si>
  <si>
    <t>UX Servicedesk XMO</t>
  </si>
  <si>
    <t>ESM Tool Architect</t>
  </si>
  <si>
    <t>Incident analysis , SD Queues observation , Q moitors , musn't be C1</t>
  </si>
  <si>
    <t>Quality Analyst German</t>
  </si>
  <si>
    <t>in progress</t>
  </si>
  <si>
    <t>Reporting Specialist - English</t>
  </si>
  <si>
    <t>SDM Complain Manager</t>
  </si>
  <si>
    <t xml:space="preserve">kann extra eingestellt werden </t>
  </si>
  <si>
    <t>SDM Manager in Charge</t>
  </si>
  <si>
    <t xml:space="preserve">escalations POC . can be anyone of the big team </t>
  </si>
  <si>
    <t>German Senior Service Desk Agent</t>
  </si>
  <si>
    <t>German Service Desk Agent</t>
  </si>
  <si>
    <t>open</t>
  </si>
  <si>
    <t>Analytics Data Analyst</t>
  </si>
  <si>
    <t>Analytics DEM Tool</t>
  </si>
  <si>
    <t>Automation Build Effort</t>
  </si>
  <si>
    <t>Digital Coach Adoption Manager</t>
  </si>
  <si>
    <t>DEM Tool SME</t>
  </si>
  <si>
    <t>Experience Manager</t>
  </si>
  <si>
    <t>UX Manager Digital Adoption</t>
  </si>
  <si>
    <t>C1-C2</t>
  </si>
  <si>
    <t>German SDM</t>
  </si>
  <si>
    <t>Pending</t>
  </si>
  <si>
    <t xml:space="preserve">will be discussed with VWteam </t>
  </si>
  <si>
    <t>Team Leader German</t>
  </si>
  <si>
    <t>Total</t>
  </si>
  <si>
    <t xml:space="preserve">overall shared data 154 </t>
  </si>
  <si>
    <t xml:space="preserve">A4 only </t>
  </si>
  <si>
    <t>new</t>
  </si>
  <si>
    <t>internal</t>
  </si>
  <si>
    <t>pending</t>
  </si>
  <si>
    <t>Recruiter</t>
  </si>
  <si>
    <t>CVs</t>
  </si>
  <si>
    <t>HR Passed</t>
  </si>
  <si>
    <t>Technical Passed</t>
  </si>
  <si>
    <t>Ops Passed</t>
  </si>
  <si>
    <t>Offers</t>
  </si>
  <si>
    <t>Joinees</t>
  </si>
  <si>
    <t>Demand</t>
  </si>
  <si>
    <t xml:space="preserve">Total Hired </t>
  </si>
  <si>
    <t>Gab</t>
  </si>
  <si>
    <t xml:space="preserve">Comment  </t>
  </si>
  <si>
    <t>Reporting Specialist</t>
  </si>
  <si>
    <t>SDM Compain Manager</t>
  </si>
  <si>
    <t>Name</t>
  </si>
  <si>
    <t>Email</t>
  </si>
  <si>
    <t>Project</t>
  </si>
  <si>
    <t>Role Applied</t>
  </si>
  <si>
    <t>Source</t>
  </si>
  <si>
    <t>HR Screening</t>
  </si>
  <si>
    <t>Technical</t>
  </si>
  <si>
    <t>Ops</t>
  </si>
  <si>
    <t xml:space="preserve">Accepted </t>
  </si>
  <si>
    <t>Current Stage</t>
  </si>
  <si>
    <t xml:space="preserve">Feedback </t>
  </si>
  <si>
    <t xml:space="preserve">Shoaib Abdallah </t>
  </si>
  <si>
    <t>Shoaib.shoaib@gmail.com</t>
  </si>
  <si>
    <t>AUDI</t>
  </si>
  <si>
    <t xml:space="preserve">SD Team Leader </t>
  </si>
  <si>
    <t>Haisam Alhassan</t>
  </si>
  <si>
    <t xml:space="preserve">Done </t>
  </si>
  <si>
    <t xml:space="preserve">Failed </t>
  </si>
  <si>
    <t>Failed</t>
  </si>
  <si>
    <t>Rejected</t>
  </si>
  <si>
    <t>The candidate understood the questions and requirements but was unable to express ideas clearly and effectively in either German or English. Communication skills in both languages are below the level required for a customer-facing role.</t>
  </si>
  <si>
    <t xml:space="preserve">Alaa Ahmed Mohamed Ahmed </t>
  </si>
  <si>
    <t>allaa.ahmed4040@gmail.com</t>
  </si>
  <si>
    <t xml:space="preserve">SD Analyst German  </t>
  </si>
  <si>
    <t>Alaa Ahmed demonstrated limited technical knowledge and lacked the technical acumen expected for the role. Additionally, his German communication skills are below the required level, with frequent grammatical errors and a strong Upper Egyptian accent impacting clarity and effective customer communication. Overall, he does not currently meet the technical and language requirements for the AUDI/VW project.</t>
  </si>
  <si>
    <t>Mennatullah Sherif</t>
  </si>
  <si>
    <t>mennasherif2001@icloud.com</t>
  </si>
  <si>
    <t>NCNS</t>
  </si>
  <si>
    <t xml:space="preserve">Candidate didn't show up </t>
  </si>
  <si>
    <t>Elsayed quora</t>
  </si>
  <si>
    <t>elsayed.quora@gmail.com</t>
  </si>
  <si>
    <t xml:space="preserve">SD Team leader </t>
  </si>
  <si>
    <t>Passed</t>
  </si>
  <si>
    <t>ElSayed Quora has solid technical and Service Desk experience, with good German and English communication skills. However, he lacks Team Lead experience and was unable to adequately address leadership-related questions. Not recommended for a TL position, but suitable for roles such as Knowledge Editor, Knowledge Gatherer, or Quality Analyst.</t>
  </si>
  <si>
    <t>Jana Mamdouh</t>
  </si>
  <si>
    <t>jana.mamdouh2002@gmail.com</t>
  </si>
  <si>
    <t>Philopateer Emad Fahmy Aziz</t>
  </si>
  <si>
    <t>philopateeer.emad@gmail.com</t>
  </si>
  <si>
    <t>Rawan Samir Abdullah</t>
  </si>
  <si>
    <t>rawanrr551@gmail.com</t>
  </si>
  <si>
    <t xml:space="preserve">the agent is not suitable for the position as she is UX &amp; UI experienced and also the German was her 2nd language not the 1st language, and the German was very bad almost A2 </t>
  </si>
  <si>
    <t xml:space="preserve">Sarah Ashraf Algenedy </t>
  </si>
  <si>
    <t>sarahashraf3010@gmail.com</t>
  </si>
  <si>
    <t xml:space="preserve">Passed </t>
  </si>
  <si>
    <t>Sarah Ashraf Algenedy demonstrated strong proficiency in both German and English during the interview. She has nearly 5 years of experience across various BPO functions, including 2 years of Service Desk experience with ATOS. She is familiar with ticketing and incident management tools such as ServiceNow and Jira and showed a good understanding of support processes. Overall, she performed well and appears to be a strong candidate for the role.</t>
  </si>
  <si>
    <t xml:space="preserve">Amira Karim </t>
  </si>
  <si>
    <t>karemamira43@gmail.com</t>
  </si>
  <si>
    <t>Amira Karim demonstrated strong German and English communication skills, backed by nearly 10 years of experience. She has extensive experience with Vodafone Germany and Vodafone Enterprise, along with solid technical expertise in networking, Microsoft 365, and Windows Server. She has also supported QA activities and undertaken Team Leader responsibilities, showcasing strong quality knowledge and leadership potential. Overall, she is a well-rounded candidate with a strong technical and quality background.</t>
  </si>
  <si>
    <t xml:space="preserve">Yomna Abuelseoud </t>
  </si>
  <si>
    <t>yomna.aboelseoud@gmail.com</t>
  </si>
  <si>
    <t>Mohamed Magdy Fouad </t>
  </si>
  <si>
    <t>mohamedmagdy.initials@gmail.com</t>
  </si>
  <si>
    <t>The candidate is well-suited for the position, demonstrating strong communication skills and solid technical expertise that align with the requirements and standards of both Microsoft and eBay.</t>
  </si>
  <si>
    <t>Abdalerahman  Gaber Saad</t>
  </si>
  <si>
    <t>abdolovesaad@gmail.com</t>
  </si>
  <si>
    <t>Abdelrahman Gaber is not a suitable match for the position at this stage. He does not possess the required technical background, and his English and German language proficiency levels do not meet the requirements of the role.</t>
  </si>
  <si>
    <t>Salma Dawaly </t>
  </si>
  <si>
    <t>salmadwaly@gmail.com</t>
  </si>
  <si>
    <t>Salma Dawaly demonstrated strong English communication skills and a good technical foundation that align with the role's requirements. However, her German language proficiency was assessed at an intermediate level and does not meet the language standards required for the AUDI project. As a result, she is not a suitable fit for this specific opportunity at the current time.</t>
  </si>
  <si>
    <t>Sarah Saeed</t>
  </si>
  <si>
    <t>sarahsaeed783@gmail.com</t>
  </si>
  <si>
    <t>Sarah demonstrated good English communication skills and was able to express herself clearly in most situations. However, during the assessment, several concerns were identified regarding both her language proficiency and technical suitability for the EHD position.
From a technical perspective, Sarah does not appear to have a technical background and was unable to answer several basic technical questions. She struggled significantly when presented with more challenging or scenario-based technical questions and was often unable to provide sufficient responses.
Regarding language proficiency, although she has studied German as an additional field alongside her Economics studies, her German language level appears to be closer to B2.1 and does not demonstrate the higher proficiency level expected for this role. There were also multiple grammatical mistakes throughout the conversation, and she frequently became stuck when required to discuss more complex topics or answer difficult questions in German.
In terms of professional experience, Sarah has approximately three years of experience with Amazon, which is valuable; however, her experience does not appear to align closely with the technical and linguistic requirements of the EHD position.</t>
  </si>
  <si>
    <t>Abdulrahman Fathi Mohammed</t>
  </si>
  <si>
    <t>Farah Helmy</t>
  </si>
  <si>
    <t>rescheduled</t>
  </si>
  <si>
    <t>Mohamed Jouda Elaidi</t>
  </si>
  <si>
    <t>mohamed.elaidi.1988@gmail.com</t>
  </si>
  <si>
    <t>Mohamed demonstrated a good level of German language proficiency and was able to communicate effectively throughout the interview. However, he would benefit from working further on incorporating and applying feedback to strengthen his overall performance.
From a technical perspective, Mohamed has a solid background, with 3 years of experience at Amazon and 2 years at Microsoft. His experience includes SCIM (System for Cross-domain Identity Management) and Windows deployment, which are relevant and valuable skills for the role.</t>
  </si>
  <si>
    <t xml:space="preserve">Mohand Hassan Heaba </t>
  </si>
  <si>
    <t>nooshheaba.nh@gmail.com</t>
  </si>
  <si>
    <t>Mohanad stated that he had completed German language training at the C1 level. However, his performance during the interview was significantly below the expected C1 standard and, in my assessment, did not demonstrate even a solid B1 level of proficiency.
Throughout the interview, he made frequent grammatical mistakes and struggled with sentence structure (Satzbau/Satzstruktur), which often made his responses difficult to follow. He also had noticeable articulation issues, and his strong accent further affected the clarity and fluency of his communication.
In addition, his answers were often vague and lacked depth. On multiple occasions, his responses suggested that he had not fully understood the questions being asked, as the information provided was only partially relevant or failed to address the question altogether.</t>
  </si>
  <si>
    <t>Ahmed Magdy Helal</t>
  </si>
  <si>
    <t>ahelal089@gmail.com</t>
  </si>
  <si>
    <t xml:space="preserve">Good with eglish . SD Analyst Experience with ATOS , Quality associate experience also with ATOS , needs to be reassessed in German as he was not feeling well during the German Part </t>
  </si>
  <si>
    <t>Mostafa Mohamed Zaineldin</t>
  </si>
  <si>
    <t>mostafazayn7@gmail.com</t>
  </si>
  <si>
    <t>The candidate has a very limited level of both German and English. Although his German is stated as B1, his communication skills do not appear to be at a B2 level. He frequently makes grammatical mistakes, mixes German and English during conversations, and has a noticeable accent that impacts overall communication clarity.
His educational background is in Commerce, and German appears to have been acquired later as part of a career transition. While he does have relevant Microsoft technical experience, his language proficiency may not meet the requirements for the early deployment waves. Therefore, it may be more appropriate to consider moving his onboarding to a later wave</t>
  </si>
  <si>
    <t xml:space="preserve">Abdelrahman Fathi Mohamed </t>
  </si>
  <si>
    <t>thomaswolfgang22817@gmail.com</t>
  </si>
  <si>
    <t>The candidate's German communication contained frequent grammatical mistakes, which impacted the overall clarity of his responses. During the interview, he often struggled to provide direct answers to questions and instead gave vague or indirect responses, likely due to language comprehension and communication challenges.
His English fluency also requires improvement, and he acknowledged during the call that he needs to further develop his language skills, particularly in English. While he demonstrated an effort to communicate, the current level of proficiency in both German and English may affect his ability to effectively participate in customer-facing or communication-intensive roles</t>
  </si>
  <si>
    <t xml:space="preserve">Mohamed Badr Mohamed </t>
  </si>
  <si>
    <t>mohamedbadr01148424799@gmail.com</t>
  </si>
  <si>
    <t>The candidate demonstrated strong English and German language skills, as well as a solid technical background. He has worked with Siemens for three and a half years, which has provided him with valuable industry experience. During the discussion, he was advised to refresh and further strengthen his German language skills, as he has been using English more frequently than German in his current role.
From a technical perspective, he showed good expertise in backlog management, client handling, and people management. Overall, he performed well and meets the requirements of the role.
Based on the interview outcome, we recommend proceeding with the candidate and extending an offer for the Audi EHD Team Lead position on a probationary basis.</t>
  </si>
  <si>
    <t xml:space="preserve">Abdullah Habib </t>
  </si>
  <si>
    <t>hapipabdulla@gmail.com</t>
  </si>
  <si>
    <t>The candidate's German language proficiency is below the required standard for the Audi EHD position. He acquired his German language skills through self-study, which has resulted in a very strong dialect and made communication difficult at times. Throughout the interview, his German contained numerous grammatical errors, articulation issues, and vocabulary limitations that significantly impacted his ability to communicate effectively.
In addition, his English communication skills were also below the expected level, with frequent language and sentence-structure mistakes.
The candidate holds a degree in Mechanical Engineering and demonstrated a general understanding of helpdesk-related work and support processes. However, despite his awareness of the helpdesk environment, he does not meet the language proficiency requirements necessary for this role.
Based on the interview assessment, the candidate is not a suitable fit for the Audi EHD position, primarily due to his German language level, which falls significantly short of the standard required to effectively support clients and perform the responsibilities of the role.</t>
  </si>
  <si>
    <t>Saleh Essam Saleh</t>
  </si>
  <si>
    <t>saleh.essam878@gmail.com</t>
  </si>
  <si>
    <t>The candidate meets the required language proficiency level and has nearly two years of relevant experience. His English communication skills are at an intermediate level, and he also possesses a basic technical background that aligns with the role requirements.
Overall, the candidate demonstrated the necessary skills and potential to succeed in the position. Based on the interview assessment, we recommend proceeding with his application and moving forward to the next stage of the hiring process.</t>
  </si>
  <si>
    <t xml:space="preserve">Hesham Ali Mostafa </t>
  </si>
  <si>
    <t>mustafa_hesham@hotmail.com</t>
  </si>
  <si>
    <t>Hesham performed very well during the interview and demonstrated strong communication and technical skills. He lived in Austria for nine years, which has contributed significantly to his German language proficiency and cultural understanding.
He brings valuable experience from his previous roles, having worked at Vodafone Germany Help Desk as well as ATOS, where he gained solid expertise in customer support, service desk operations, and client handling.
Throughout the interview, Hesham showed a strong understanding of support processes, troubleshooting, and knowledge management practices. His background and experience make him a strong candidate who can add value to the team, particularly in a Knowledge Gatherer role, where his technical expertise and ability to document and transfer knowledge will be highly beneficial.
Based on the interview assessment, we recommend proceeding with Hesham, as he appears to be a strong fit for the position and would be a valuable addition to the team.</t>
  </si>
  <si>
    <t>Hager Talat Ibrahim</t>
  </si>
  <si>
    <t>hager.t.ibrahim@gmail.com</t>
  </si>
  <si>
    <t>Haer Talaat performed very well during the interview. She demonstrated strong communication skills in both German and English, which would be a valuable asset for the Service Desk Analyst role.
She brings diverse experience across both technical support and customer care environments, having previously worked with Concentrix Microsoft and various other lines of business. Her background includes significant exposure to Microsoft 365 Concierge support, which aligns well with the requirements of our team.
From a technical perspective, she has studied both CCNA and MCSA, providing her with a solid foundation in networking and Microsoft technologies. In addition, she completed a one-year technical diploma, which further strengthened her technical knowledge and problem-solving capabilities.
Haer is also familiar with Jira and has hands-on experience using the tool in previous roles, demonstrating her ability to work effectively within ticketing and incident management environments.
Overall, her combination of multilingual capabilities, technical knowledge, customer support experience, and familiarity with Service Desk tools makes her a strong fit for the SD Analyst position. Based on the interview, I believe she would be able to contribute effectively to the team and recommend moving forward with her candidacy.</t>
  </si>
  <si>
    <t xml:space="preserve">Mohamed Safwat </t>
  </si>
  <si>
    <t>linuxawy9@gmail.com</t>
  </si>
  <si>
    <t xml:space="preserve">Snr SD Analyst German </t>
  </si>
  <si>
    <t>Mohamed Safwa demonstrated strong performance during the interview and successfully met the requirements for the Senior Service Desk Analyst position.
He possesses excellent communication skills in both German and English, enabling him to effectively support a diverse customer base and collaborate with global stakeholders.
Mohamed brings nearly 6 years of experience supporting Microsoft technologies in a technical environment, where he has developed strong troubleshooting, analytical, and scoping skills. Throughout his career, he has worked with a wide range of technologies, including Windows, macOS, and Microsoft Surface devices, giving him a well-rounded technical background and the ability to handle complex support scenarios.
In addition, he has approximately 8 years of experience within the BPO industry, which has strengthened his customer service, communication, and problem-solving capabilities. Prior to his BPO experience, he also worked in the tourism industry, further demonstrating his adaptability, customer-focused mindset, and interpersonal skills.
Mohamed showed solid technical knowledge, confidence in troubleshooting methodologies, and a strong understanding of support operations. His stable employment history, technical expertise, and extensive customer-facing experience make him a strong asset for the team.
Overall Assessment: Mohamed is a strong candidate who fully matches the required profile and demonstrates the skills and experience expected from a Senior Service Desk Analyst.</t>
  </si>
  <si>
    <t>Omar Abdulbaset,</t>
  </si>
  <si>
    <t>omar.abdulbaset.abdulmonem@gmail.com</t>
  </si>
  <si>
    <t>The candidate demonstrates a fair technical background and possesses the required years of experience for the role. However, several concerns were identified during the interview that raise significant hiring risks.
The candidate disclosed that he is currently engaged in another role that he intends to continue covering in parallel. This represents a clear conflict of interest and raises concerns regarding availability, commitment, and compliance with company policies.
Additionally, the candidate mentioned that he had previously been terminated from his former employer due to a high number of Zero Touch Provisioning (ZTP) incidents. This raises concerns regarding performance and operational effectiveness in a similar environment.
During the discussion, the candidate stated that he could have concealed his ongoing freelance engagement with another company but chose to disclose it. He also indicated that he has an existing Intune team supporting his activities. While transparency is appreciated, these points further reinforce concerns about competing commitments and potential conflicts.
From a communication perspective, the candidate assessed his English proficiency as being between C1 and C2 levels. However, several basic language and grammar mistakes were observed throughout the interview, suggesting that his actual proficiency may be below the stated level. This discrepancy was highlighted and discussed during the interview.
Based on the concerns related to conflict of interest, previous employment history, commitment, and language proficiency, I do not recommend proceeding with the candidate for this position.</t>
  </si>
  <si>
    <t xml:space="preserve">Mohamed Shaaban  Mosa </t>
  </si>
  <si>
    <t>mohamed.mido3371@gmail.com</t>
  </si>
  <si>
    <t>The candidate appears to be a strong fit for the position based on his extensive professional experience and leadership background. He has accumulated many years of relevant experience, including serving in both Team Lead (TL) and Operations Manager (OM) roles, which demonstrates his ability to manage teams, drive operational excellence, and handle responsibilities at different organizational levels.
Additionally, the candidate spent approximately nine years working at Microsoft, which provided him with significant exposure to enterprise environments, industry best practices, and customer-focused operations. This experience is highly relevant to the requirements of the role.
The candidate has also invested in his professional development by pursuing both PMP studies and an MBA, reflecting a strong commitment to enhancing his management, leadership, and project delivery capabilities.
During the interview, we aligned expectations regarding the role, responsibilities, and performance requirements. The candidate demonstrated a clear understanding of these expectations and expressed readiness to take on the position. He also confirmed his availability and willingness to join.
Based on his technical expertise, leadership experience, Microsoft background, and professional qualifications, I believe the candidate is well-suited for the position and recommend moving forward with the hiring process.</t>
  </si>
  <si>
    <t>Ibrahim Mohamed Elsakka</t>
  </si>
  <si>
    <t>ibrahim.elsakka.1998@gmail.com</t>
  </si>
  <si>
    <t>The candidate is not a suitable fit for the position and did not demonstrate the required potential for future consideration. Performance was below expectations across all assessed levels. The candidate was unable to meet the required German and English language proficiency standards and also lacked the necessary technical background. Overall, the candidate did not pass the language competency assessments and did not demonstrate the qualifications needed for the role.</t>
  </si>
  <si>
    <t xml:space="preserve">Noura Samy </t>
  </si>
  <si>
    <t>nouraamer455@gmail.com</t>
  </si>
  <si>
    <t xml:space="preserve">Knowledge Editor </t>
  </si>
  <si>
    <t>The candidate is a strong fit for the position, supported by previous experience at Microsoft working with Xbox and Windows Server technologies. They demonstrated strong attention to detail, a proactive mindset, and effective communication skills throughout the interview process. The candidate exhibited a good command of both German and English and was able to articulate their experience clearly. Overall, their technical background, relevant industry experience, and professional competencies make them a suitable candidate for the role</t>
  </si>
  <si>
    <t xml:space="preserve">Samar Akif </t>
  </si>
  <si>
    <t>samarakif@gmail.com</t>
  </si>
  <si>
    <t>Samar performed exceptionally well during the interview. She demonstrated strong German language proficiency and showed solid technical knowledge throughout the assessment. Based on her overall performance, she is an excellent fit for the role.
Her professional background includes experience at TP, where she progressed into an SME role, followed by a year at Apple Care and subsequent experience with Western Union. Most recently, she spent four years supporting Xbox, further strengthening her technical expertise and customer support capabilities.
Samar displayed strong communication skills, confidence, and a good understanding of technical concepts. Her diverse experience across multiple organizations, combined with her language proficiency and technical background, makes her a strong candidate for this technical role.</t>
  </si>
  <si>
    <t xml:space="preserve">Anan Aziz </t>
  </si>
  <si>
    <t xml:space="preserve">recommended for any other Projects as a quality evaluator </t>
  </si>
  <si>
    <t>Ghada Ragab</t>
  </si>
  <si>
    <t>ghadamohamed11799@gmail.com</t>
  </si>
  <si>
    <t>The candidate demonstrated a weak command of both languages and is still an undergraduate student. Despite mentioning previous experience with TaskUs and Concentrix, she struggled to answer several basic questions related to the role. Throughout the interview, she frequently mixed both languages, which negatively impacted communication. Her fluency was below the expected level, and her responses contained numerous grammatical and sentence structure errors.</t>
  </si>
  <si>
    <t xml:space="preserve">abdelrahman Helmy </t>
  </si>
  <si>
    <t>abdelrahman.helmy2023@gmail.com</t>
  </si>
  <si>
    <t>Abdelrahman Helmy is a strong fit for the Senior Service Desk Analyst position. Based on his previous experience supporting Microsoft 365, Windows Server environments, and his two years of experience at ATOS, he has demonstrated the technical knowledge required for the role. He possesses solid expertise in Windows, Linux, and other operating systems, along with strong troubleshooting skills.
His background, technical capabilities, and hands-on experience make him well-suited for the Service Desk Analyst role, and I believe he would be a valuable addition to the team.</t>
  </si>
  <si>
    <t>Mustafa Gamal Gamal</t>
  </si>
  <si>
    <t>mustafaabdellatief845@gmail.com</t>
  </si>
  <si>
    <t>Mustafa Gamal demonstrated weak proficiency in both German and English. He has no prior experience in the technical field, which was evident during the interview. He made numerous grammatical mistakes in both languages and faced challenges with comprehension and understanding of several questions. His communication skills did not meet the expected standard for the role, as he struggled to express his thoughts clearly and accurately.
Overall, the candidate's language proficiency, comprehension skills, and lack of relevant technical experience make him unsuitable for the position at this time</t>
  </si>
  <si>
    <t xml:space="preserve">Nada Nasser Ahmed </t>
  </si>
  <si>
    <t>nadaelbadry046@gmail.com</t>
  </si>
  <si>
    <t>Nada Ahmed is a  Turkish speaker who studied German through self-learning and later attended DKW Academy. During the interview, her German proficiency appeared to be around the basic B1 level. She experienced noticeable comprehension, fluency, and understanding challenges, which affected her ability to communicate effectively in German.
The candidate was more comfortable expressing herself in English than in German; however, she still faced some communication difficulties. Additionally, she demonstrated limited understanding of technical concepts and was unable to provide answers that reflected a basic level of technical knowledge required for the role.
Overall, her current German language proficiency, communication challenges, and lack of technical background make her unsuitable for the position at this time.</t>
  </si>
  <si>
    <t xml:space="preserve">Habiba Zanaty </t>
  </si>
  <si>
    <t>habibatarekzanaty@gmail.com</t>
  </si>
  <si>
    <t>Habiba demonstrated a strong command of both German and English, along with extensive technical experience gained during her tenure at ATOS. She served as a Subject Matter Expert (SME), which reflects her strong technical knowledge and problem-solving capabilities. Throughout the interview, she communicated effectively, answered questions confidently, and showcased relevant expertise. Based on her language proficiency, technical background, and SME experience, she is a strong fit for the Service Desk Analyst position.</t>
  </si>
  <si>
    <t>2 months</t>
  </si>
  <si>
    <t xml:space="preserve">Mohamed Salaheldine Hosny </t>
  </si>
  <si>
    <t>ms252572@gmail.com</t>
  </si>
  <si>
    <t>Mohamed demonstrated strong English communication skills and solid technical knowledge throughout the interview. However, his German proficiency was significantly below the level required for the position. He mentioned that he learned German primarily through YouTube channels and by practicing with German speakers, which may explain the gaps in his language skills. Additionally, most of his customer service experience has been in English rather than German, resulting in stronger English communication abilities. Based on the interview, his German language skills are currently around the B1 level and would require further development to meet the role's expectations.</t>
  </si>
  <si>
    <t xml:space="preserve">Ismail Mohamed Ahmed </t>
  </si>
  <si>
    <t>ismailmo7amed97@gmail.com</t>
  </si>
  <si>
    <t>Ismail's English proficiency was below the basic required level, and his German skills were also below the B2 standard. He does not have prior experience in the technical field, with his previous experience primarily being in customer service at Amazon. During the interview, he was generally able to understand the questions being asked; however, he made numerous grammatical mistakes in both communication and responses. Despite these challenges, he demonstrated the potential to improve his language skills, particularly in German, through additional study and practice.</t>
  </si>
  <si>
    <t>Berta Email</t>
  </si>
  <si>
    <t>berta.emil6@gmail.com</t>
  </si>
  <si>
    <t>Berta demonstrated strong proficiency in both German and English, communicating clearly and effectively in both languages. She has a solid technical background, having completed technical studies, which enabled her to understand and apply technical concepts with ease.
She also showed a strong willingness to learn, a positive attitude, and high motivation for professional development. In addition, Berta has previous customer service experience, having spent one year working on the Vodafone CallYa project, where she handled German-speaking customers over the phone. This experience helped her develop excellent communication, customer handling, and problem-solving skills. Furthermore, she has experience teaching German, which reflects her strong language capabilities and ability to explain complex concepts clearly to others.</t>
  </si>
  <si>
    <t xml:space="preserve">Shahd Mohamed Ashour </t>
  </si>
  <si>
    <t>shahdmuhammad31@gmail.com</t>
  </si>
  <si>
    <t>Shahd did not pass the technical assessment. However, she shows strong potential, as she possesses the basic foundation required for the role. She has good proficiency in both German and English, is very young, and demonstrates a strong eagerness to learn and develop her skills.</t>
  </si>
  <si>
    <t xml:space="preserve">Omar Mohamed </t>
  </si>
  <si>
    <t>The candidate demonstrated a very weak command of both German and English. He is also known to me from a previous role, where he worked as an agent on my team. Due to language proficiency gaps and attitude-related concerns, he was transferred to a different role. Based on both his previous performance and the interview assessment, I do not consider him a suitable fit for this position.</t>
  </si>
  <si>
    <t xml:space="preserve">Arwa Khaled Mahmoud - Offer Voided </t>
  </si>
  <si>
    <t>arwaali3121@gmail.com</t>
  </si>
  <si>
    <t>Arwa performed very well in both the German and English parts of the interview. She demonstrated strong communication skills in both languages and showed a good technical mindset throughout the discussion.
While she was not able to answer all of the technical questions, she displayed a solid understanding of technical concepts and a logical approach to problem-solving. Arwa is a native-level German speaker who studied languages at Ain Shams University and has several years of professional experience with Concentrix, where she further developed her language and customer support skills.
Overall, her language proficiency, customer service background, and technical aptitude make her a good fit for the Service Desk Analyst (SD Analyst) role.</t>
  </si>
  <si>
    <t>Mohamed Bahr</t>
  </si>
  <si>
    <t>Mohamed demonstrated a low level of proficiency in both German and English throughout the interview, with frequent grammatical errors that affected his overall communication effectiveness.
He stated that he learned German through self-study and has reached a B2 level; however, he does not hold any language certification to validate his proficiency. His only relevant professional experience is his role supporting the N26 line of business at Concentrix.
Academically, Mohamed holds a degree in Mechanical Engineering. However, he was unable to demonstrate any significant technical knowledge or experience relevant to the Service Desk Analyst role. His responses to technical questions indicated a lack of exposure to IT support concepts and troubleshooting practices.
Overall, Mohamed's current language proficiency and limited technical background do not align with the requirements of the Service Desk Analyst (SD Analyst) position.</t>
  </si>
  <si>
    <t>Hossam Abdel Monem</t>
  </si>
  <si>
    <t>hossamzidane18@gmail.com</t>
  </si>
  <si>
    <t>Accepted</t>
  </si>
  <si>
    <t>Hossam learned German through self-study and reported reaching a B2 level. However, during the assessment, he demonstrated significant challenges in spoken German, particularly in pronunciation and fluency. These issues impacted the overall clarity and effectiveness of his communication.
Based on the German reassessment, his language skills currently do not meet the expected level for a customer-facing technical support role. He frequently struggled to express his thoughts smoothly and accurately, which could affect interactions with German-speaking customers.
From a technical perspective, Hossam did not demonstrate the level of technical knowledge or readiness expected for a Service Desk Analyst position. His responses did not indicate sufficient technical exposure or troubleshooting capability for the role.
As only his German skills were reassessed, I am unable to provide a definitive evaluation of his English proficiency at this stage.</t>
  </si>
  <si>
    <t xml:space="preserve">Aya Mahmoud Mohamed </t>
  </si>
  <si>
    <t>ayamajd147@gmail.com</t>
  </si>
  <si>
    <t>Aya demonstrated strong English communication skills, solid technical knowledge, and good experience in the Help Desk (HD) field. However, her German communication skills were not at the required level during the interview. She appeared quite nervous, which affected her performance, and she made several grammatical mistakes while speaking German.
Considering her overall experience and technical background, she could be a good fit for roles such as Knowledge Editor, Coordinator, or even Senior Service Desk (SD) Analyst. However, I would not recommend her for a Quality role at this stage, as the position requires a high level of confidence and direct client interaction, particularly in German.</t>
  </si>
  <si>
    <t xml:space="preserve">Marawan Ali Sadek </t>
  </si>
  <si>
    <t>marwanali1902@gmail.com</t>
  </si>
  <si>
    <t>Marawan is currently below the required B2 German proficiency level and has significant challenges with the language. Throughout the interview, he struggled to express his thoughts clearly and effectively in German.
In addition, he faced comprehension difficulties, which impacted his ability to understand and respond to several interview questions. As a result, he was unable to provide adequate answers, not due to a lack of effort, but primarily because of language understanding and communication limitations.
Overall, Marawan's current German language skills do not meet the level required for the role, and his communication challenges would likely impact his ability to perform effectively in a customer-facing Service Desk environment.</t>
  </si>
  <si>
    <t>mokhaled9209@gmail.com</t>
  </si>
  <si>
    <t>Mohamed's German proficiency appears to be at approximately a B1 level and does not meet the level required for the role. While he has a clear accent and is generally understandable, he faces significant challenges with sentence structure, fluency, and overall language accuracy. During the interview, he also demonstrated comprehension issues, particularly when dealing with more complex questions and scenarios.
From a technical perspective, Mohamed was unable to demonstrate relevant technical knowledge or experience. His responses indicated a lack of exposure to IT support concepts, troubleshooting methodologies, and the technical fundamentals expected for the Service Desk Analyst position.</t>
  </si>
  <si>
    <t xml:space="preserve">Hanin Bakhit Ahmed </t>
  </si>
  <si>
    <t>haninyoom@gmail.com</t>
  </si>
  <si>
    <t>Hanin demonstrated good communication skills in both German and English. While she does not yet have deep technical experience, she showed a strong willingness to learn and a positive attitude toward developing her technical capabilities. She has a solid foundation in technology and appears motivated to ramp up her knowledge quickly. Overall, she seems ready to start and has good potential for growth in the role.</t>
  </si>
  <si>
    <t xml:space="preserve">Alaa Ahmed Madkour </t>
  </si>
  <si>
    <t>aalaa.amadkour@gmail.com </t>
  </si>
  <si>
    <t>Aalaa demonstrated a very strong level of German proficiency, having studied up to the C1 level. Her English skills are fair and sufficient for professional communication. She brings extensive technical experience, with nearly six years in the field, and has also taken on an SME (Subject Matter Expert) role at Atos.
Throughout the interview, she showed strong awareness of both technical and quality-related processes and demonstrated a broad understanding of service operations. Based on her experience, technical expertise, and language skills, I believe she is a strong candidate and a good fit for the position.</t>
  </si>
  <si>
    <t>Eman Mahmoud</t>
  </si>
  <si>
    <t>emanm2192@gmail.com</t>
  </si>
  <si>
    <t>Eman demonstrated exceptional performance across all assessed areas. She has excellent language proficiency, with German at a C2 level and English at a C1 level. In addition, she possesses a strong technical background and extensive professional experience, making her a highly suitable candidate for a Quality position.
Her experience includes working with well-known organizations such as Vodafone, Concentrix, and Microsoft. She has also gained valuable expertise in gaming support, escalation management, repair specialist functions, and quality-related roles. Based on her communication skills, technical knowledge, and relevant experience, I believe she is an excellent fit for the position and would bring significant value to the team.</t>
  </si>
  <si>
    <t>zoz410414@gmail.com</t>
  </si>
  <si>
    <t>Ahmed Zidan demonstrated strong proficiency in German and English, along with solid technical knowledge. He has relevant experience and performed well throughout the assessment. Based on his skills, experience, and overall profile, I believe he would be a strong fit for the Service Desk (SD) Analyst role. However, his experience level does not currently align with a Senior Analyst position.</t>
  </si>
  <si>
    <t>Shrouk Elsheikh</t>
  </si>
  <si>
    <t>shroukelsheikh46@gmail.com</t>
  </si>
  <si>
    <t>Shrouk experienced difficulties communicating in both German and English, with frequent grammatical errors affecting clarity and fluency. She does not have a technical background, and during the scenario-based assessment, she struggled to deliver a difficult message effectively. Her vocabulary and range of expressions were limited, which impacted her ability to communicate confidently and comprehensively. Based on the interview, her language proficiency appears to be at a basic B2.1 level, and she would benefit from further development in both communication and technical skills.</t>
  </si>
  <si>
    <t xml:space="preserve">Mohamed ElMetwally Mohamed </t>
  </si>
  <si>
    <t>muhammed_elmetwally@outlook.com</t>
  </si>
  <si>
    <t>The candidate demonstrated very good English communication skills and strong technical knowledge. He has also studied ITIL and was able to answer the majority of the incident coordination-related questions effectively. In addition, he has more than one year of relevant experience in the same role, which was evident in his responses and overall understanding of incident management processes.</t>
  </si>
  <si>
    <t xml:space="preserve">Ehab Mohsen ElMalt </t>
  </si>
  <si>
    <t>ehab.mohsen.em@gmail.com</t>
  </si>
  <si>
    <t xml:space="preserve">Candidate Ehab Mohsen  is good for English Coordinator only as his German was not enough for technical teamleader so can we please offer him the Coordinator position </t>
  </si>
  <si>
    <t xml:space="preserve">Nada Noemen - declined Offer </t>
  </si>
  <si>
    <t>nadanoeman32@gmail.com</t>
  </si>
  <si>
    <t>Nada Noemen demonstrated excellent English communication skills. Her German proficiency is at a B2+ level, and she studied German at university, which has contributed to her strong language foundation. She has been handling Amazon customer support for nearly two years, giving her valuable experience in customer service and communication. Additionally, being married to a native German speaker has further enhanced her language skills and cultural understanding. She has a strong technical mindset, showed enthusiasm during the interview, and appears ready to take on a new challenge and grow in a more demanding role.</t>
  </si>
  <si>
    <t xml:space="preserve">Esraa Mahmoud Mohamed </t>
  </si>
  <si>
    <t>hegazyesraa3@gmail.com</t>
  </si>
  <si>
    <t xml:space="preserve">Rejected </t>
  </si>
  <si>
    <t>Esraa Mohamed has a solid technical background, with five years of experience supporting Microsoft Windows Server environments at Concentrix. Her technical knowledge and troubleshooting skills are strengths, and she has worked in a technical support role for an extended period.
However, during the interview, she demonstrated limited knowledge of Incident Coordination processes and was not familiar with key ITSM concepts and frameworks. While her technical expertise is evident, she was unable to effectively answer several questions related to incident management and coordination responsibilities.
From a communication perspective, her English proficiency did not meet the level expected for this position, particularly for a role that requires frequent stakeholder communication and coordination. In addition, feedback received from her former manager was not positive, which raises concerns regarding her overall suitability for the role.</t>
  </si>
  <si>
    <t xml:space="preserve">Fatma ElZahraa Osama </t>
  </si>
  <si>
    <t>amayem.fatima@gmail.com</t>
  </si>
  <si>
    <t xml:space="preserve">Orange 5 years incident , English is not enough -very nervous she was not able to focuss during the interview and lost her fluency </t>
  </si>
  <si>
    <t xml:space="preserve">Mohamed Mohsen </t>
  </si>
  <si>
    <t>mohamed2mohsen3@hotmail.com</t>
  </si>
  <si>
    <t>Mohamed Mohsen demonstrates good technical troubleshooting and issue-scoping skills. He has experience supporting Directory Services in Microsoft Windows Server environments and appears to have a solid technical foundation in this area.
However, he has limited exposure to Incident Management and was unable to demonstrate relevant experience or knowledge in this domain. Additionally, his English communication skills are below the level required for this role. His fluency is basic, and there were several instances where he struggled to understand the questions being asked, which affected the overall communication during the interview.</t>
  </si>
  <si>
    <t>Waad Essam</t>
  </si>
  <si>
    <t>sayedwaad081@gmail.com</t>
  </si>
  <si>
    <t>Waad Essam attended the interview after missing two previous interview appointments. During the interview, she demonstrated significant gaps in both language proficiency and technical knowledge. Based on the assessment, she does not currently meet the key requirements of the position and is not considered a suitable fit for the role.</t>
  </si>
  <si>
    <t>Salaheldin Yasser</t>
  </si>
  <si>
    <t>salahyasser145@gmail.com</t>
  </si>
  <si>
    <t>Salah is a strong fit for the Team Leader position. He possesses extensive leadership experience and has worked as a Team Leader across several well-known organizations, including Concentrix, Airbnb, Konecta, and Enpal. His diverse background has enabled him to develop strong team management, coaching, and operational skills.
He demonstrated strong communication skills in both German and English, which are essential for leading diverse teams and managing stakeholder interactions. In addition, he has a solid technical background that complements his leadership capabilities and allows him to effectively support his team in technical and operational matters.</t>
  </si>
  <si>
    <t>Bemwa Khalil</t>
  </si>
  <si>
    <t>bemwa.bebo@gmail.com</t>
  </si>
  <si>
    <t xml:space="preserve">Bemwa is not suitable from German prespective his german is way below the needed profile however he is good in tech and englosh is intermediate </t>
  </si>
  <si>
    <t xml:space="preserve">Seif Masoud  -  Declined Offer </t>
  </si>
  <si>
    <t>siefmassoud22@gmail.com</t>
  </si>
  <si>
    <t>Seif has strong communication skills in both German and English. He also demonstrates solid technical potential and is an experienced Linux user. He brings around five years of experience across customer care and solar technology, having worked with both Amazon SDS and Enpal. His combination of language skills, technical aptitude, and industry experience makes him a strong candidate for technical and coordination-focused roles</t>
  </si>
  <si>
    <t>hagarahmed283156@gmail.com</t>
  </si>
  <si>
    <t>Hager has a solid academic background in Germanistik and possesses additional C1-level German language skills. She also demonstrates good proficiency in English. While her technical experience is currently limited, she has a strong willingness to learn and shows great enthusiasm for acquiring new skills.</t>
  </si>
  <si>
    <t>nouranmnabil@gmail.com</t>
  </si>
  <si>
    <t>Nouran is a very strong candidate. She has relevant experience as an Incident Coordinator at both Orange and Tech Mahindra. She communicates effectively in English and possesses a solid technical background, making her well-suited for the role.</t>
  </si>
  <si>
    <t>Hamza Yehia Makhlouf</t>
  </si>
  <si>
    <t>hamzayehiamakhlouf@gmail.com</t>
  </si>
  <si>
    <t xml:space="preserve">Ahmed Reda </t>
  </si>
  <si>
    <t>ar096505@gmail.com</t>
  </si>
  <si>
    <t>Ahmed Reda demonstrated significant challenges in both English and German communication skills during the assessment process. In addition, concerns were identified regarding professionalism and attitude based on previous employment history and interactions. Given the combination of language proficiency gaps and behavioral concerns, he is not considered a suitable fit for the role at this time. Therefore, we recommend not proceeding with his application.ahmed is not stable as he is moving from place to the other within short whiles his average working periods between 5 to 6 months .</t>
  </si>
  <si>
    <t xml:space="preserve">Merna Ashraf </t>
  </si>
  <si>
    <t>merna.a.rady@gmail.com</t>
  </si>
  <si>
    <t xml:space="preserve">Merna was very good during the Interview , she is good in german also in english , she is having no technical background but she is ready and eager to learn so she is potential fit for the SD analyst </t>
  </si>
  <si>
    <t xml:space="preserve">Ahmed Fathy </t>
  </si>
  <si>
    <t>ahah828282@gmail.com</t>
  </si>
  <si>
    <t>Ahmed Fathy's German language skills were below the level required for the role. His spoken German contained numerous grammatical errors, and he struggled with fluency and sentence structure. He mentioned that he had not actively used German for approximately a year after being promoted to an acting Team Lead position, which may have contributed to the decline in his language proficiency.
In addition, his English language skills were also weak and would require further development. Ahmed should focus on improving both his German and English communication skills.
From a technical perspective, he demonstrated limited technical experience relevant to the position. Overall, his German proficiency did not align with the requirements of the role, despite his statement that his level is B2+.</t>
  </si>
  <si>
    <t>Doaa Abdelmonem</t>
  </si>
  <si>
    <t>doaaabdelmonem808@gmail.com</t>
  </si>
  <si>
    <t xml:space="preserve">Ziad Waleed Eid </t>
  </si>
  <si>
    <t>zwaleed909@gmail.com</t>
  </si>
  <si>
    <t>Audi</t>
  </si>
  <si>
    <t>Ziad appears to be a good fit for the Incident Coordinator position. He has five years of experience at Orange as a Network Engineer and demonstrated solid technical knowledge during the interview. He also has a good command of the English language, along with basic German language skills, which could be an added advantage for the role.</t>
  </si>
  <si>
    <t xml:space="preserve">Doha Abdelbary </t>
  </si>
  <si>
    <t>dohahamdy50@gmail.com</t>
  </si>
  <si>
    <t>Doha demonstrated strong proficiency in both languages during the interview. She also brings valuable technical experience from her previous roles at Sonnen as a Solar Technician and at HP through Concentrix, giving her a solid technical background. Additionally, her language skills have been further strengthened through her studies at the University of Education (Pädagogische Universität). Overall, she presents a well-balanced profile with both technical expertise and strong communication skills, making her a suitable candidate for the role.</t>
  </si>
  <si>
    <t>mostafa.mah.amer26@gmail.com</t>
  </si>
  <si>
    <t>Mostafa demonstrated strong German language skills during the interview. However, his English proficiency was below the desired level and may require further development. He brings six years of technical experience from his work at Vodafone 1212, including DSL support, which has provided him with a solid technical foundation. Despite the language gap in English, he showed a positive attitude, strong motivation, and a willingness to learn and develop. Overall, he is a suitable candidate for the position, particularly given his technical background and eagerness to grow.</t>
  </si>
  <si>
    <t>Abdelrahman Atef</t>
  </si>
  <si>
    <t>abdoatefgg@gmail.com</t>
  </si>
  <si>
    <t>Abdelrahman Atef demonstrated weak communication skills in both German and English. While his technical background is fair and meets some of the technical expectations, he was unable to express his thoughts clearly and confidently in either language during the interview.
Given the strong communication requirements of the SD position, his language proficiency is a significant concern. Based on the overall assessment, he is not considered a suitable fit for the SD position at this time.</t>
  </si>
  <si>
    <t>Maram Habib</t>
  </si>
  <si>
    <t>Maramhabibb@gmail.com</t>
  </si>
  <si>
    <t>Maram Habib demonstrated very weak proficiency in both German and English during the interview. Although she has approximately two and a half years of experience working with Atos, her language skills remain at a basic level.
Throughout the discussion, she struggled to communicate effectively in both languages and made numerous grammatical errors, which impacted her ability to express her ideas clearly and confidently. Given the language requirements of the role, her current level of proficiency does not meet the expected standards.
Based on the interview assessment, she is not considered a suitable fit for the position at this time.</t>
  </si>
  <si>
    <t>Ahmedmagdyelsayed10@gmail.com</t>
  </si>
  <si>
    <t xml:space="preserve">Audi </t>
  </si>
  <si>
    <t xml:space="preserve">Farah Helmy </t>
  </si>
  <si>
    <t xml:space="preserve">Ahmed is good in the German language with B2+ and 3 years experience in Care accounts such as Booking Concentrix , ePay and Amazon in Foundever , he was also good in english but his english is not sufficient , he has basic technical bakground and he studied the german academic so might fit for the position </t>
  </si>
  <si>
    <t>Samia Ossama Ibrahim</t>
  </si>
  <si>
    <t>samiaosama275@gmail.com</t>
  </si>
  <si>
    <t>The candidate's German and English language skills are below the required basic level. There are significant language gaps, along with multiple grammar and fluency issues. The candidate frequently mixes German and English during communication, which impacts clarity and comprehension. Additionally, the candidate has no previous call center experience and does not possess a technical background.</t>
  </si>
  <si>
    <t>Mahmoud Samy</t>
  </si>
  <si>
    <t>mahmoudsamy531@gmail.com</t>
  </si>
  <si>
    <t>The candidate holds a B2 German language level but does not possess any formal language certification. He is a Civil Engineer who studied German as a second language. The candidate previously worked at Vodafone Ireland, which has contributed to a considerably stronger command of English compared to German.
Despite holding a B2 level, the candidate's German proficiency is significantly below the standard required for the role. During the interview, he demonstrated numerous grammatical errors, vocabulary gaps, and frequent fluency issues. His spoken German was fragmented, and he struggled to express ideas clearly and consistently, resulting in communication breakdowns at several points throughout the conversation.</t>
  </si>
  <si>
    <t xml:space="preserve">Abdelrahman Mahmoud </t>
  </si>
  <si>
    <t>selemanabdelrahman@gmail.com</t>
  </si>
  <si>
    <t>Abdelrahman Mahmoud graduated from the Faculty of Languages and Translation, where he studied English as his primary language and German as a second language. He does not hold any German language certifications.
The candidate has a solid technical and customer service background gained through several years of experience in the call center industry. His overall professional experience and technical aptitude are strong and relevant.
However, his German language proficiency does not meet the required level for the position. During the interview, his spoken German was fragmented and lacked the necessary fluency. He made several grammatical mistakes, demonstrated vocabulary limitations, and struggled to communicate ideas smoothly and confidently. While he was able to participate in the conversation, his German communication skills were noticeably below the standard needed for the role.</t>
  </si>
  <si>
    <t>Rawan Ehab Abdelazim</t>
  </si>
  <si>
    <t>Rawanehab140@gmail.com</t>
  </si>
  <si>
    <t xml:space="preserve">Rawan Ehab was very good in both languages , she is eager to learn she is b2+ and she has wide experience in 2 companies out of which concentrix and she has a good technical background </t>
  </si>
  <si>
    <t xml:space="preserve">Mohamed Saeed Saeed </t>
  </si>
  <si>
    <t>samyphone1993@gmail.com</t>
  </si>
  <si>
    <t>Mohamed Saeed was not good in both germn and english and he studied the german as selfstudy and his german was not at all enough to the position</t>
  </si>
  <si>
    <t>Mohamed Yehia</t>
  </si>
  <si>
    <t>lionel7095@gmail.com</t>
  </si>
  <si>
    <t xml:space="preserve">Mohamed Yehia's German was full of gramatic mistakes his english is better than German as he studied the german as self study ans he has no certificates at all </t>
  </si>
  <si>
    <t xml:space="preserve">Nouran Ashraf </t>
  </si>
  <si>
    <t>nouranashraf955@gmail.com</t>
  </si>
  <si>
    <t xml:space="preserve">Nouran was very good in both languages beside having fair technical background </t>
  </si>
  <si>
    <t>mohamedayman@outlook.de</t>
  </si>
  <si>
    <t>Mohamed Ayman was very good in both languages and he has almost 15 years experience in many fields out of which 10 years in technical field he is more than fir for the position</t>
  </si>
  <si>
    <t>bonymahfouz14@gmail.com</t>
  </si>
  <si>
    <t xml:space="preserve">Banan was very good in both languages and she has basic technical knowledge , she is fit for the position </t>
  </si>
  <si>
    <t xml:space="preserve">Rawan Mohamed  Fadli </t>
  </si>
  <si>
    <t xml:space="preserve">rawanfadli28@gmail.com </t>
  </si>
  <si>
    <t xml:space="preserve">Rawan was very good in both languages beside she has 3 years of experience in 2 companies and worked as TA in concentrix so dhe is fit for SD Analyst </t>
  </si>
  <si>
    <t>Ganna Mohy Sultan</t>
  </si>
  <si>
    <t>gannamohy31@gmail.com</t>
  </si>
  <si>
    <t xml:space="preserve">Ganna was very below the profile and she has no experience before in any fields , she can not master any language she was below the standard </t>
  </si>
  <si>
    <t>Ramez Tamer</t>
  </si>
  <si>
    <t>rameztamer33@gmail.com</t>
  </si>
  <si>
    <t xml:space="preserve">Ramez was below the level needed for both languages and he did also studied the German as self study english was better as he studie mass communication and has nothing to do with German </t>
  </si>
  <si>
    <t> Esraa Adel Ibrahim</t>
  </si>
  <si>
    <t>essoadel497@gmail.com</t>
  </si>
  <si>
    <t xml:space="preserve">Esraa was very weak on both languages although she mentioned that she is having c1 language levele and she worked at vodafone for 8 years howver her german was so bad and also the english was way below the needed profile </t>
  </si>
  <si>
    <t>amrkhedewy@gmail.com</t>
  </si>
  <si>
    <t xml:space="preserve">Amr was very good in German , english and tech , he studie german in the uni and also has TELC C1 certificates also worked 5 years at microsoft consumer </t>
  </si>
  <si>
    <t xml:space="preserve">Abdelrahman Shaaban </t>
  </si>
  <si>
    <t>abdulrahmanahmed45abdul@gmail.com</t>
  </si>
  <si>
    <t>Abulrahman was not confident in English and could be assessed at approximately an A1 level. His German proficiency was around a basic B2 level, which he achieved through studying at the Goethe-Institut. He has five years of work experience across different companies. However, his German communication was often affected by fluency challenges, grammatical errors, and limited confidence in speaking, which sometimes made it difficult for him to express himself clearly.</t>
  </si>
  <si>
    <t xml:space="preserve">Ahmed Galal abuelfadl </t>
  </si>
  <si>
    <t>galal.fab@gmail.com</t>
  </si>
  <si>
    <t>Ahmed Galal demonstrated strong proficiency in both English and German, communicating confidently and effectively in both languages. He brings nearly 15 years of professional experience across various industries, including approximately 10 years in the technology sector.
Throughout his career, he has worked with well-known organizations such as Vodafone and Concentrix, supporting major clients including Amazon and Microsoft. Within Microsoft and the Xbox support environment, Ahmed gained experience across multiple support levels, handling Tier 1 (T1), Tier 2 (T2), and Tier 3 (T3) responsibilities. His extensive technical background, combined with his strong communication skills and customer service expertise, makes him a highly qualified and versatile professional.</t>
  </si>
  <si>
    <t>Nourhan  Abuelkheir Khafagy</t>
  </si>
  <si>
    <t>noraboelkheir4321@gmail.com</t>
  </si>
  <si>
    <t xml:space="preserve">Nourhan was very good in both languages besdie having 2 years experience in call center with Concentrix and IGT , she fits for SD Analyst </t>
  </si>
  <si>
    <t xml:space="preserve">Aya Elshams </t>
  </si>
  <si>
    <t>aya22elshams@gmail.com</t>
  </si>
  <si>
    <t xml:space="preserve">Aya Elshams is currently at a B1 level in German and is willing to continue her development toward obtaining a Goethe B2 certification. She is a fluent English speaker and has only recently decided to transition her focus to German. While she demonstrates motivation to improve, she currently makes a significant number of grammatical mistakes in German, which affect the clarity and accuracy of her communication.
Aya is currently working with Microsoft MFA and has relevant technical exposure. However, her current German language proficiency is not yet sufficient for an SD Analyst role, as the position requires stronger communication skills, greater fluency, and a higher level of grammatical accuracy in German. Further language development would be recommended before considering her for a German-speaking SD Analyst position. she couldn't understand some german questions , she speaks English very well and she has good experience with english </t>
  </si>
  <si>
    <t xml:space="preserve">Osama ElSayed Ahmed </t>
  </si>
  <si>
    <t xml:space="preserve">canceled </t>
  </si>
  <si>
    <t xml:space="preserve">Canceled </t>
  </si>
  <si>
    <t xml:space="preserve">Maria Gerges </t>
  </si>
  <si>
    <t>mariakuku02@gmail.com</t>
  </si>
  <si>
    <t xml:space="preserve">Maria's english ia a1 and german is b1 basic , she studied both self study and she has no callcenter experience she is a receiptionist in Reobinson club Soma Bay and she is really faraway from the level we need </t>
  </si>
  <si>
    <t>Nourhan Essameldin Fathy</t>
  </si>
  <si>
    <t>nourhanessameldin98@gmail.com</t>
  </si>
  <si>
    <t xml:space="preserve">Nourhan was faraway in german and english she worked as freelancing with Amazon for 7 years but her german is full of grmatic mistakes and also english was basic , she hs no technical background and her german is basic b2 she doesn't fir fot SD Position </t>
  </si>
  <si>
    <t>Mariam Mohamed Ali</t>
  </si>
  <si>
    <t>mmrym3102@icloud.com</t>
  </si>
  <si>
    <t xml:space="preserve">Mariam's German and english are far away from what is needed , both languages were not existing to be honest  , she wasn't able to express in english and her German was mainly b1 basic </t>
  </si>
  <si>
    <t xml:space="preserve">Engy Samir </t>
  </si>
  <si>
    <t>engym9211@gmail.com</t>
  </si>
  <si>
    <t xml:space="preserve">Engy has a very low command of both languages , bad german and the english was also the same , she was reading and she didn't understand some questions . </t>
  </si>
  <si>
    <t xml:space="preserve">Arwa Mohamed </t>
  </si>
  <si>
    <t>arwam7858@gmail.com</t>
  </si>
  <si>
    <t xml:space="preserve">Arwa' german was basic b1 , with one year work experience in paypal with concentrix , her german was very basic and full of gramatic mistakes , she has a fair english but the german really below the needed nevau for Audi </t>
  </si>
  <si>
    <t>Ahmed Salama Abhabib</t>
  </si>
  <si>
    <t>salamaahmed607.199@gmail.com</t>
  </si>
  <si>
    <t>Candidate didn't show up</t>
  </si>
  <si>
    <t xml:space="preserve">Ahmed Sayed  Sayed Farag </t>
  </si>
  <si>
    <t>ahmed7274farag@gmail.com</t>
  </si>
  <si>
    <t>Ahmed was Good in english , very good in German with C1 Goethe Certificate , he has basic technical backgeound with 1 year experience in Vodafone Germany Collection team .</t>
  </si>
  <si>
    <t>khaledadel1417@gmail.com</t>
  </si>
  <si>
    <t xml:space="preserve">Khaled is good in bothe languages and he is having 1 year experience in Temu German , eager to Learn his German is fit for the SD Analyst </t>
  </si>
  <si>
    <t>Mohamed Ibrahim</t>
  </si>
  <si>
    <t>mohamed.ibrahim19075@gmail.com</t>
  </si>
  <si>
    <t>Mohamed was not able to fluently express in both German and english although he has been working for amazon for 3 years but his language was really limited , some quetions were not understood , he has also no certificates as he did study german by his own . his language level is basic b2</t>
  </si>
  <si>
    <t xml:space="preserve">Sara Ali </t>
  </si>
  <si>
    <t xml:space="preserve">Candidate won't be able to join </t>
  </si>
  <si>
    <t xml:space="preserve">Fares Ibrahim ElSayad </t>
  </si>
  <si>
    <t>farsalsyad396@gmail.com</t>
  </si>
  <si>
    <t xml:space="preserve">Fares was having low command of both German and english , englihs was lower than basic german is b1 max . articulations problem , he has no basic tech , not fit at all for the position </t>
  </si>
  <si>
    <t xml:space="preserve">Rewan Khaled </t>
  </si>
  <si>
    <t>rewankhaled2024@icloud.com</t>
  </si>
  <si>
    <t>Very Bad German and english Level no basic technical background .</t>
  </si>
  <si>
    <t xml:space="preserve">Hadeel Ahmed - rejected </t>
  </si>
  <si>
    <t>hadeelshafie242@gmail.com</t>
  </si>
  <si>
    <t xml:space="preserve">Hadeel  is very good in both german and english , she has almost 4 years experience ni Microsoft , she was also SME for a while , she is more than qualified for the SD Role </t>
  </si>
  <si>
    <t>alaayehiaa27@gmail.com</t>
  </si>
  <si>
    <t xml:space="preserve">Alaa's German was good she has 2 years of experience also tech background with AI </t>
  </si>
  <si>
    <t xml:space="preserve">Rescheduled </t>
  </si>
  <si>
    <t xml:space="preserve">Mohamed Ahmed </t>
  </si>
  <si>
    <t>ahmedmohamed05147@gmail.com</t>
  </si>
  <si>
    <t xml:space="preserve">Mohamd ahmed did study the language in 6 months both German and english and his language nevau is not enough , he has also a plan to travel to germany in 6 months so no need for him </t>
  </si>
  <si>
    <t>Mohamed</t>
  </si>
  <si>
    <t xml:space="preserve">Nada Gamal Gomaa </t>
  </si>
  <si>
    <t>gnada3171@gmail.com</t>
  </si>
  <si>
    <t xml:space="preserve">Nancy Maged el sharkawy </t>
  </si>
  <si>
    <t>nancyelsharqawy9@gmail.com</t>
  </si>
  <si>
    <t>Nancy demonstrated a strong command of the German language and possesses relevant experience that makes her a good fit for the Service Desk (SD) role. We would recommend moving forward with her as a priority and aiming for an ASAP start date.
She previously worked as a German language instructor and brings more than 10 years of professional experience across well-known organizations, including Vodafone, Concentrix, and Foundever. Her combination of language proficiency, customer service background, and extensive professional experience makes her a strong candidate for the position.</t>
  </si>
  <si>
    <t xml:space="preserve">Mostafa Rageb Gomaa </t>
  </si>
  <si>
    <t>mostafa12ragab23@gmail.com</t>
  </si>
  <si>
    <t>Mostafa studied German at DKW Academy. However, he demonstrated several language gaps and made numerous grammatical mistakes throughout the interview. He also spoke very quickly, which negatively impacted clarity and communication. His English proficiency was also at a basic level. From an educational background perspective, he studied Agriculture. Based on the interview, his language skills require further development, particularly in terms of accuracy, fluency, and overall communication effectiveness.</t>
  </si>
  <si>
    <t xml:space="preserve">Omnya Fathy Attia </t>
  </si>
  <si>
    <t>omniafathy1409@gmail.com</t>
  </si>
  <si>
    <t xml:space="preserve">Ahmed Saad </t>
  </si>
  <si>
    <t>ahmedsa3d.3222@gmail.com</t>
  </si>
  <si>
    <t xml:space="preserve">ahmed was good on both languages German and english with good callcenter experience </t>
  </si>
  <si>
    <t xml:space="preserve">Rawan Eldin </t>
  </si>
  <si>
    <t xml:space="preserve">Mariam Ahmed - Offer declined </t>
  </si>
  <si>
    <t>mariemahmadgp@gmail.com</t>
  </si>
  <si>
    <t xml:space="preserve">Mariam was good in German and english with C1 certificate and experience in call center also good technical Background </t>
  </si>
  <si>
    <t xml:space="preserve">Ahmed Ashraf </t>
  </si>
  <si>
    <t>ahmedashraf1940@gmail.com</t>
  </si>
  <si>
    <t xml:space="preserve">German is below the needed level no more than b1 </t>
  </si>
  <si>
    <t xml:space="preserve">Kyrollos Asaad </t>
  </si>
  <si>
    <t>kyrillos.asaad99@gmail.com</t>
  </si>
  <si>
    <t xml:space="preserve">Kyrollos has studied the language until b2 at Goethe Institute and he has 2 years of experience in Exceed Odegio Line of business his english is also fair so he fits for the position </t>
  </si>
  <si>
    <t>Mohamed Khaled Ameen</t>
  </si>
  <si>
    <t>mameensoliman@gmail.com</t>
  </si>
  <si>
    <t xml:space="preserve">Cancelled </t>
  </si>
  <si>
    <t>Cancelled</t>
  </si>
  <si>
    <t>Mohamed Essam Mansour</t>
  </si>
  <si>
    <t>mohamedessam5220@gmail.com</t>
  </si>
  <si>
    <t xml:space="preserve">Mohamed had low command of German and english , full of gramatical mistakes , no technical background </t>
  </si>
  <si>
    <t>Sara.mahmoud.abdelwahid@gmail.com</t>
  </si>
  <si>
    <t xml:space="preserve">Sarah was good in german and she has almost 2 years of experience in callcenter - she knows how top deal with customers and she studied German in the uni </t>
  </si>
  <si>
    <t xml:space="preserve">Rannouna Abosetta </t>
  </si>
  <si>
    <t>ranonaa.abusetta@capgemini.com</t>
  </si>
  <si>
    <t>Abdallah Saleh Hussein</t>
  </si>
  <si>
    <t>salehabdallah313@gmail.com</t>
  </si>
  <si>
    <t xml:space="preserve">Hazem El Meseery </t>
  </si>
  <si>
    <t>hazem.elmesery@capgemini.com</t>
  </si>
  <si>
    <t xml:space="preserve">Internal Transfer and good to proceed </t>
  </si>
  <si>
    <t>sara.abdelwareth16@gmail.com</t>
  </si>
  <si>
    <t xml:space="preserve">Abdelwahab Mohamed shaaban- Declined </t>
  </si>
  <si>
    <t>abdomeedo121@gmail.com</t>
  </si>
  <si>
    <t xml:space="preserve">Abdelwahab studied Commercial and German upuntil B2 in Goethe with 2 years in Amazon Insource , his english is okay and German also he was asked to start studying C1 , but we can offer him SD Analyst , he is also ready to join asap </t>
  </si>
  <si>
    <t>khaledroos2020@gmail.com</t>
  </si>
  <si>
    <t xml:space="preserve">khaled was good in German and englihs also have experinec in call centr in Concentrix with a minimum level of tech experience , we can offer him </t>
  </si>
  <si>
    <t xml:space="preserve">Maryam Attia Fayad </t>
  </si>
  <si>
    <t>maryamfayadh424@gmail.com</t>
  </si>
  <si>
    <t xml:space="preserve">Maryam is good in German and english , she has basic technical background , she is also fit for the position </t>
  </si>
  <si>
    <t>mariamelmallawany17@gmail.com</t>
  </si>
  <si>
    <t xml:space="preserve">Mariam is Good in both German and english she has no tech background -  she is potential for the position </t>
  </si>
  <si>
    <t xml:space="preserve">Omar Salah - Company Rejected </t>
  </si>
  <si>
    <t>o1s24680@gmail.com</t>
  </si>
  <si>
    <t xml:space="preserve">Omar is good in Germana and emglish , he has many years of experience as Agent , SME , Quality Coach by Concentrix and VXI also he has technical Background , he is fit for the position </t>
  </si>
  <si>
    <t xml:space="preserve">Abdallah Saleh </t>
  </si>
  <si>
    <t xml:space="preserve">Abdallah is B2+ studied Germnistik and he has an experience of almost 2 years at Concentrix Booking and has minimum technical background so he is potential for SD Analyst </t>
  </si>
  <si>
    <t xml:space="preserve">Hager ZainElabdeen </t>
  </si>
  <si>
    <t>hagar.zain-el-abdeen@capgemini.com</t>
  </si>
  <si>
    <t xml:space="preserve">Hager is already Capgemini Fedex collection agent and she stdied German in alalsun Uni she has no tech background and she has almsot 2 years of experience in callcenter , she can aslo speak good German so she is potential </t>
  </si>
  <si>
    <t xml:space="preserve">Mohamed Tarek Mohamed </t>
  </si>
  <si>
    <t>Mohamed Tarek's German proficiency is approximately at the B1 level. He has a noticeable accent and demonstrated multiple grammatical errors throughout the interview, which impacted overall fluency and communication effectiveness. Additionally, he does not have a technical background relevant to the role. Based on his current German language proficiency and technical profile, he is not a suitable fit for the Service Desk (SD) role.</t>
  </si>
  <si>
    <t xml:space="preserve">Shenouda Morcus Hanna </t>
  </si>
  <si>
    <t>shenodamorkos12@gmail.com</t>
  </si>
  <si>
    <t>Shenouda's German proficiency was significantly below the level required for the Service Desk role. He demonstrated numerous grammatical errors, fluency issues, and had difficulty expressing his thoughts clearly, often repeating himself during the interview. His English proficiency was also below the required standard. In addition, he does not have a relevant technical background. Based on the language assessment and overall profile, he is not a suitable fit for the Service Desk (SD) role.</t>
  </si>
  <si>
    <t xml:space="preserve">Demiana Romany Hanna </t>
  </si>
  <si>
    <t>demianaromany018@gmail.com</t>
  </si>
  <si>
    <t xml:space="preserve">Rowan Sahwky </t>
  </si>
  <si>
    <t>rowanshawky22@gmail.com</t>
  </si>
  <si>
    <t>Rowan demonstrated good proficiency in both German and English and communicated effectively throughout the interview. He also possesses a solid technical background, with approximately four years of overall industry experience, including three years with Atos. Based on his language skills, technical knowledge, and professional experience, he appears to be a good fit for the Service Desk (SD) role.</t>
  </si>
  <si>
    <t xml:space="preserve">Marawan Magdy </t>
  </si>
  <si>
    <t>marwanmohamed20331@gmail.com</t>
  </si>
  <si>
    <t xml:space="preserve">Marawan was very good in english cause this is his first language , German was b2 and he is certified from Goethe with 2 years of experience with Airbnb and Octobus , he has also some technical knowledge but he has some gramatic mistakes , he is potential for the position </t>
  </si>
  <si>
    <t>mzr43197@gmail.com</t>
  </si>
  <si>
    <t xml:space="preserve">Mohamed Ezzat is good in German and english , he has also an experience in callcenter and Tech for almost 7 years , he is familiar with the type of work and he is fit for SD Role </t>
  </si>
  <si>
    <t xml:space="preserve">Nader Eryan </t>
  </si>
  <si>
    <t>bolanader5@gmail.com</t>
  </si>
  <si>
    <t xml:space="preserve">Nader did study the German by himself and he has no certificates he has also 8 months exoerience in the care with IGT Solution , he is better in english than German </t>
  </si>
  <si>
    <t>Noura Ramadan</t>
  </si>
  <si>
    <t>noraramdann33@gmail.com</t>
  </si>
  <si>
    <t>Noura Ramadan is a fresh graduate and recently completed her studies. Although she studied German at university, her German proficiency is significantly below the level required for the role. She demonstrated noticeable language gaps, including grammar and fluency issues, and would likely face challenges coping with the role's communication requirements. Additionally, she appeared to be reading from prepared material during the interview rather than responding spontaneously. Based on the assessment, she is not a suitable fit for the position at this stage.</t>
  </si>
  <si>
    <t>Esraa Adel Abdelazim</t>
  </si>
  <si>
    <t>esraa.abdelazim@capgemini.com</t>
  </si>
  <si>
    <t>Esraa is an internal mover with a strong command of both German and English. She demonstrated solid communication skills and has relevant call center experience. Her background includes working with Concentrix (Expedia), ePay, and FedEx, which has provided her with valuable customer service experience. Based on her language proficiency and professional background, she is a good fit for the position and is recommended to proceed.</t>
  </si>
  <si>
    <t>Hagarahmed68@yahoo.com</t>
  </si>
  <si>
    <t xml:space="preserve">Hager studied German academic and she was good in German almsot b2+ with almost 3 years experience in Concentrix N26 Lob also took over second level support so she is taking care of escalations - her english is average and she has an average Technical Background </t>
  </si>
  <si>
    <t>Rokia Sobhy Hussein</t>
  </si>
  <si>
    <t>rokiasobhy@gmail.com</t>
  </si>
  <si>
    <t>Rokia is highly proficient in German and also demonstrates strong English communication skills. She has 3 years of experience supporting Amazon through TP, providing her with solid customer service and operational exposure. In addition, she studied programming and computer languages and completed a software diploma, giving her a good technical foundation. Although she learned German independently, she has achieved a strong command of the language. Overall, she is a good fit for the Service Desk (SD) role due to her language capabilities, technical background, and relevant customer support experience.</t>
  </si>
  <si>
    <t>radwatarek5544@gmail.com</t>
  </si>
  <si>
    <t>Radwa Tarek was Very good with English and also German, she studied German in the Uni and also extra Diploma she has 3 years of experience in call center with Concentrix and IQor , she is fit for SD Role</t>
  </si>
  <si>
    <t xml:space="preserve">Mennatullah Sherif </t>
  </si>
  <si>
    <t xml:space="preserve">Menna's German was below the targetted Level , english also although she studied german in the Uni and laso working with Microsoft but her language was full of Gramatic Mistakes </t>
  </si>
  <si>
    <t xml:space="preserve">Malak Emara </t>
  </si>
  <si>
    <t>malakomara92@gmail.com</t>
  </si>
  <si>
    <t xml:space="preserve">Malak is fresh graduate and she has many language gabs also some gramatic mistakes , she speaks god english but she has no technical background </t>
  </si>
  <si>
    <t>Rojeh Gerges Medhat</t>
  </si>
  <si>
    <t>Rojehmedhat318@gmail.com</t>
  </si>
  <si>
    <t>Rojeh's German language proficiency is below the required B2 level. He learned the language through self-study; however, his communication skills are not yet at the standard needed for the role. His English proficiency is also below the required level, with noticeable fluency and language gaps. He has a background in gaming but lacks relevant customer service or technical support experience. Additionally, he is still an undergraduate. Overall, he is currently not a suitable fit for the Service Desk role due to his language proficiency gaps and limited relevant experience.</t>
  </si>
  <si>
    <t>Mohamed Mahmoud Hegazy</t>
  </si>
  <si>
    <t>mohamed.mhegazy77@gmail.com</t>
  </si>
  <si>
    <t>Mohamed Mahmoud's English proficiency was noticeably stronger than his German. He holds a degree in Pharmacy, and German was studied as an additional language rather than as his primary field of study. Although he currently works as a Medical Representative at Allianz and supports German-speaking customers, his German language skills were below the level required for the Service Desk role. He demonstrated limitations in fluency, vocabulary, and overall communication, and he does not hold any relevant German language certifications. Based on the interview, he is not a suitable fit for the SD role at this stage.</t>
  </si>
  <si>
    <t xml:space="preserve">Arwa Ali </t>
  </si>
  <si>
    <t>aarwa9242@gmail.com</t>
  </si>
  <si>
    <t>Arwa demonstrated strong communication skills in both German and English. She has previous professional experience with Enpal, which has provided her with exposure to customer-facing environments. While her technical background is relatively limited, her language proficiency, communication skills, and overall profile align well with the requirements of the Service Desk role. Based on the interview, she is considered a suitable candidate for the SD position.</t>
  </si>
  <si>
    <t xml:space="preserve">Youssef Ayman </t>
  </si>
  <si>
    <t xml:space="preserve">Youssef's German Level was not matching the C1 Level Needed - He has good experience but theoretically he has no technical background </t>
  </si>
  <si>
    <t>Karim Ali</t>
  </si>
  <si>
    <t>karimwkimo@gmail.com</t>
  </si>
  <si>
    <t xml:space="preserve">Karim demonstrated German language skills at approximately B2 level, acquired primarily through self-study. His English proficiency was noticeably stronger than his German, as German was studied as a second language. He brings around 8 years of professional experience and is currently working in a Team Leader position. During the interview, he indicated that he is seeking an individual contributor role to achieve a better work-life balance. His German communication contained a significant number of grammatical errors, which impacted overall fluency and accuracy. Based on the language assessment, his German proficiency is below the level expected for the Service Desk role at this stage.he is a potential attrition </t>
  </si>
  <si>
    <t xml:space="preserve">Ziad Mustafa </t>
  </si>
  <si>
    <t>ziyadmustafa40@gmail.com</t>
  </si>
  <si>
    <t>Ziad 's German was not sufficient and also his English , he has many gramaic mistakes although he has technical background with Amazon Prime .</t>
  </si>
  <si>
    <t xml:space="preserve">Hana Sabry </t>
  </si>
  <si>
    <t>haanaasaabry@gmail.com</t>
  </si>
  <si>
    <t>Hana studied German at university and completed additional German language training. During the interview, she demonstrated a noticeable number of pronunciation and articulation issues, as well as frequent grammatical mistakes, which affected the clarity and effectiveness of her communication. In the theoretical assessment, some questions were not fully understood, and several responses were repetitive without adequately addressing the questions asked. Additionally, she does not have a technical background relevant to the Service Desk role. Based on her language proficiency, communication performance, and overall assessment results, she does not currently meet the requirements of the position.</t>
  </si>
  <si>
    <t>mohammedibrahem527@gmail.com</t>
  </si>
  <si>
    <t>Mohamed holds a degree in Dentistry and learned German primarily through self-study. He demonstrated strong communication skills in both German and English, with an assessed proficiency of approximately B2+ in both languages. He also holds an OSD German language certification, which supports his language proficiency. Professionally, he gained customer service experience through his work with Concentrix in the AGODA line of business. In addition, he demonstrated a solid technical foundation and was able to handle the technical questions effectively. Based on his language skills, customer service experience, and technical background, he is considered a suitable candidate for the Service Desk role.</t>
  </si>
  <si>
    <t>Mostafa Magdy</t>
  </si>
  <si>
    <t>mostafarshwan25@gmail.com</t>
  </si>
  <si>
    <t xml:space="preserve">Seif Eldin Ashraf </t>
  </si>
  <si>
    <t>sisoashrf01@gmail.com</t>
  </si>
  <si>
    <t xml:space="preserve">Candiadate is not satble , potential attrition and his both languages are below the nevau needed , he is also a jumper as he moved within 9 months to 3 companies and he spoke negatively about his previous company and the Managemtn team </t>
  </si>
  <si>
    <r>
      <rPr>
        <sz val="11"/>
        <color rgb="FF000000"/>
        <rFont val="Calibri"/>
        <scheme val="minor"/>
      </rPr>
      <t xml:space="preserve">Amr Omar - </t>
    </r>
    <r>
      <rPr>
        <sz val="11"/>
        <color rgb="FFFF0000"/>
        <rFont val="Calibri"/>
        <scheme val="minor"/>
      </rPr>
      <t>offer declined</t>
    </r>
  </si>
  <si>
    <t>amr_omar_de@yahoo.com</t>
  </si>
  <si>
    <t xml:space="preserve">Amr is good in German and english he has a huge experience in Callcenter and also eager to learn , he has technical background </t>
  </si>
  <si>
    <t xml:space="preserve">Youmna Hossam Eldin </t>
  </si>
  <si>
    <t>yomna.hosam22@gmail.com</t>
  </si>
  <si>
    <t xml:space="preserve">Candidate Rejected due to the english and Tech , she is good in german and also she has Amazon Experience  </t>
  </si>
  <si>
    <t xml:space="preserve">Zekra Magdy </t>
  </si>
  <si>
    <t>zekramagdy47@gmail.com</t>
  </si>
  <si>
    <t xml:space="preserve">Mahmoud Bayoumi </t>
  </si>
  <si>
    <t>bayoumim.2003@gmail.com</t>
  </si>
  <si>
    <t xml:space="preserve">Candidate b1 - English A1 he is not fit for the Role </t>
  </si>
  <si>
    <t xml:space="preserve">Abdelrahman Mustafa Ouf </t>
  </si>
  <si>
    <t>abdelrhmanouf5@gmail.com</t>
  </si>
  <si>
    <t>Abdelrahman demonstrated stronger English proficiency than German. He learned German through self-study and has approximately three years of experience with Amazon. During the interview, he showed articulation and pronunciation challenges, along with several grammatical mistakes in German. While he has relevant professional experience, his German communication skills are currently below the level required for a Service Desk role.</t>
  </si>
  <si>
    <t xml:space="preserve">Soad Saeed </t>
  </si>
  <si>
    <t>Soadsaied300985@yahoo.com</t>
  </si>
  <si>
    <t>Soad has extensive professional experience across multiple companies. However, during the assessment, there were concerns regarding her professional approach and overall fit with the team's expectations and culture. Based on the interview evaluation, there are reservations about proceeding with her candidacy at this stage. Therefore, I would not recommend moving forward with her application for this role.</t>
  </si>
  <si>
    <t>sherif Henidi</t>
  </si>
  <si>
    <t>sherifhenidi5@gmail.com</t>
  </si>
  <si>
    <t xml:space="preserve">Ahmed Adel </t>
  </si>
  <si>
    <t>lody21516@gmail.com</t>
  </si>
  <si>
    <t>Ahmed Adel demonstrated approximately B1-level German proficiency. He is a self-taught German speaker; however, the interview revealed a high number of grammatical errors, sentence structure issues, pronunciation challenges, and comprehension gaps. His overall communication was impacted by difficulties in understanding and formulating accurate responses in German.</t>
  </si>
  <si>
    <t xml:space="preserve">Marawan Ali </t>
  </si>
  <si>
    <t>maroaly2002@gmail.com</t>
  </si>
  <si>
    <t>Bassant Selim</t>
  </si>
  <si>
    <t>bassantsabry23@gmail.com</t>
  </si>
  <si>
    <t xml:space="preserve">Bassant's Language level was below the german level needed , english was also almsost A1 - no technical Background </t>
  </si>
  <si>
    <t xml:space="preserve">Mohamed Mohey </t>
  </si>
  <si>
    <t>mohamedmohey7151@gmail.com</t>
  </si>
  <si>
    <t xml:space="preserve">Mohamed was very good and overtall fit for the position with also QA experience </t>
  </si>
  <si>
    <t>Mohab Aboud</t>
  </si>
  <si>
    <t>mohabessam55@gmail.com</t>
  </si>
  <si>
    <t xml:space="preserve">Mohab's Language was b1 and he has also average english - he studied german as Self study and he is not fit for the SD Role </t>
  </si>
  <si>
    <t xml:space="preserve">Reham Safwat </t>
  </si>
  <si>
    <t>rihamsafwat00@gmail.com</t>
  </si>
  <si>
    <t xml:space="preserve">Candidate Apologized </t>
  </si>
  <si>
    <t>Salma Mohamed Abdelfattah </t>
  </si>
  <si>
    <t>177salmamo7amed@gmail.com</t>
  </si>
  <si>
    <t>Salma has experience working with Amazon; however, during the assessment, her German proficiency was below the level required for the Service Desk role. She demonstrated frequent grammatical errors and faced challenges expressing herself clearly in both German and English.
Additionally, she did not demonstrate the level of technical understanding, problem-solving approach, or technical mindset expected for a Service Desk position. Based on the language assessment and overall evaluation, she is currently not a fit for the SD role. Areas for development include German language accuracy, communication skills, and foundational technical knowledge.</t>
  </si>
  <si>
    <t>nadaebrahim952@gmail.com</t>
  </si>
  <si>
    <t xml:space="preserve">Nada Is good in German and english , she has no technical background only amazon experience she is eager to learn and potential fit for the SD Role </t>
  </si>
  <si>
    <t>mabdelrahman818@gmail.com</t>
  </si>
  <si>
    <t xml:space="preserve">Candidate was very good in German and he has almost 3 years of experience in the callcenter . he is also having a technical background and potential fit for the role </t>
  </si>
  <si>
    <t>Amanyhassan067@gmail.com</t>
  </si>
  <si>
    <t xml:space="preserve">Amany was good in german and also she has an experience of almost 2 years in call center with TP and Microsoft . she hs a technical background and potential fit for SD Role </t>
  </si>
  <si>
    <t>mh477090@gmail.com</t>
  </si>
  <si>
    <t xml:space="preserve">Mohamd was very good in German and technical as he studied CCNA and worked with Concentrix Amazon and ePay and he is potential for SD Role , his englihs needs some improvement </t>
  </si>
  <si>
    <t xml:space="preserve">Bassel Mohamed </t>
  </si>
  <si>
    <t>Basselmohammed7@gmail.com</t>
  </si>
  <si>
    <t xml:space="preserve">Bassel was very good in German and english also he has technical background he is b2+ with good command of englihs and he fits for the role </t>
  </si>
  <si>
    <t xml:space="preserve">Ahmed Nasser </t>
  </si>
  <si>
    <t>ahhmednassr1212@gmail.com</t>
  </si>
  <si>
    <t>Ahmed Nasser's German is b2 and he has fair tech background but he studied german self study and he was having some gramatic mistakes so he is not potential for the Role</t>
  </si>
  <si>
    <t xml:space="preserve">Mahmoud Salah </t>
  </si>
  <si>
    <t>mahmoudsalahshaker@gmail.com</t>
  </si>
  <si>
    <t xml:space="preserve">Mahmoud was very good in both german and english - he has strong tech background - he is fit for SD role </t>
  </si>
  <si>
    <t xml:space="preserve">Ahmed Mostafa </t>
  </si>
  <si>
    <t>ahmed1911moustafa@gmail.com</t>
  </si>
  <si>
    <t xml:space="preserve">The candidate was highly talkative during the interview and displayed a challenging attitude at times. Although he demonstrated strong German and English communication skills, he appeared overly self-confident, which impacted the overall interview experience. From a technical perspective, he does not have a relevant technical background, which is a concern for this role. He is not recommended  </t>
  </si>
  <si>
    <t xml:space="preserve">Ahmed Hammad </t>
  </si>
  <si>
    <t>ahmahmd21123@gmail.com</t>
  </si>
  <si>
    <t>Ahmed's German proficiency is below the level required for the Service Desk role, estimated at approximately B1 level. He demonstrated noticeable fluency limitations and struggled to express himself effectively during the interview. His language learning background is primarily self-study, which was reflected in his communication and language structure.
From a professional perspective, he has experience mainly with Amazon and does not possess a technical background relevant to the requirements of the Service Desk position. His overall profile does not demonstrate the combination of language proficiency and technical aptitude needed for the role.</t>
  </si>
  <si>
    <t>moneramostafarashwan@gmail.com</t>
  </si>
  <si>
    <t xml:space="preserve">Monera was very good in german and also fair in englihs , she has 3 years of experience in Care , Amazon , she has tech mindset , she is potential for SD Role </t>
  </si>
  <si>
    <t>Wafaa ElAfandy</t>
  </si>
  <si>
    <t>wafaaelafandy990@gmail.com</t>
  </si>
  <si>
    <t xml:space="preserve">Wafaa's German was below level , sie mentioned  she has C1 certificate however her German was full of fluency and gramatic mistakes , she has only 1 year experience as a tour leader  in Hurghada , she has no technical background she had an understanding issues for her some technical terms unknown </t>
  </si>
  <si>
    <t xml:space="preserve">Ahmed Ali Hassan </t>
  </si>
  <si>
    <t>gazara833@gmail.com</t>
  </si>
  <si>
    <t>Ahmed Didn't show up</t>
  </si>
  <si>
    <t>nada88312@gmail.com</t>
  </si>
  <si>
    <t xml:space="preserve">Nada was very good in english and she is speaking Germna , Turkish and english alsong with Arabic , she has technical mindset , she is alsao good in english . she is fit for the role </t>
  </si>
  <si>
    <t>Mohamed essam Khedr</t>
  </si>
  <si>
    <t>Me69840@gmail.com</t>
  </si>
  <si>
    <t xml:space="preserve">Mohamed didn't study the Language academic , he just joined an instititute and his german was below th nevau needed . he has only englihs experience and worked by TP in she in Account . he is not at all fit for the role  his englihs is very bad </t>
  </si>
  <si>
    <t xml:space="preserve">Marwa Ossama </t>
  </si>
  <si>
    <t>asamhmrwh123@gmail.com</t>
  </si>
  <si>
    <t xml:space="preserve">Marwa is fresh graduate , no experience , low german and also no tech background </t>
  </si>
  <si>
    <t>Heba Ragheb</t>
  </si>
  <si>
    <t>habhobaomar154@gmail.com</t>
  </si>
  <si>
    <t xml:space="preserve">Heba is good in english , she has only SME Knowledge as she worked on Microsoft and she is well in technical info , she is very potential Snr SD not Team leader . she did learn the german alone . she has not previous managerial role .i recommend her for Snr Role . she is b2 certified . for TL role we need C1 </t>
  </si>
  <si>
    <t xml:space="preserve">Muhammad Esmail </t>
  </si>
  <si>
    <t>mohamedbohy55@gmail.com</t>
  </si>
  <si>
    <t xml:space="preserve">Habiba Hesham Sakran </t>
  </si>
  <si>
    <t>habibasakran154@gmail.com</t>
  </si>
  <si>
    <t>Hana Kenan</t>
  </si>
  <si>
    <t xml:space="preserve">Habiba's German is below the b2 she has many gramatic mistakes , she has an experience of 4 years in call center but her german and english were below the Needed level for SD Role , she has no technical background </t>
  </si>
  <si>
    <t>Muhammed Talaat</t>
  </si>
  <si>
    <t>talaat.mts@gmail.com</t>
  </si>
  <si>
    <t>Mohamed holds a Goethe B2 certificate and is a certified B2 German speaker. However, his language proficiency does not yet meet the level typically expected for a C1-oriented Service Desk role. Although he communicates adequately, he demonstrated multiple grammatical mistakes throughout the interview and occasionally struggled with sentence structure and expression.
Professionally, Mohamed is a pharmacist by background and has approximately two years of experience with Concentrix on the Expedia account. While he possesses customer service experience, he does not have a technical background or relevant IT support experience, which is a key requirement for the role.
From a motivation and retention perspective, Mohamed mentioned that his primary career objective is to relocate to Germany. This may present a potential attrition risk in the medium term should suitable relocation opportunities arise.</t>
  </si>
  <si>
    <t>daliaelsabbagh059@gmail.com</t>
  </si>
  <si>
    <t>Dalia demonstrated very strong communication skills in both German and English. She was able to express herself fluently and confidently throughout the interview, showing a solid command of both languages despite being a fresh graduate.
Although she does not have prior professional experience, she displayed a good technical mindset and strong analytical thinking. She was able to understand technical concepts quickly and showed the potential to adapt well to a Service Desk environment.
Additionally, Dalia presented a highly positive attitude and a strong willingness to learn and develop her skills. She appeared motivated, eager to grow professionally, and open to receiving training and guidance.</t>
  </si>
  <si>
    <t>Abdelrahman Gaber</t>
  </si>
  <si>
    <t>abdelrahmang9811@gmail.com</t>
  </si>
  <si>
    <t>Abdelrahman has an academic background in Commerce and studied German through additional language courses outside of his university education. During the interview, his German proficiency was below the level required for the role, and his English communication skills were also below the expected standard.
He does not have any previous customer service, call center, or technical support experience, nor did he demonstrate the technical aptitude required for a Service Desk position. His responses indicated limited exposure to professional customer-facing environments and insufficient readiness for the demands of the role.</t>
  </si>
  <si>
    <t xml:space="preserve">Mohamed EssamEldin </t>
  </si>
  <si>
    <t>messamthabtet@gmail.com</t>
  </si>
  <si>
    <t xml:space="preserve">Ammar Yasser </t>
  </si>
  <si>
    <t>ammaryasser0115@gmail.com</t>
  </si>
  <si>
    <t xml:space="preserve">Ammar was very good in German and englihs although he has only b2 certificate , he did studied the German by his own and with many schools , he has an experience of 2 years in TP and also Intouch CX , he has a good technical background </t>
  </si>
  <si>
    <t xml:space="preserve">Ahmed Mostafa Mohamed </t>
  </si>
  <si>
    <t>ahmedmostafa19981998@gmail.com</t>
  </si>
  <si>
    <t>Ahmed Mostafa learned German through self-study and courses at Deutsche Ecke, reaching an estimated B2 level. However, he does not hold any recognized German language certifications to validate his proficiency. During the interview, his English communication skills were significantly below the level required for the role, which would impact his ability to effectively communicate in an international Service Desk environment.
In terms of professional experience, Ahmed does not have any customer service, call center, or technical support experience. He also did not demonstrate the technical aptitude or background expected for a technical support or Service Desk position.</t>
  </si>
  <si>
    <t xml:space="preserve">Omar Shawky </t>
  </si>
  <si>
    <t>omarshawky8000@gmail.com</t>
  </si>
  <si>
    <t>Omar learned German through self-study and demonstrated noticeable challenges in language comprehension during the interview. He had major understanding issues, which impacted his ability to effectively follow questions and communicate complex ideas. His German proficiency is below the level required for the role.
Academically, Omar studied English and is currently 23 years old. Professionally, he has approximately two years of customer service experience in English-speaking roles. However, he does not have any technical support, IT, or Service Desk experience and did not demonstrate the technical mindset required for a technical support position.
Based on his communication style and background, his profile appears to be more aligned with sales-oriented positions rather than technical customer support or Service Desk roles.</t>
  </si>
  <si>
    <t>marimahmed6670@gmail.com</t>
  </si>
  <si>
    <t>Mariam's German proficiency is below the level required for the role. During the interview, she demonstrated several pronunciation issues, frequent grammatical mistakes, and difficulties expressing herself fluently. At times, she appeared to rely on reading prepared responses rather than communicating naturally, which negatively impacted the overall assessment of her language skills.
Her English proficiency is approximately at a B1 level, which is also below the expected standard for the position. While she has around two years of customer service experience, her professional background is limited to customer care and does not include any technical support or IT-related experience.
Additionally, Mariam did not demonstrate the technical aptitude or problem-solving mindset required for a Service Desk role.</t>
  </si>
  <si>
    <t xml:space="preserve">Ahmed Shaaban </t>
  </si>
  <si>
    <t>hrahmedshaban@icloud.com</t>
  </si>
  <si>
    <t>Candidtae didn't show up</t>
  </si>
  <si>
    <t xml:space="preserve">Mostafa Ashraf Radwan </t>
  </si>
  <si>
    <t>mostafaredwan8@gmail.com</t>
  </si>
  <si>
    <t>Mostafa demonstrated strong German language skills and fair English proficiency. He brings nearly 7 years of professional experience, including working with Vodafone Germany (1212), as well as experience in finance-related operations supporting clients such as FedEx and Capgemini. Throughout the interview, he showed good communication skills, customer service awareness, and the ability to work in an international environment.
While his English could be stronger, his overall profile, extensive customer support experience, and professional maturity make him a suitable candidate for an L1 Service Desk role. He has the potential to perform well after onboarding and process training.</t>
  </si>
  <si>
    <t xml:space="preserve">Nourhan Mohamed </t>
  </si>
  <si>
    <t>nourhan.mohamed@capgemini.com</t>
  </si>
  <si>
    <t>Nourhan's german was below b1 due to none use and also english was below b1 , she hs an experience in collection with fedex , Vodafone and odegio but her German and tech background was really below the minimum needed profile for the AUDI SD role</t>
  </si>
  <si>
    <t xml:space="preserve">Ahmed Mansour </t>
  </si>
  <si>
    <t>basmed2614@gmail.com</t>
  </si>
  <si>
    <t>Ahmed studied both Russian and German at university and has solid customer service experience spanning approximately 6 years. His professional background includes experience in the tourism industry with FTI, as well as customer support roles, including 1 year with Amazon and 5 years with Microsoft. This experience has helped him develop strong customer-facing, communication, and problem-solving skills.
During the interview, Ahmed demonstrated good German language proficiency and quite good English communication skills. He was able to express himself clearly and confidently in both languages. His extensive customer support background, combined with his language capabilities and professional experience in multinational environments, makes him a strong fit for the position.
Overall, Ahmed presents a well-rounded profile and has the required communication skills, customer service mindset, and professional maturity to succeed in the role.</t>
  </si>
  <si>
    <t xml:space="preserve">Mohamed Ali </t>
  </si>
  <si>
    <t>mohamed.e.ali@capgemini.com</t>
  </si>
  <si>
    <t xml:space="preserve">Mohamed Ali was very limited in the German language and also has no technical background at all , his english is fair or moderate , he needs to work on his german language , he has also no certificates for the german </t>
  </si>
  <si>
    <t>Mostafa Mohamed Ali
Abdo</t>
  </si>
  <si>
    <t>Mohamed.most99999@gmail.com</t>
  </si>
  <si>
    <t xml:space="preserve">Mostafa's both language were below level , he has no technical background , he is not fit at all for the position </t>
  </si>
  <si>
    <t xml:space="preserve">Marwan was pretty much overwhelmed with the German and also with the english , he has no technical background , he is fit for the SD role </t>
  </si>
  <si>
    <t xml:space="preserve">Somaya Khaled Amer </t>
  </si>
  <si>
    <t>somiaame123@gmail.com</t>
  </si>
  <si>
    <t>Somaya demonstrated German language proficiency below the level required for the role, with performance assessed at approximately B1 level. Her English communication skills were also below the expected standard, and she experienced difficulties understanding some interview questions. Throughout the interview, challenges were observed in both language comprehension and pronunciation in German and English. Additionally, she does not currently have a technical background relevant to the Service Desk position. Based on the language proficiency and role requirements, she is not recommended to proceed for this opportunity.</t>
  </si>
  <si>
    <t>Nada Khaled Salah</t>
  </si>
  <si>
    <t>nada.k.salahh@gmail.com</t>
  </si>
  <si>
    <t>Nada studied German at the Faculty of Languages and has around two years of back-office experience with Temu. However, during the interview, she appeared overwhelmed in both German and English communication. She faced difficulties expressing herself clearly and maintaining fluent communication throughout the discussion. Her English level is approximately A2, which is below the requirement for the role.
Additionally, she does not have a technical background or technical support experience.</t>
  </si>
  <si>
    <t>shahinda Ali</t>
  </si>
  <si>
    <t>redoda72@gmail.com</t>
  </si>
  <si>
    <t xml:space="preserve">Shahinda was very good in German she has also fair technical backdround also english was moderate so she fits for the role </t>
  </si>
  <si>
    <t>Mohamed Essam Eldin Ahmed Thabet</t>
  </si>
  <si>
    <t>Mohamed Essam learned German entirely through self-study. During the interview, his German proficiency was assessed at approximately B1 level, with noticeable limitations in fluency, vocabulary, and overall communication. His English proficiency is also around B1 level, which is below the desired level for the role.
He does not have any customer service or customer care experience. However, he possesses a technical background, which demonstrates an understanding of technical concepts and could be beneficial in technical environments.</t>
  </si>
  <si>
    <t>Kamal Kamal</t>
  </si>
  <si>
    <t>kamalkamalsaleh8@gmail.com</t>
  </si>
  <si>
    <t>The candidate showed limited commitment and accountability during the recruitment process and did not demonstrate the level of professionalism expected for the role. Furthermore, the candidate's employment history raised significant concerns regarding stability and professional conduct. Therefore, I do not recommend moving forward with this candidate.</t>
  </si>
  <si>
    <t>Fatma Abdelaal</t>
  </si>
  <si>
    <t>fatmaabdelaal27@gmail.com</t>
  </si>
  <si>
    <t>Walaa Nash2at Mokhtar</t>
  </si>
  <si>
    <t>walaarichter@gmail.com</t>
  </si>
  <si>
    <t>German Operation Manager</t>
  </si>
  <si>
    <t>Walaa demonstrated a very strong command of both German and English throughout the interview. She brings nearly 10 years of professional experience across customer service and technical support environments, including approximately 4 years in technical roles with Hyundai and Sky. Her communication skills were excellent, and she showed the ability to articulate complex situations clearly and professionally.
Having lived in Germany for 9 years, she speaks German at a near-native level and performed exceptionally well during the German assessment. She demonstrated confidence, professionalism, and strong stakeholder management skills throughout the interview.
Based on her extensive operational background, strong language capabilities, and ability to interact effectively with individuals at different organizational levels, I believe she is a strong fit for an Operations position. She also shows strong potential for Complaints Management and Operations Management roles, where her experience, communication skills, and customer-focused approach would be valuable assets.</t>
  </si>
  <si>
    <t>Mariam Abdo Sayed Abdo Mostafa</t>
  </si>
  <si>
    <t>marimabdo83@gmail.com</t>
  </si>
  <si>
    <t>Mariam demonstrated a good command of the German language and holds a Goethe B2 certification. She brings approximately four years of customer care experience and has moderate English proficiency. Additionally, she possesses some technical knowledge and showed the potential to adapt to a Service Desk environment. Based on her language skills, customer service background, and overall profile, she is considered a potential fit for the Service Desk role.</t>
  </si>
  <si>
    <t xml:space="preserve">Mawada Mohamed </t>
  </si>
  <si>
    <t>mawadamu307@gmail.com</t>
  </si>
  <si>
    <t>Mawada demonstrated a good level of German proficiency, having studied the language at university. Her English communication skills are fair, and she possesses some technical background that could support her transition into a Service Desk environment.
She brings approximately five years of customer service experience across several well-known organizations, including Teleperformance (Zalando), Concentrix supporting Amazon Business, Foundever supporting eBay, and most recently iQor. Her extensive customer-facing experience, combined with her language capabilities and basic technical knowledge, makes her a potential candidate for the Service Desk role.</t>
  </si>
  <si>
    <t xml:space="preserve">Sabrina Ali </t>
  </si>
  <si>
    <t>sabrinali09876543@gmail.com</t>
  </si>
  <si>
    <t xml:space="preserve">Farha Muhammed Hassan </t>
  </si>
  <si>
    <t>farhamfarouk@gmail.com</t>
  </si>
  <si>
    <t xml:space="preserve">Farha is a fresh graduate graduate  not stable - German is not enough for the SD Role - not aware about her english - she is not fit for SD Role </t>
  </si>
  <si>
    <t xml:space="preserve">Ziad Mahdy </t>
  </si>
  <si>
    <t>ziadmahdy27@gmail.com</t>
  </si>
  <si>
    <t xml:space="preserve">Undergrad - we didn't proceed with the intervoew as the candidate still in the 2nd year of his studies </t>
  </si>
  <si>
    <t xml:space="preserve">Hany Ahmed </t>
  </si>
  <si>
    <t>attefhany45@gmail.com</t>
  </si>
  <si>
    <t>Ahmed Sabry Mohamed Abdelaal</t>
  </si>
  <si>
    <t>ahmed.sabry353@gmail.com</t>
  </si>
  <si>
    <t xml:space="preserve">Ahmed was good in bothe languages , he has a wide tech background and he has almost 3 years of experience in the Callcenter </t>
  </si>
  <si>
    <t xml:space="preserve">Abdelrahman Yasser </t>
  </si>
  <si>
    <t>abdelrahmanyasser2911@gmail.com</t>
  </si>
  <si>
    <t>Abdelrahman demonstrated a below-required level of German proficiency for the role. He exhibited a noticeable accent, several grammatical inaccuracies, and his German communication appeared to be influenced by Arabic, affecting overall fluency and natural expression. His German language skills were acquired through self-study, but he currently lacks the required proficiency level for a customer-facing Service Desk position. Additionally, his English level was below expectations, limiting his ability to communicate effectively in a bilingual environment. Based on the language assessment, he is not recommended for the role.</t>
  </si>
  <si>
    <t>Peter Mahir Habib</t>
  </si>
  <si>
    <t>petermaher@email.com</t>
  </si>
  <si>
    <t>Loma: Peter studied German up to B1 level at an unknown institution and claims to reach B2 through self-study. Based on the assessment, his German language skills do not meet the requirements of the role, as he demonstrated frequent grammatical errors.</t>
  </si>
  <si>
    <t xml:space="preserve">Toka Taymor Taymor </t>
  </si>
  <si>
    <t>toka.taymour1995@gmail.com</t>
  </si>
  <si>
    <t>Loma: Tokas' German is at a B2+ to C1 level, and her communication skills are very strong. Although she was not able to answer all of the technical questions, she made a genuine effort to provide the best answers she could. Her German is significantly stronger than her English, however, this should not make a major issue for the role.</t>
  </si>
  <si>
    <t>Mohamed Farag Ahmed Yassein</t>
  </si>
  <si>
    <t>mohammadmido506@gmail.com</t>
  </si>
  <si>
    <t>Loma: Mohamed learned German through self-study and completed his B2 certification at the Goethe-Institut. He does not have any prior experience in a call center role, and his technical knowledge is very basic. While his German skills are acceptable, they are not strong enough for the requirements of this role.</t>
  </si>
  <si>
    <t xml:space="preserve">Hussein Sayed Hussein Sayed </t>
  </si>
  <si>
    <t>husseinsayed4500@gmail.com</t>
  </si>
  <si>
    <t>Omar: While the candidate holds a university degree in German and has experience working with it, it is not at the desired level. He did not understand my question about not being a user who is unable to login to my laptop. Once I explained, he asked if my laptop's battery was ok, which also indicates either lacking language or technical skills.</t>
  </si>
  <si>
    <t xml:space="preserve">Mohamed Sayed Zidan </t>
  </si>
  <si>
    <t>mohamd.zidan11@outlook.com</t>
  </si>
  <si>
    <t>Omar: Both Mohamed's German and technical skills were very good. He studied German and has experience working with it. He also has experinece working on technical issue and knows how to navigate them well in German.</t>
  </si>
  <si>
    <t>Ali Mostafa Abdelrazik Mahrous</t>
  </si>
  <si>
    <t>ali.mahroous@hotmail.com</t>
  </si>
  <si>
    <t>Omar: Ali studied Mass Communication. He says he got an (incomplete) B2 certificate from Goethe. His German was very lacking though.</t>
  </si>
  <si>
    <t xml:space="preserve">Passed Interview </t>
  </si>
  <si>
    <t>Internal Profiles</t>
  </si>
  <si>
    <t>Pending Offer</t>
  </si>
  <si>
    <t xml:space="preserve">Offer Rejected </t>
  </si>
  <si>
    <t xml:space="preserve">Expected to join </t>
  </si>
  <si>
    <t>`</t>
  </si>
  <si>
    <t xml:space="preserve">Sourced </t>
  </si>
  <si>
    <t xml:space="preserve">Screened </t>
  </si>
  <si>
    <t>%</t>
  </si>
  <si>
    <t>(All)</t>
  </si>
  <si>
    <t>(Multiple Items)</t>
  </si>
  <si>
    <t>Count of Candidate Full Name</t>
  </si>
  <si>
    <t>Column Labels</t>
  </si>
  <si>
    <t>Row Labels</t>
  </si>
  <si>
    <t>Grand Total</t>
  </si>
  <si>
    <t>Count of Name</t>
  </si>
  <si>
    <t>(blank)</t>
  </si>
  <si>
    <t>&lt;10.08.2026</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</si>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</sst>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scheme val="minor"/>
    </font>
    <font>
      <b/>
      <sz val="16"/>
      <name val="Calibri"/>
    </font>
    <font>
      <b/>
      <sz val="11"/>
      <color theme="0"/>
      <name val="Calibri"/>
      <family val="2"/>
      <scheme val="minor"/>
    </font>
    <font>
      <sz val="11"/>
      <color theme="0"/>
      <name val="Calibri"/>
      <family val="2"/>
      <scheme val="minor"/>
    </font>
    <font>
      <i/>
      <sz val="9"/>
      <color theme="1"/>
      <name val="Calibri"/>
      <family val="2"/>
      <scheme val="minor"/>
    </font>
    <font>
      <sz val="11"/>
      <color rgb="FFFF0000"/>
      <name val="Calibri"/>
      <family val="2"/>
      <scheme val="minor"/>
    </font>
    <font>
      <sz val="11"/>
      <color theme="1"/>
      <name val="Segoe UI"/>
      <charset val="1"/>
    </font>
    <font>
      <sz val="11"/>
      <color rgb="FF00B050"/>
      <name val="Calibri"/>
      <family val="2"/>
      <scheme val="minor"/>
    </font>
    <font>
      <sz val="11"/>
      <color theme="1"/>
      <name val="Calibri"/>
      <family val="2"/>
      <scheme val="minor"/>
    </font>
    <font>
      <sz val="11"/>
      <color theme="1"/>
      <name val="Calibri"/>
      <charset val="1"/>
    </font>
    <font>
      <sz val="10"/>
      <name val="Arial"/>
      <family val="2"/>
    </font>
    <font>
      <sz val="9"/>
      <color rgb="FF000000"/>
      <name val="Calibri"/>
    </font>
    <font>
      <sz val="11"/>
      <color rgb="FF000000"/>
      <name val="Calibri"/>
      <scheme val="minor"/>
    </font>
    <font>
      <sz val="9"/>
      <name val="Calibri"/>
    </font>
    <font>
      <sz val="11"/>
      <color rgb="FFFF0000"/>
      <name val="Calibri"/>
      <scheme val="minor"/>
    </font>
    <font>
      <b/>
      <sz val="11"/>
      <color rgb="FFFFFFFF"/>
      <name val="Calibri"/>
      <family val="2"/>
      <charset val="1"/>
    </font>
    <font>
      <b/>
      <sz val="11"/>
      <color rgb="FF000000"/>
      <name val="Calibri"/>
      <family val="2"/>
      <charset val="1"/>
    </font>
    <font>
      <sz val="11"/>
      <color rgb="FF000000"/>
      <name val="Calibri"/>
      <family val="2"/>
      <charset val="1"/>
    </font>
    <font>
      <u/>
      <sz val="11"/>
      <color theme="10"/>
      <name val="Calibri"/>
      <family val="2"/>
      <scheme val="minor"/>
    </font>
    <font>
      <b/>
      <sz val="11"/>
      <color theme="1"/>
      <name val="Calibri"/>
      <family val="2"/>
      <scheme val="minor"/>
    </font>
    <font>
      <b/>
      <sz val="9"/>
      <color rgb="FF000000"/>
      <name val="Calibri"/>
    </font>
  </fonts>
  <fills count="1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3" tint="0.59999389629810485"/>
        <bgColor indexed="64"/>
      </patternFill>
    </fill>
    <fill>
      <patternFill patternType="solid">
        <fgColor rgb="FF4F81BD"/>
        <bgColor indexed="64"/>
      </patternFill>
    </fill>
    <fill>
      <patternFill patternType="solid">
        <fgColor rgb="FFB8CCE4"/>
        <bgColor indexed="64"/>
      </patternFill>
    </fill>
    <fill>
      <patternFill patternType="solid">
        <fgColor rgb="FFFFFFFF"/>
        <bgColor indexed="64"/>
      </patternFill>
    </fill>
    <fill>
      <patternFill patternType="solid">
        <fgColor rgb="FFDCE6F1"/>
        <bgColor indexed="64"/>
      </patternFill>
    </fill>
    <fill>
      <patternFill patternType="solid">
        <fgColor rgb="FFC4D79B"/>
        <bgColor rgb="FF000000"/>
      </patternFill>
    </fill>
    <fill>
      <patternFill patternType="solid">
        <fgColor rgb="FFF4B084"/>
        <bgColor rgb="FF000000"/>
      </patternFill>
    </fill>
    <fill>
      <patternFill patternType="solid">
        <fgColor rgb="FFFFFFFF"/>
        <bgColor rgb="FF000000"/>
      </patternFill>
    </fill>
  </fills>
  <borders count="33">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style="thick">
        <color indexed="64"/>
      </left>
      <right style="thick">
        <color indexed="64"/>
      </right>
      <top style="thick">
        <color indexed="64"/>
      </top>
      <bottom style="thick">
        <color indexed="64"/>
      </bottom>
      <diagonal/>
    </border>
    <border>
      <left style="medium">
        <color rgb="FF000000"/>
      </left>
      <right/>
      <top style="medium">
        <color rgb="FF000000"/>
      </top>
      <bottom style="thick">
        <color rgb="FF000000"/>
      </bottom>
      <diagonal/>
    </border>
    <border>
      <left style="thick">
        <color rgb="FF000000"/>
      </left>
      <right style="thick">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top/>
      <bottom style="medium">
        <color rgb="FF000000"/>
      </bottom>
      <diagonal/>
    </border>
    <border>
      <left style="thick">
        <color rgb="FF000000"/>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medium">
        <color indexed="64"/>
      </bottom>
      <diagonal/>
    </border>
    <border>
      <left/>
      <right style="medium">
        <color auto="1"/>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medium">
        <color auto="1"/>
      </right>
      <top/>
      <bottom style="thin">
        <color rgb="FF000000"/>
      </bottom>
      <diagonal/>
    </border>
    <border>
      <left style="thin">
        <color rgb="FF000000"/>
      </left>
      <right style="medium">
        <color auto="1"/>
      </right>
      <top/>
      <bottom/>
      <diagonal/>
    </border>
    <border>
      <left/>
      <right style="medium">
        <color auto="1"/>
      </right>
      <top/>
      <bottom style="medium">
        <color auto="1"/>
      </bottom>
      <diagonal/>
    </border>
    <border>
      <left/>
      <right style="thin">
        <color rgb="FF000000"/>
      </right>
      <top/>
      <bottom style="medium">
        <color auto="1"/>
      </bottom>
      <diagonal/>
    </border>
    <border>
      <left/>
      <right style="medium">
        <color auto="1"/>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indexed="64"/>
      </right>
      <top/>
      <bottom style="thin">
        <color indexed="64"/>
      </bottom>
      <diagonal/>
    </border>
  </borders>
  <cellStyleXfs count="4">
    <xf numFmtId="0" fontId="0" fillId="0" borderId="0"/>
    <xf numFmtId="9" fontId="9" fillId="0" borderId="0" applyFont="0" applyFill="0" applyBorder="0" applyAlignment="0" applyProtection="0"/>
    <xf numFmtId="0" fontId="11" fillId="0" borderId="0" applyNumberFormat="0" applyFill="0" applyBorder="0" applyAlignment="0" applyProtection="0"/>
    <xf numFmtId="0" fontId="19" fillId="0" borderId="0" applyNumberFormat="0" applyFill="0" applyBorder="0" applyAlignment="0" applyProtection="0"/>
  </cellStyleXfs>
  <cellXfs count="108">
    <xf numFmtId="0" fontId="0" fillId="0" borderId="0" xfId="0"/>
    <xf numFmtId="0" fontId="2" fillId="0" borderId="0" xfId="0" applyFont="1"/>
    <xf numFmtId="0" fontId="0" fillId="0" borderId="0" xfId="0" applyAlignment="1">
      <alignment horizontal="center"/>
    </xf>
    <xf numFmtId="0" fontId="3" fillId="2" borderId="2" xfId="0" applyFont="1"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3" borderId="6" xfId="0" applyFill="1" applyBorder="1" applyAlignment="1">
      <alignment horizontal="center"/>
    </xf>
    <xf numFmtId="0" fontId="3" fillId="2" borderId="7" xfId="0" applyFont="1" applyFill="1" applyBorder="1" applyAlignment="1">
      <alignment horizontal="center"/>
    </xf>
    <xf numFmtId="0" fontId="3" fillId="2" borderId="1" xfId="0" applyFont="1" applyFill="1" applyBorder="1" applyAlignment="1">
      <alignment horizontal="center"/>
    </xf>
    <xf numFmtId="0" fontId="0" fillId="3" borderId="3" xfId="0" applyFill="1" applyBorder="1" applyAlignment="1">
      <alignment horizontal="center"/>
    </xf>
    <xf numFmtId="0" fontId="0" fillId="4" borderId="3" xfId="0" applyFill="1" applyBorder="1" applyAlignment="1">
      <alignment horizontal="center"/>
    </xf>
    <xf numFmtId="0" fontId="0" fillId="3" borderId="5" xfId="0" applyFill="1" applyBorder="1" applyAlignment="1">
      <alignment horizontal="center"/>
    </xf>
    <xf numFmtId="0" fontId="3" fillId="5" borderId="0" xfId="0" applyFont="1" applyFill="1" applyAlignment="1">
      <alignment horizontal="center"/>
    </xf>
    <xf numFmtId="0" fontId="0" fillId="0" borderId="8" xfId="0" applyBorder="1"/>
    <xf numFmtId="0" fontId="0" fillId="0" borderId="9" xfId="0" applyBorder="1"/>
    <xf numFmtId="0" fontId="4" fillId="6" borderId="0" xfId="0" applyFont="1" applyFill="1"/>
    <xf numFmtId="0" fontId="3" fillId="6" borderId="0" xfId="0" applyFont="1" applyFill="1" applyAlignment="1">
      <alignment horizontal="center"/>
    </xf>
    <xf numFmtId="0" fontId="5" fillId="0" borderId="0" xfId="0" applyFont="1"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6" fillId="0" borderId="0" xfId="0" applyFont="1" applyAlignment="1">
      <alignment horizontal="center"/>
    </xf>
    <xf numFmtId="0" fontId="7" fillId="0" borderId="0" xfId="0" applyFont="1"/>
    <xf numFmtId="0" fontId="8" fillId="0" borderId="0" xfId="0" applyFont="1" applyAlignment="1">
      <alignment horizontal="center"/>
    </xf>
    <xf numFmtId="0" fontId="0" fillId="0" borderId="0" xfId="0" applyAlignment="1">
      <alignment wrapText="1"/>
    </xf>
    <xf numFmtId="14" fontId="0" fillId="0" borderId="0" xfId="0" applyNumberFormat="1" applyAlignment="1">
      <alignment horizontal="center"/>
    </xf>
    <xf numFmtId="0" fontId="0" fillId="0" borderId="0" xfId="0" applyAlignment="1">
      <alignment horizontal="left"/>
    </xf>
    <xf numFmtId="0" fontId="0" fillId="7" borderId="0" xfId="0" applyFill="1"/>
    <xf numFmtId="16" fontId="0" fillId="0" borderId="0" xfId="0" applyNumberFormat="1"/>
    <xf numFmtId="0" fontId="8" fillId="7" borderId="0" xfId="0" applyFont="1" applyFill="1" applyAlignment="1">
      <alignment horizontal="center"/>
    </xf>
    <xf numFmtId="0" fontId="0" fillId="10" borderId="0" xfId="0" applyFill="1" applyAlignment="1">
      <alignment horizontal="center"/>
    </xf>
    <xf numFmtId="1" fontId="0" fillId="0" borderId="0" xfId="0" applyNumberFormat="1" applyAlignment="1">
      <alignment horizontal="center"/>
    </xf>
    <xf numFmtId="1" fontId="0" fillId="0" borderId="0" xfId="0" applyNumberFormat="1"/>
    <xf numFmtId="0" fontId="3" fillId="5" borderId="11" xfId="0" applyFont="1" applyFill="1" applyBorder="1" applyAlignment="1">
      <alignment horizontal="center"/>
    </xf>
    <xf numFmtId="0" fontId="0" fillId="0" borderId="11" xfId="0" applyBorder="1" applyAlignment="1">
      <alignment horizontal="center"/>
    </xf>
    <xf numFmtId="0" fontId="4" fillId="0" borderId="0" xfId="0" applyFont="1"/>
    <xf numFmtId="0" fontId="0" fillId="0" borderId="10" xfId="0" applyBorder="1"/>
    <xf numFmtId="0" fontId="3" fillId="5" borderId="10" xfId="0" applyFont="1" applyFill="1" applyBorder="1" applyAlignment="1">
      <alignment horizontal="center"/>
    </xf>
    <xf numFmtId="9" fontId="0" fillId="0" borderId="0" xfId="1" applyFont="1" applyBorder="1" applyAlignment="1">
      <alignment horizontal="center"/>
    </xf>
    <xf numFmtId="0" fontId="8" fillId="3" borderId="4" xfId="0" applyFont="1" applyFill="1" applyBorder="1" applyAlignment="1">
      <alignment horizontal="center"/>
    </xf>
    <xf numFmtId="0" fontId="6" fillId="4" borderId="4" xfId="0" applyFont="1" applyFill="1" applyBorder="1" applyAlignment="1">
      <alignment horizontal="center"/>
    </xf>
    <xf numFmtId="0" fontId="6" fillId="0" borderId="0" xfId="0" applyFont="1"/>
    <xf numFmtId="0" fontId="6" fillId="11" borderId="0" xfId="0" applyFont="1" applyFill="1"/>
    <xf numFmtId="0" fontId="3" fillId="2" borderId="12" xfId="0" applyFont="1" applyFill="1" applyBorder="1" applyAlignment="1">
      <alignment horizontal="center" vertical="center"/>
    </xf>
    <xf numFmtId="0" fontId="0" fillId="3" borderId="12" xfId="0" applyFill="1" applyBorder="1" applyAlignment="1">
      <alignment horizontal="center"/>
    </xf>
    <xf numFmtId="0" fontId="10" fillId="0" borderId="12" xfId="0" applyFont="1" applyBorder="1" applyAlignment="1">
      <alignment horizontal="center" readingOrder="1"/>
    </xf>
    <xf numFmtId="0" fontId="0" fillId="0" borderId="12" xfId="0" applyBorder="1" applyAlignment="1">
      <alignment horizontal="center"/>
    </xf>
    <xf numFmtId="0" fontId="0" fillId="4" borderId="12" xfId="0" applyFill="1" applyBorder="1" applyAlignment="1">
      <alignment horizontal="center"/>
    </xf>
    <xf numFmtId="0" fontId="0" fillId="0" borderId="12" xfId="0" applyBorder="1"/>
    <xf numFmtId="0" fontId="3" fillId="5" borderId="13" xfId="0" applyFont="1" applyFill="1" applyBorder="1" applyAlignment="1">
      <alignment horizontal="center"/>
    </xf>
    <xf numFmtId="0" fontId="3" fillId="5" borderId="14" xfId="0" applyFont="1" applyFill="1" applyBorder="1" applyAlignment="1">
      <alignment horizontal="center"/>
    </xf>
    <xf numFmtId="0" fontId="3" fillId="5" borderId="15"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9" fontId="0" fillId="0" borderId="18" xfId="1" applyFont="1" applyBorder="1" applyAlignment="1">
      <alignment horizontal="center"/>
    </xf>
    <xf numFmtId="0" fontId="16" fillId="12" borderId="21" xfId="0" applyFont="1" applyFill="1" applyBorder="1" applyAlignment="1">
      <alignment wrapText="1"/>
    </xf>
    <xf numFmtId="0" fontId="16" fillId="12" borderId="22" xfId="0" applyFont="1" applyFill="1" applyBorder="1" applyAlignment="1">
      <alignment wrapText="1"/>
    </xf>
    <xf numFmtId="0" fontId="17" fillId="13" borderId="26" xfId="0" applyFont="1" applyFill="1" applyBorder="1" applyAlignment="1">
      <alignment wrapText="1"/>
    </xf>
    <xf numFmtId="15" fontId="17" fillId="13" borderId="26" xfId="0" applyNumberFormat="1" applyFont="1" applyFill="1" applyBorder="1" applyAlignment="1">
      <alignment wrapText="1"/>
    </xf>
    <xf numFmtId="0" fontId="18" fillId="14" borderId="26" xfId="0" applyFont="1" applyFill="1" applyBorder="1" applyAlignment="1">
      <alignment wrapText="1"/>
    </xf>
    <xf numFmtId="0" fontId="18" fillId="14" borderId="27" xfId="0" applyFont="1" applyFill="1" applyBorder="1" applyAlignment="1">
      <alignment wrapText="1"/>
    </xf>
    <xf numFmtId="0" fontId="17" fillId="15" borderId="26" xfId="0" applyFont="1" applyFill="1" applyBorder="1" applyAlignment="1">
      <alignment wrapText="1"/>
    </xf>
    <xf numFmtId="15" fontId="17" fillId="15" borderId="26" xfId="0" applyNumberFormat="1" applyFont="1" applyFill="1" applyBorder="1" applyAlignment="1">
      <alignment wrapText="1"/>
    </xf>
    <xf numFmtId="0" fontId="17" fillId="13" borderId="28" xfId="0" applyFont="1" applyFill="1" applyBorder="1" applyAlignment="1">
      <alignment wrapText="1"/>
    </xf>
    <xf numFmtId="15" fontId="17" fillId="13" borderId="28" xfId="0" applyNumberFormat="1" applyFont="1" applyFill="1" applyBorder="1" applyAlignment="1">
      <alignment wrapText="1"/>
    </xf>
    <xf numFmtId="0" fontId="18" fillId="14" borderId="28" xfId="0" applyFont="1" applyFill="1" applyBorder="1" applyAlignment="1">
      <alignment wrapText="1"/>
    </xf>
    <xf numFmtId="0" fontId="18" fillId="14" borderId="29" xfId="0" applyFont="1" applyFill="1" applyBorder="1" applyAlignment="1">
      <alignment wrapText="1"/>
    </xf>
    <xf numFmtId="0" fontId="16" fillId="12" borderId="22" xfId="0" applyFont="1" applyFill="1" applyBorder="1" applyAlignment="1">
      <alignment horizontal="center" wrapText="1"/>
    </xf>
    <xf numFmtId="0" fontId="18" fillId="14" borderId="26" xfId="0" applyFont="1" applyFill="1" applyBorder="1" applyAlignment="1">
      <alignment horizontal="center" wrapText="1"/>
    </xf>
    <xf numFmtId="0" fontId="18" fillId="14" borderId="28" xfId="0" applyFont="1" applyFill="1" applyBorder="1" applyAlignment="1">
      <alignment horizontal="center" wrapText="1"/>
    </xf>
    <xf numFmtId="0" fontId="16" fillId="12" borderId="23" xfId="0" applyFont="1" applyFill="1" applyBorder="1" applyAlignment="1">
      <alignment horizontal="center" wrapText="1"/>
    </xf>
    <xf numFmtId="0" fontId="19" fillId="0" borderId="0" xfId="3"/>
    <xf numFmtId="0" fontId="20" fillId="7" borderId="0" xfId="0" applyFont="1" applyFill="1" applyAlignment="1">
      <alignment horizontal="center"/>
    </xf>
    <xf numFmtId="0" fontId="0" fillId="0" borderId="0" xfId="0" pivotButton="1"/>
    <xf numFmtId="14" fontId="0" fillId="0" borderId="0" xfId="0" applyNumberFormat="1" applyAlignment="1">
      <alignment horizontal="left"/>
    </xf>
    <xf numFmtId="0" fontId="0" fillId="4" borderId="6" xfId="0" applyFill="1" applyBorder="1"/>
    <xf numFmtId="0" fontId="0" fillId="7" borderId="0" xfId="0" applyFill="1" applyAlignment="1">
      <alignment horizontal="left"/>
    </xf>
    <xf numFmtId="14" fontId="0" fillId="0" borderId="0" xfId="0" applyNumberFormat="1"/>
    <xf numFmtId="14" fontId="0" fillId="7" borderId="0" xfId="0" applyNumberFormat="1" applyFill="1"/>
    <xf numFmtId="14" fontId="0" fillId="7" borderId="0" xfId="0" applyNumberFormat="1" applyFill="1" applyAlignment="1">
      <alignment horizontal="center"/>
    </xf>
    <xf numFmtId="0" fontId="21" fillId="16" borderId="10" xfId="0" applyFont="1" applyFill="1" applyBorder="1"/>
    <xf numFmtId="0" fontId="21" fillId="16" borderId="19" xfId="0" applyFont="1" applyFill="1" applyBorder="1"/>
    <xf numFmtId="0" fontId="21" fillId="17" borderId="19" xfId="0" applyFont="1" applyFill="1" applyBorder="1"/>
    <xf numFmtId="0" fontId="14" fillId="18" borderId="20" xfId="0" applyFont="1" applyFill="1" applyBorder="1"/>
    <xf numFmtId="0" fontId="14" fillId="18" borderId="29" xfId="0" applyFont="1" applyFill="1" applyBorder="1"/>
    <xf numFmtId="0" fontId="14" fillId="18" borderId="29" xfId="0" quotePrefix="1" applyFont="1" applyFill="1" applyBorder="1"/>
    <xf numFmtId="0" fontId="12" fillId="0" borderId="29" xfId="0" applyFont="1" applyBorder="1"/>
    <xf numFmtId="0" fontId="12" fillId="18" borderId="29" xfId="0" applyFont="1" applyFill="1" applyBorder="1"/>
    <xf numFmtId="15" fontId="12" fillId="0" borderId="29" xfId="0" applyNumberFormat="1" applyFont="1" applyBorder="1"/>
    <xf numFmtId="0" fontId="14" fillId="0" borderId="29" xfId="0" applyFont="1" applyBorder="1"/>
    <xf numFmtId="0" fontId="14" fillId="0" borderId="20" xfId="0" applyFont="1" applyBorder="1"/>
    <xf numFmtId="0" fontId="12" fillId="18" borderId="29" xfId="0" applyFont="1" applyFill="1" applyBorder="1" applyAlignment="1">
      <alignment wrapText="1"/>
    </xf>
    <xf numFmtId="15" fontId="12" fillId="18" borderId="29" xfId="0" applyNumberFormat="1" applyFont="1" applyFill="1" applyBorder="1" applyAlignment="1">
      <alignment wrapText="1"/>
    </xf>
    <xf numFmtId="0" fontId="12" fillId="0" borderId="20" xfId="0" applyFont="1" applyBorder="1"/>
    <xf numFmtId="0" fontId="12" fillId="18" borderId="30" xfId="0" applyFont="1" applyFill="1" applyBorder="1"/>
    <xf numFmtId="0" fontId="12" fillId="0" borderId="30" xfId="0" applyFont="1" applyBorder="1"/>
    <xf numFmtId="0" fontId="12" fillId="0" borderId="31" xfId="0" applyFont="1" applyBorder="1"/>
    <xf numFmtId="0" fontId="12" fillId="18" borderId="10" xfId="0" applyFont="1" applyFill="1" applyBorder="1"/>
    <xf numFmtId="0" fontId="12" fillId="0" borderId="19" xfId="0" applyFont="1" applyBorder="1"/>
    <xf numFmtId="0" fontId="12" fillId="18" borderId="20" xfId="0" applyFont="1" applyFill="1" applyBorder="1"/>
    <xf numFmtId="0" fontId="12" fillId="0" borderId="32" xfId="0" applyFont="1" applyBorder="1"/>
    <xf numFmtId="0" fontId="12" fillId="18" borderId="32" xfId="0" applyFont="1" applyFill="1" applyBorder="1"/>
    <xf numFmtId="0" fontId="14" fillId="18" borderId="31" xfId="0" applyFont="1" applyFill="1" applyBorder="1"/>
    <xf numFmtId="14" fontId="0" fillId="0" borderId="0" xfId="0" applyNumberFormat="1" applyAlignment="1">
      <alignment horizontal="left" indent="1"/>
    </xf>
    <xf numFmtId="0" fontId="17" fillId="13" borderId="25" xfId="0" applyFont="1" applyFill="1" applyBorder="1" applyAlignment="1">
      <alignment wrapText="1"/>
    </xf>
    <xf numFmtId="0" fontId="17" fillId="13" borderId="24" xfId="0" applyFont="1" applyFill="1" applyBorder="1" applyAlignment="1">
      <alignment wrapText="1"/>
    </xf>
    <xf numFmtId="0" fontId="0" fillId="0" borderId="0" xfId="0" applyAlignment="1">
      <alignment horizontal="center" vertical="center"/>
    </xf>
    <xf numFmtId="0" fontId="1" fillId="0" borderId="0" xfId="0" applyFont="1"/>
  </cellXfs>
  <cellStyles count="4">
    <cellStyle name="Hyperlink" xfId="3" builtinId="8"/>
    <cellStyle name="Normal" xfId="0" builtinId="0"/>
    <cellStyle name="Normal 2" xfId="2" xr:uid="{22F84C7C-C385-4ADB-9293-817050F176B0}"/>
    <cellStyle name="Percent" xfId="1" builtinId="5"/>
  </cellStyles>
  <dxfs count="33">
    <dxf>
      <alignment horizontal="center"/>
    </dxf>
    <dxf>
      <alignment horizontal="genera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left style="thin">
          <color theme="0"/>
        </left>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theme="9" tint="-0.499984740745262"/>
      </font>
      <fill>
        <patternFill>
          <bgColor theme="9" tint="0.59996337778862885"/>
        </patternFill>
      </fill>
    </dxf>
    <dxf>
      <font>
        <color rgb="FF006100"/>
      </font>
      <fill>
        <patternFill>
          <bgColor rgb="FFC6EFCE"/>
        </patternFill>
      </fill>
    </dxf>
    <dxf>
      <font>
        <color theme="9"/>
      </font>
      <fill>
        <patternFill patternType="none">
          <bgColor auto="1"/>
        </patternFill>
      </fill>
    </dxf>
    <dxf>
      <font>
        <color rgb="FF92D050"/>
      </font>
      <fill>
        <patternFill patternType="none">
          <bgColor auto="1"/>
        </patternFill>
      </fill>
    </dxf>
    <dxf>
      <font>
        <color rgb="FF006100"/>
      </font>
      <fill>
        <patternFill>
          <bgColor rgb="FFC6EFCE"/>
        </patternFill>
      </fill>
    </dxf>
    <dxf>
      <font>
        <color theme="5" tint="-0.499984740745262"/>
      </font>
      <fill>
        <patternFill>
          <bgColor rgb="FFFF8989"/>
        </patternFill>
      </fill>
    </dxf>
    <dxf>
      <numFmt numFmtId="1" formatCode="0"/>
    </dxf>
    <dxf>
      <numFmt numFmtId="1" formatCode="0"/>
      <alignment horizontal="center" vertical="bottom" textRotation="0" wrapText="0" indent="0" justifyLastLine="0" shrinkToFit="0" readingOrder="0"/>
    </dxf>
    <dxf>
      <numFmt numFmtId="1" formatCode="0"/>
      <alignment horizontal="center"/>
    </dxf>
  </dxfs>
  <tableStyles count="0" defaultTableStyle="TableStyleMedium9" defaultPivotStyle="PivotStyleLight16"/>
  <colors>
    <mruColors>
      <color rgb="FF0066CC"/>
      <color rgb="FF0099CC"/>
      <color rgb="FFFF8989"/>
      <color rgb="FFFF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'Ramp-Up Plan'!$C$1</c:f>
              <c:strCache>
                <c:ptCount val="1"/>
                <c:pt idx="0">
                  <c:v>Planned HC</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'Ramp-Up Plan'!$A$2:$B$6</c:f>
              <c:multiLvlStrCache>
                <c:ptCount val="5"/>
                <c:lvl>
                  <c:pt idx="0">
                    <c:v>01-Sep-2026</c:v>
                  </c:pt>
                  <c:pt idx="1">
                    <c:v>15-Sep-2026</c:v>
                  </c:pt>
                  <c:pt idx="2">
                    <c:v>01-Oct-2026</c:v>
                  </c:pt>
                  <c:pt idx="3">
                    <c:v>15-Oct-2026</c:v>
                  </c:pt>
                  <c:pt idx="4">
                    <c:v>01-Nov-2026</c:v>
                  </c:pt>
                </c:lvl>
                <c:lvl>
                  <c:pt idx="0">
                    <c:v>Wave 1</c:v>
                  </c:pt>
                  <c:pt idx="1">
                    <c:v>Wave 2</c:v>
                  </c:pt>
                  <c:pt idx="2">
                    <c:v>Wave 3</c:v>
                  </c:pt>
                  <c:pt idx="3">
                    <c:v>Wave 4</c:v>
                  </c:pt>
                  <c:pt idx="4">
                    <c:v>Wave 5</c:v>
                  </c:pt>
                </c:lvl>
              </c:multiLvlStrCache>
            </c:multiLvlStrRef>
          </c:cat>
          <c:val>
            <c:numRef>
              <c:f>'Ramp-Up Plan'!$C$2:$C$6</c:f>
              <c:numCache>
                <c:formatCode>0</c:formatCode>
                <c:ptCount val="5"/>
                <c:pt idx="0">
                  <c:v>20</c:v>
                </c:pt>
                <c:pt idx="1">
                  <c:v>40</c:v>
                </c:pt>
                <c:pt idx="2">
                  <c:v>60</c:v>
                </c:pt>
                <c:pt idx="3">
                  <c:v>80</c:v>
                </c:pt>
                <c:pt idx="4">
                  <c:v>100</c:v>
                </c:pt>
              </c:numCache>
            </c:numRef>
          </c:val>
          <c:smooth val="0"/>
          <c:extLst>
            <c:ext xmlns:c16="http://schemas.microsoft.com/office/drawing/2014/chart" uri="{C3380CC4-5D6E-409C-BE32-E72D297353CC}">
              <c16:uniqueId val="{00000000-6542-47DF-B9CB-6FA655355E8A}"/>
            </c:ext>
          </c:extLst>
        </c:ser>
        <c:ser>
          <c:idx val="1"/>
          <c:order val="1"/>
          <c:tx>
            <c:strRef>
              <c:f>'Ramp-Up Plan'!$D$1</c:f>
              <c:strCache>
                <c:ptCount val="1"/>
                <c:pt idx="0">
                  <c:v>Column1</c:v>
                </c:pt>
              </c:strCache>
            </c:strRef>
          </c:tx>
          <c:spPr>
            <a:ln w="28575" cap="rnd">
              <a:solidFill>
                <a:schemeClr val="accent2"/>
              </a:solidFill>
              <a:round/>
            </a:ln>
            <a:effectLst/>
          </c:spPr>
          <c:marker>
            <c:symbol val="none"/>
          </c:marker>
          <c:cat>
            <c:multiLvlStrRef>
              <c:f>'Ramp-Up Plan'!$A$2:$B$6</c:f>
              <c:multiLvlStrCache>
                <c:ptCount val="5"/>
                <c:lvl>
                  <c:pt idx="0">
                    <c:v>01-Sep-2026</c:v>
                  </c:pt>
                  <c:pt idx="1">
                    <c:v>15-Sep-2026</c:v>
                  </c:pt>
                  <c:pt idx="2">
                    <c:v>01-Oct-2026</c:v>
                  </c:pt>
                  <c:pt idx="3">
                    <c:v>15-Oct-2026</c:v>
                  </c:pt>
                  <c:pt idx="4">
                    <c:v>01-Nov-2026</c:v>
                  </c:pt>
                </c:lvl>
                <c:lvl>
                  <c:pt idx="0">
                    <c:v>Wave 1</c:v>
                  </c:pt>
                  <c:pt idx="1">
                    <c:v>Wave 2</c:v>
                  </c:pt>
                  <c:pt idx="2">
                    <c:v>Wave 3</c:v>
                  </c:pt>
                  <c:pt idx="3">
                    <c:v>Wave 4</c:v>
                  </c:pt>
                  <c:pt idx="4">
                    <c:v>Wave 5</c:v>
                  </c:pt>
                </c:lvl>
              </c:multiLvlStrCache>
            </c:multiLvlStrRef>
          </c:cat>
          <c:val>
            <c:numRef>
              <c:f>'Ramp-Up Plan'!$D$2:$D$6</c:f>
              <c:numCache>
                <c:formatCode>0</c:formatCode>
                <c:ptCount val="5"/>
              </c:numCache>
            </c:numRef>
          </c:val>
          <c:smooth val="0"/>
          <c:extLst>
            <c:ext xmlns:c16="http://schemas.microsoft.com/office/drawing/2014/chart" uri="{C3380CC4-5D6E-409C-BE32-E72D297353CC}">
              <c16:uniqueId val="{00000002-6542-47DF-B9CB-6FA655355E8A}"/>
            </c:ext>
          </c:extLst>
        </c:ser>
        <c:ser>
          <c:idx val="2"/>
          <c:order val="2"/>
          <c:tx>
            <c:strRef>
              <c:f>'Ramp-Up Plan'!$E$1</c:f>
              <c:strCache>
                <c:ptCount val="1"/>
                <c:pt idx="0">
                  <c:v>Actual HC</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'Ramp-Up Plan'!$A$2:$B$6</c:f>
              <c:multiLvlStrCache>
                <c:ptCount val="5"/>
                <c:lvl>
                  <c:pt idx="0">
                    <c:v>01-Sep-2026</c:v>
                  </c:pt>
                  <c:pt idx="1">
                    <c:v>15-Sep-2026</c:v>
                  </c:pt>
                  <c:pt idx="2">
                    <c:v>01-Oct-2026</c:v>
                  </c:pt>
                  <c:pt idx="3">
                    <c:v>15-Oct-2026</c:v>
                  </c:pt>
                  <c:pt idx="4">
                    <c:v>01-Nov-2026</c:v>
                  </c:pt>
                </c:lvl>
                <c:lvl>
                  <c:pt idx="0">
                    <c:v>Wave 1</c:v>
                  </c:pt>
                  <c:pt idx="1">
                    <c:v>Wave 2</c:v>
                  </c:pt>
                  <c:pt idx="2">
                    <c:v>Wave 3</c:v>
                  </c:pt>
                  <c:pt idx="3">
                    <c:v>Wave 4</c:v>
                  </c:pt>
                  <c:pt idx="4">
                    <c:v>Wave 5</c:v>
                  </c:pt>
                </c:lvl>
              </c:multiLvlStrCache>
            </c:multiLvlStrRef>
          </c:cat>
          <c:val>
            <c:numRef>
              <c:f>'Ramp-Up Plan'!$E$2:$E$6</c:f>
              <c:numCache>
                <c:formatCode>0</c:formatCode>
                <c:ptCount val="5"/>
                <c:pt idx="0">
                  <c:v>0</c:v>
                </c:pt>
                <c:pt idx="1">
                  <c:v>3</c:v>
                </c:pt>
                <c:pt idx="2">
                  <c:v>0</c:v>
                </c:pt>
                <c:pt idx="3">
                  <c:v>0</c:v>
                </c:pt>
                <c:pt idx="4">
                  <c:v>0</c:v>
                </c:pt>
              </c:numCache>
            </c:numRef>
          </c:val>
          <c:smooth val="0"/>
          <c:extLst>
            <c:ext xmlns:c16="http://schemas.microsoft.com/office/drawing/2014/chart" uri="{C3380CC4-5D6E-409C-BE32-E72D297353CC}">
              <c16:uniqueId val="{00000001-53AD-4F6F-9280-51D7C4D9EC6D}"/>
            </c:ext>
          </c:extLst>
        </c:ser>
        <c:dLbls>
          <c:showLegendKey val="0"/>
          <c:showVal val="0"/>
          <c:showCatName val="0"/>
          <c:showSerName val="0"/>
          <c:showPercent val="0"/>
          <c:showBubbleSize val="0"/>
        </c:dLbls>
        <c:smooth val="0"/>
        <c:axId val="1452640776"/>
        <c:axId val="1452659208"/>
      </c:lineChart>
      <c:catAx>
        <c:axId val="145264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59208"/>
        <c:crosses val="autoZero"/>
        <c:auto val="1"/>
        <c:lblAlgn val="ctr"/>
        <c:lblOffset val="100"/>
        <c:noMultiLvlLbl val="0"/>
      </c:catAx>
      <c:valAx>
        <c:axId val="1452659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40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Funnel Conversion</a:t>
            </a:r>
          </a:p>
        </c:rich>
      </c:tx>
      <c:overlay val="1"/>
    </c:title>
    <c:autoTitleDeleted val="0"/>
    <c:plotArea>
      <c:layout>
        <c:manualLayout>
          <c:layoutTarget val="inner"/>
          <c:xMode val="edge"/>
          <c:yMode val="edge"/>
          <c:x val="8.7726828675247684E-2"/>
          <c:y val="0"/>
          <c:w val="0.70484668462170974"/>
          <c:h val="0.79809623859290157"/>
        </c:manualLayout>
      </c:layout>
      <c:barChart>
        <c:barDir val="col"/>
        <c:grouping val="clustered"/>
        <c:varyColors val="1"/>
        <c:ser>
          <c:idx val="0"/>
          <c:order val="0"/>
          <c:tx>
            <c:strRef>
              <c:f>'Executive Dashboard'!$C$8</c:f>
              <c:strCache>
                <c:ptCount val="1"/>
                <c:pt idx="0">
                  <c:v>Count</c:v>
                </c:pt>
              </c:strCache>
            </c:strRef>
          </c:tx>
          <c:spPr>
            <a:ln>
              <a:prstDash val="solid"/>
            </a:ln>
          </c:spPr>
          <c:invertIfNegative val="1"/>
          <c:cat>
            <c:strRef>
              <c:f>'Executive Dashboard'!$B$9:$B$17</c:f>
              <c:strCache>
                <c:ptCount val="9"/>
                <c:pt idx="0">
                  <c:v>Sourced</c:v>
                </c:pt>
                <c:pt idx="1">
                  <c:v>Screened</c:v>
                </c:pt>
                <c:pt idx="2">
                  <c:v>Passed Ops&amp; HR</c:v>
                </c:pt>
                <c:pt idx="3">
                  <c:v>Offered</c:v>
                </c:pt>
                <c:pt idx="4">
                  <c:v>Joined</c:v>
                </c:pt>
                <c:pt idx="5">
                  <c:v>PKI Card Requested</c:v>
                </c:pt>
                <c:pt idx="6">
                  <c:v>PKI Card Received</c:v>
                </c:pt>
                <c:pt idx="7">
                  <c:v>Access Received</c:v>
                </c:pt>
                <c:pt idx="8">
                  <c:v>Training Complete</c:v>
                </c:pt>
              </c:strCache>
            </c:strRef>
          </c:cat>
          <c:val>
            <c:numRef>
              <c:f>'Executive Dashboard'!$C$9:$C$17</c:f>
              <c:numCache>
                <c:formatCode>General</c:formatCode>
                <c:ptCount val="9"/>
                <c:pt idx="0">
                  <c:v>160</c:v>
                </c:pt>
                <c:pt idx="1">
                  <c:v>61</c:v>
                </c:pt>
                <c:pt idx="2">
                  <c:v>21</c:v>
                </c:pt>
                <c:pt idx="3">
                  <c:v>8</c:v>
                </c:pt>
                <c:pt idx="4">
                  <c:v>3</c:v>
                </c:pt>
                <c:pt idx="5">
                  <c:v>0</c:v>
                </c:pt>
                <c:pt idx="6">
                  <c:v>0</c:v>
                </c:pt>
                <c:pt idx="7">
                  <c:v>0</c:v>
                </c:pt>
                <c:pt idx="8">
                  <c:v>0</c:v>
                </c:pt>
              </c:numCache>
            </c:numRef>
          </c:val>
          <c:extLst>
            <c:ext xmlns:c16="http://schemas.microsoft.com/office/drawing/2014/chart" uri="{C3380CC4-5D6E-409C-BE32-E72D297353CC}">
              <c16:uniqueId val="{00000000-759C-4750-9B88-931B49D7F31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dTable>
        <c:showHorzBorder val="1"/>
        <c:showVertBorder val="1"/>
        <c:showOutline val="1"/>
        <c:showKeys val="1"/>
        <c:txPr>
          <a:bodyPr/>
          <a:lstStyle/>
          <a:p>
            <a:pPr rtl="0">
              <a:defRPr sz="800"/>
            </a:pPr>
            <a:endParaRPr lang="en-US"/>
          </a:p>
        </c:txPr>
      </c:dTable>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spPr>
            <a:ln>
              <a:solidFill>
                <a:srgbClr val="0099CC"/>
              </a:solidFill>
              <a:prstDash val="solid"/>
            </a:ln>
          </c:spPr>
          <c:dPt>
            <c:idx val="0"/>
            <c:bubble3D val="0"/>
            <c:spPr>
              <a:solidFill>
                <a:schemeClr val="accent1"/>
              </a:solidFill>
              <a:ln w="19050">
                <a:solidFill>
                  <a:srgbClr val="0099CC"/>
                </a:solidFill>
                <a:prstDash val="solid"/>
              </a:ln>
              <a:effectLst/>
            </c:spPr>
            <c:extLst>
              <c:ext xmlns:c16="http://schemas.microsoft.com/office/drawing/2014/chart" uri="{C3380CC4-5D6E-409C-BE32-E72D297353CC}">
                <c16:uniqueId val="{00000001-0A35-43A0-95A1-CDA8FFAD728A}"/>
              </c:ext>
            </c:extLst>
          </c:dPt>
          <c:dPt>
            <c:idx val="1"/>
            <c:bubble3D val="0"/>
            <c:spPr>
              <a:solidFill>
                <a:schemeClr val="accent2"/>
              </a:solidFill>
              <a:ln w="19050">
                <a:solidFill>
                  <a:srgbClr val="0099CC"/>
                </a:solidFill>
                <a:prstDash val="solid"/>
              </a:ln>
              <a:effectLst/>
            </c:spPr>
            <c:extLst>
              <c:ext xmlns:c16="http://schemas.microsoft.com/office/drawing/2014/chart" uri="{C3380CC4-5D6E-409C-BE32-E72D297353CC}">
                <c16:uniqueId val="{00000003-0A35-43A0-95A1-CDA8FFAD728A}"/>
              </c:ext>
            </c:extLst>
          </c:dPt>
          <c:dPt>
            <c:idx val="2"/>
            <c:bubble3D val="0"/>
            <c:spPr>
              <a:solidFill>
                <a:schemeClr val="accent3"/>
              </a:solidFill>
              <a:ln w="19050">
                <a:solidFill>
                  <a:srgbClr val="0099CC"/>
                </a:solidFill>
                <a:prstDash val="solid"/>
              </a:ln>
              <a:effectLst/>
            </c:spPr>
            <c:extLst>
              <c:ext xmlns:c16="http://schemas.microsoft.com/office/drawing/2014/chart" uri="{C3380CC4-5D6E-409C-BE32-E72D297353CC}">
                <c16:uniqueId val="{00000005-0A35-43A0-95A1-CDA8FFAD72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0404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'SD Analyst Overview '!$C$34:$E$34</c:f>
              <c:strCache>
                <c:ptCount val="3"/>
                <c:pt idx="0">
                  <c:v>Sourced </c:v>
                </c:pt>
                <c:pt idx="1">
                  <c:v>Screened </c:v>
                </c:pt>
                <c:pt idx="2">
                  <c:v>%</c:v>
                </c:pt>
              </c:strCache>
            </c:strRef>
          </c:cat>
          <c:val>
            <c:numRef>
              <c:f>'SD Analyst Overview '!$C$35:$E$35</c:f>
              <c:numCache>
                <c:formatCode>General</c:formatCode>
                <c:ptCount val="3"/>
                <c:pt idx="0">
                  <c:v>450</c:v>
                </c:pt>
                <c:pt idx="1">
                  <c:v>230</c:v>
                </c:pt>
                <c:pt idx="2" formatCode="0%">
                  <c:v>0.51111111111111107</c:v>
                </c:pt>
              </c:numCache>
            </c:numRef>
          </c:val>
          <c:extLst>
            <c:ext xmlns:c15="http://schemas.microsoft.com/office/drawing/2012/chart" uri="{02D57815-91ED-43cb-92C2-25804820EDAC}">
              <c15:filteredSeriesTitle>
                <c15:tx>
                  <c:strRef>
                    <c:extLst>
                      <c:ext uri="{02D57815-91ED-43cb-92C2-25804820EDAC}">
                        <c15:formulaRef>
                          <c15:sqref>'SD Analyst Overview '!#REF!</c15:sqref>
                        </c15:formulaRef>
                      </c:ext>
                    </c:extLst>
                    <c:strCache>
                      <c:ptCount val="1"/>
                      <c:pt idx="0">
                        <c:v>#REF!</c:v>
                      </c:pt>
                    </c:strCache>
                  </c:strRef>
                </c15:tx>
              </c15:filteredSeriesTitle>
            </c:ext>
            <c:ext xmlns:c16="http://schemas.microsoft.com/office/drawing/2014/chart" uri="{C3380CC4-5D6E-409C-BE32-E72D297353CC}">
              <c16:uniqueId val="{00000000-EB7B-4DAB-B3B4-5AB5C9677BA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EHD</a:t>
            </a:r>
            <a:r>
              <a:rPr lang="en-US" baseline="0"/>
              <a:t> Hiring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 Analyst Overview '!$A$2:$B$2</c:f>
              <c:strCache>
                <c:ptCount val="2"/>
                <c:pt idx="0">
                  <c:v>Wave 1</c:v>
                </c:pt>
                <c:pt idx="1">
                  <c:v>01-Sep-2026</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 Analyst Overview '!$C$1:$K$1</c:f>
              <c:strCache>
                <c:ptCount val="9"/>
                <c:pt idx="0">
                  <c:v>Demand </c:v>
                </c:pt>
                <c:pt idx="1">
                  <c:v>Passed Interview </c:v>
                </c:pt>
                <c:pt idx="2">
                  <c:v>Offered </c:v>
                </c:pt>
                <c:pt idx="3">
                  <c:v>Internal Profiles</c:v>
                </c:pt>
                <c:pt idx="4">
                  <c:v>Pending Offer</c:v>
                </c:pt>
                <c:pt idx="5">
                  <c:v>Offer Accepted </c:v>
                </c:pt>
                <c:pt idx="6">
                  <c:v>Offer Rejected </c:v>
                </c:pt>
                <c:pt idx="7">
                  <c:v>Joined</c:v>
                </c:pt>
                <c:pt idx="8">
                  <c:v>Expected to join </c:v>
                </c:pt>
              </c:strCache>
            </c:strRef>
          </c:cat>
          <c:val>
            <c:numRef>
              <c:f>'SD Analyst Overview '!$C$2:$K$2</c:f>
              <c:numCache>
                <c:formatCode>General</c:formatCode>
                <c:ptCount val="9"/>
                <c:pt idx="0">
                  <c:v>20</c:v>
                </c:pt>
                <c:pt idx="1">
                  <c:v>61</c:v>
                </c:pt>
                <c:pt idx="2">
                  <c:v>51</c:v>
                </c:pt>
                <c:pt idx="3">
                  <c:v>3</c:v>
                </c:pt>
                <c:pt idx="4">
                  <c:v>10</c:v>
                </c:pt>
                <c:pt idx="5">
                  <c:v>47</c:v>
                </c:pt>
                <c:pt idx="6">
                  <c:v>6</c:v>
                </c:pt>
                <c:pt idx="7">
                  <c:v>3</c:v>
                </c:pt>
                <c:pt idx="8">
                  <c:v>0</c:v>
                </c:pt>
              </c:numCache>
            </c:numRef>
          </c:val>
          <c:extLst>
            <c:ext xmlns:c16="http://schemas.microsoft.com/office/drawing/2014/chart" uri="{C3380CC4-5D6E-409C-BE32-E72D297353CC}">
              <c16:uniqueId val="{00000000-71F5-4545-B117-63999F5A8436}"/>
            </c:ext>
          </c:extLst>
        </c:ser>
        <c:ser>
          <c:idx val="1"/>
          <c:order val="1"/>
          <c:tx>
            <c:strRef>
              <c:f>'SD Analyst Overview '!$A$3:$B$3</c:f>
              <c:strCache>
                <c:ptCount val="2"/>
                <c:pt idx="0">
                  <c:v>Wave 2</c:v>
                </c:pt>
                <c:pt idx="1">
                  <c:v>15-Sep-2026</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 Analyst Overview '!$C$1:$K$1</c:f>
              <c:strCache>
                <c:ptCount val="9"/>
                <c:pt idx="0">
                  <c:v>Demand </c:v>
                </c:pt>
                <c:pt idx="1">
                  <c:v>Passed Interview </c:v>
                </c:pt>
                <c:pt idx="2">
                  <c:v>Offered </c:v>
                </c:pt>
                <c:pt idx="3">
                  <c:v>Internal Profiles</c:v>
                </c:pt>
                <c:pt idx="4">
                  <c:v>Pending Offer</c:v>
                </c:pt>
                <c:pt idx="5">
                  <c:v>Offer Accepted </c:v>
                </c:pt>
                <c:pt idx="6">
                  <c:v>Offer Rejected </c:v>
                </c:pt>
                <c:pt idx="7">
                  <c:v>Joined</c:v>
                </c:pt>
                <c:pt idx="8">
                  <c:v>Expected to join </c:v>
                </c:pt>
              </c:strCache>
            </c:strRef>
          </c:cat>
          <c:val>
            <c:numRef>
              <c:f>'SD Analyst Overview '!$C$3:$K$3</c:f>
              <c:numCache>
                <c:formatCode>General</c:formatCode>
                <c:ptCount val="9"/>
                <c:pt idx="0">
                  <c:v>40</c:v>
                </c:pt>
                <c:pt idx="7">
                  <c:v>8</c:v>
                </c:pt>
                <c:pt idx="8">
                  <c:v>18</c:v>
                </c:pt>
              </c:numCache>
            </c:numRef>
          </c:val>
          <c:extLst>
            <c:ext xmlns:c16="http://schemas.microsoft.com/office/drawing/2014/chart" uri="{C3380CC4-5D6E-409C-BE32-E72D297353CC}">
              <c16:uniqueId val="{00000001-71F5-4545-B117-63999F5A8436}"/>
            </c:ext>
          </c:extLst>
        </c:ser>
        <c:ser>
          <c:idx val="2"/>
          <c:order val="2"/>
          <c:tx>
            <c:strRef>
              <c:f>'SD Analyst Overview '!$A$4:$B$4</c:f>
              <c:strCache>
                <c:ptCount val="2"/>
                <c:pt idx="0">
                  <c:v>Wave 3</c:v>
                </c:pt>
                <c:pt idx="1">
                  <c:v>01-Oct-2026</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 Analyst Overview '!$C$1:$K$1</c:f>
              <c:strCache>
                <c:ptCount val="9"/>
                <c:pt idx="0">
                  <c:v>Demand </c:v>
                </c:pt>
                <c:pt idx="1">
                  <c:v>Passed Interview </c:v>
                </c:pt>
                <c:pt idx="2">
                  <c:v>Offered </c:v>
                </c:pt>
                <c:pt idx="3">
                  <c:v>Internal Profiles</c:v>
                </c:pt>
                <c:pt idx="4">
                  <c:v>Pending Offer</c:v>
                </c:pt>
                <c:pt idx="5">
                  <c:v>Offer Accepted </c:v>
                </c:pt>
                <c:pt idx="6">
                  <c:v>Offer Rejected </c:v>
                </c:pt>
                <c:pt idx="7">
                  <c:v>Joined</c:v>
                </c:pt>
                <c:pt idx="8">
                  <c:v>Expected to join </c:v>
                </c:pt>
              </c:strCache>
            </c:strRef>
          </c:cat>
          <c:val>
            <c:numRef>
              <c:f>'SD Analyst Overview '!$C$4:$K$4</c:f>
              <c:numCache>
                <c:formatCode>General</c:formatCode>
                <c:ptCount val="9"/>
                <c:pt idx="0">
                  <c:v>60</c:v>
                </c:pt>
              </c:numCache>
            </c:numRef>
          </c:val>
          <c:extLst>
            <c:ext xmlns:c16="http://schemas.microsoft.com/office/drawing/2014/chart" uri="{C3380CC4-5D6E-409C-BE32-E72D297353CC}">
              <c16:uniqueId val="{00000002-71F5-4545-B117-63999F5A8436}"/>
            </c:ext>
          </c:extLst>
        </c:ser>
        <c:ser>
          <c:idx val="3"/>
          <c:order val="3"/>
          <c:tx>
            <c:strRef>
              <c:f>'SD Analyst Overview '!$A$5:$B$5</c:f>
              <c:strCache>
                <c:ptCount val="2"/>
                <c:pt idx="0">
                  <c:v>Wave 4</c:v>
                </c:pt>
                <c:pt idx="1">
                  <c:v>15-Oct-2026</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 Analyst Overview '!$C$1:$K$1</c:f>
              <c:strCache>
                <c:ptCount val="9"/>
                <c:pt idx="0">
                  <c:v>Demand </c:v>
                </c:pt>
                <c:pt idx="1">
                  <c:v>Passed Interview </c:v>
                </c:pt>
                <c:pt idx="2">
                  <c:v>Offered </c:v>
                </c:pt>
                <c:pt idx="3">
                  <c:v>Internal Profiles</c:v>
                </c:pt>
                <c:pt idx="4">
                  <c:v>Pending Offer</c:v>
                </c:pt>
                <c:pt idx="5">
                  <c:v>Offer Accepted </c:v>
                </c:pt>
                <c:pt idx="6">
                  <c:v>Offer Rejected </c:v>
                </c:pt>
                <c:pt idx="7">
                  <c:v>Joined</c:v>
                </c:pt>
                <c:pt idx="8">
                  <c:v>Expected to join </c:v>
                </c:pt>
              </c:strCache>
            </c:strRef>
          </c:cat>
          <c:val>
            <c:numRef>
              <c:f>'SD Analyst Overview '!$C$5:$K$5</c:f>
              <c:numCache>
                <c:formatCode>General</c:formatCode>
                <c:ptCount val="9"/>
                <c:pt idx="0">
                  <c:v>80</c:v>
                </c:pt>
              </c:numCache>
            </c:numRef>
          </c:val>
          <c:extLst>
            <c:ext xmlns:c16="http://schemas.microsoft.com/office/drawing/2014/chart" uri="{C3380CC4-5D6E-409C-BE32-E72D297353CC}">
              <c16:uniqueId val="{00000003-71F5-4545-B117-63999F5A8436}"/>
            </c:ext>
          </c:extLst>
        </c:ser>
        <c:ser>
          <c:idx val="4"/>
          <c:order val="4"/>
          <c:tx>
            <c:strRef>
              <c:f>'SD Analyst Overview '!$A$6:$B$6</c:f>
              <c:strCache>
                <c:ptCount val="2"/>
                <c:pt idx="0">
                  <c:v>Wave 5</c:v>
                </c:pt>
                <c:pt idx="1">
                  <c:v>01-Nov-2026</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'SD Analyst Overview '!$C$1:$K$1</c:f>
              <c:strCache>
                <c:ptCount val="9"/>
                <c:pt idx="0">
                  <c:v>Demand </c:v>
                </c:pt>
                <c:pt idx="1">
                  <c:v>Passed Interview </c:v>
                </c:pt>
                <c:pt idx="2">
                  <c:v>Offered </c:v>
                </c:pt>
                <c:pt idx="3">
                  <c:v>Internal Profiles</c:v>
                </c:pt>
                <c:pt idx="4">
                  <c:v>Pending Offer</c:v>
                </c:pt>
                <c:pt idx="5">
                  <c:v>Offer Accepted </c:v>
                </c:pt>
                <c:pt idx="6">
                  <c:v>Offer Rejected </c:v>
                </c:pt>
                <c:pt idx="7">
                  <c:v>Joined</c:v>
                </c:pt>
                <c:pt idx="8">
                  <c:v>Expected to join </c:v>
                </c:pt>
              </c:strCache>
            </c:strRef>
          </c:cat>
          <c:val>
            <c:numRef>
              <c:f>'SD Analyst Overview '!$C$6:$K$6</c:f>
              <c:numCache>
                <c:formatCode>General</c:formatCode>
                <c:ptCount val="9"/>
                <c:pt idx="0">
                  <c:v>100</c:v>
                </c:pt>
              </c:numCache>
            </c:numRef>
          </c:val>
          <c:extLst>
            <c:ext xmlns:c16="http://schemas.microsoft.com/office/drawing/2014/chart" uri="{C3380CC4-5D6E-409C-BE32-E72D297353CC}">
              <c16:uniqueId val="{00000004-71F5-4545-B117-63999F5A8436}"/>
            </c:ext>
          </c:extLst>
        </c:ser>
        <c:dLbls>
          <c:dLblPos val="outEnd"/>
          <c:showLegendKey val="0"/>
          <c:showVal val="1"/>
          <c:showCatName val="0"/>
          <c:showSerName val="0"/>
          <c:showPercent val="0"/>
          <c:showBubbleSize val="0"/>
        </c:dLbls>
        <c:gapWidth val="100"/>
        <c:overlap val="-24"/>
        <c:axId val="1633474704"/>
        <c:axId val="1631866672"/>
      </c:barChart>
      <c:catAx>
        <c:axId val="1633474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66672"/>
        <c:crosses val="autoZero"/>
        <c:auto val="1"/>
        <c:lblAlgn val="ctr"/>
        <c:lblOffset val="100"/>
        <c:noMultiLvlLbl val="0"/>
      </c:catAx>
      <c:valAx>
        <c:axId val="163186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34747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57150</xdr:colOff>
      <xdr:row>6</xdr:row>
      <xdr:rowOff>28575</xdr:rowOff>
    </xdr:from>
    <xdr:to>
      <xdr:col>18</xdr:col>
      <xdr:colOff>361950</xdr:colOff>
      <xdr:row>20</xdr:row>
      <xdr:rowOff>95250</xdr:rowOff>
    </xdr:to>
    <xdr:graphicFrame macro="">
      <xdr:nvGraphicFramePr>
        <xdr:cNvPr id="13" name="Chart 1">
          <a:extLst>
            <a:ext uri="{FF2B5EF4-FFF2-40B4-BE49-F238E27FC236}">
              <a16:creationId xmlns:a16="http://schemas.microsoft.com/office/drawing/2014/main" id="{688BBD51-62EE-3670-949C-EC33C02B1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815975</xdr:colOff>
      <xdr:row>3</xdr:row>
      <xdr:rowOff>15874</xdr:rowOff>
    </xdr:from>
    <xdr:ext cx="8026400" cy="3057526"/>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11</xdr:col>
      <xdr:colOff>104775</xdr:colOff>
      <xdr:row>7</xdr:row>
      <xdr:rowOff>57150</xdr:rowOff>
    </xdr:from>
    <xdr:to>
      <xdr:col>16</xdr:col>
      <xdr:colOff>247650</xdr:colOff>
      <xdr:row>20</xdr:row>
      <xdr:rowOff>123825</xdr:rowOff>
    </xdr:to>
    <xdr:graphicFrame macro="">
      <xdr:nvGraphicFramePr>
        <xdr:cNvPr id="8" name="Chart 10">
          <a:extLst>
            <a:ext uri="{FF2B5EF4-FFF2-40B4-BE49-F238E27FC236}">
              <a16:creationId xmlns:a16="http://schemas.microsoft.com/office/drawing/2014/main" id="{5F041704-6DF2-5CBB-3680-5BD4C9544526}"/>
            </a:ext>
            <a:ext uri="{147F2762-F138-4A5C-976F-8EAC2B608ADB}">
              <a16:predDERef xmlns:a16="http://schemas.microsoft.com/office/drawing/2014/main" pred="{150842F2-11B4-D9EF-FE16-C208D54E8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361950</xdr:colOff>
      <xdr:row>6</xdr:row>
      <xdr:rowOff>165100</xdr:rowOff>
    </xdr:from>
    <xdr:to>
      <xdr:col>9</xdr:col>
      <xdr:colOff>685799</xdr:colOff>
      <xdr:row>24</xdr:row>
      <xdr:rowOff>177800</xdr:rowOff>
    </xdr:to>
    <xdr:graphicFrame macro="">
      <xdr:nvGraphicFramePr>
        <xdr:cNvPr id="3" name="Chart 2">
          <a:extLst>
            <a:ext uri="{FF2B5EF4-FFF2-40B4-BE49-F238E27FC236}">
              <a16:creationId xmlns:a16="http://schemas.microsoft.com/office/drawing/2014/main" id="{904B77B5-DC79-0249-EA9D-0117207712EA}"/>
            </a:ext>
            <a:ext uri="{147F2762-F138-4A5C-976F-8EAC2B608ADB}">
              <a16:predDERef xmlns:a16="http://schemas.microsoft.com/office/drawing/2014/main" pred="{5F041704-6DF2-5CBB-3680-5BD4C9544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orbacher, Jonas" refreshedDate="46293.70339826389" createdVersion="8" refreshedVersion="8" minRefreshableVersion="3" recordCount="224" xr:uid="{564A04C7-B8F5-4658-91F8-604965E41C63}">
  <cacheSource type="worksheet">
    <worksheetSource name="Table4"/>
  </cacheSource>
  <cacheFields count="19">
    <cacheField name="Name" numFmtId="0">
      <sharedItems containsBlank="1"/>
    </cacheField>
    <cacheField name="Email" numFmtId="0">
      <sharedItems containsBlank="1"/>
    </cacheField>
    <cacheField name="Date" numFmtId="0">
      <sharedItems containsNonDate="0" containsDate="1" containsString="0" containsBlank="1" minDate="2026-08-10T00:00:00" maxDate="2026-09-29T00:00:00" count="38">
        <d v="2026-08-10T00:00:00"/>
        <d v="2026-08-11T00:00:00"/>
        <d v="2026-08-12T00:00:00"/>
        <d v="2026-08-13T00:00:00"/>
        <d v="2026-08-14T00:00:00"/>
        <d v="2026-08-17T00:00:00"/>
        <d v="2026-08-18T00:00:00"/>
        <d v="2026-08-19T00:00:00"/>
        <d v="2026-08-20T00:00:00"/>
        <d v="2026-08-21T00:00:00"/>
        <d v="2026-08-24T00:00:00"/>
        <d v="2026-08-25T00:00:00"/>
        <d v="2026-08-26T00:00:00"/>
        <d v="2026-08-27T00:00:00"/>
        <d v="2026-08-31T00:00:00"/>
        <d v="2026-09-01T00:00:00"/>
        <d v="2026-09-02T00:00:00"/>
        <d v="2026-09-03T00:00:00"/>
        <d v="2026-09-04T00:00:00"/>
        <d v="2026-09-07T00:00:00"/>
        <d v="2026-09-08T00:00:00"/>
        <d v="2026-09-09T00:00:00"/>
        <d v="2026-09-10T00:00:00"/>
        <d v="2026-09-11T00:00:00"/>
        <d v="2026-09-12T00:00:00"/>
        <d v="2026-09-13T00:00:00"/>
        <d v="2026-09-14T00:00:00"/>
        <d v="2026-09-15T00:00:00"/>
        <d v="2026-09-16T00:00:00"/>
        <d v="2026-09-17T00:00:00"/>
        <d v="2026-09-18T00:00:00"/>
        <d v="2026-09-21T00:00:00"/>
        <d v="2026-09-22T00:00:00"/>
        <d v="2026-09-23T00:00:00"/>
        <d v="2026-09-24T00:00:00"/>
        <d v="2026-09-25T00:00:00"/>
        <d v="2026-09-28T00:00:00"/>
        <m/>
      </sharedItems>
      <fieldGroup par="18"/>
    </cacheField>
    <cacheField name="Project" numFmtId="0">
      <sharedItems/>
    </cacheField>
    <cacheField name="Role Applied" numFmtId="0">
      <sharedItems/>
    </cacheField>
    <cacheField name="Grade" numFmtId="0">
      <sharedItems/>
    </cacheField>
    <cacheField name="Recruiter" numFmtId="0">
      <sharedItems containsBlank="1"/>
    </cacheField>
    <cacheField name="Source" numFmtId="0">
      <sharedItems containsNonDate="0" containsString="0" containsBlank="1"/>
    </cacheField>
    <cacheField name="HR Screening" numFmtId="0">
      <sharedItems containsBlank="1"/>
    </cacheField>
    <cacheField name="Technical" numFmtId="0">
      <sharedItems containsBlank="1"/>
    </cacheField>
    <cacheField name="Ops" numFmtId="0">
      <sharedItems containsBlank="1"/>
    </cacheField>
    <cacheField name="Accepted " numFmtId="0">
      <sharedItems containsBlank="1" count="12">
        <s v="Rejected"/>
        <s v="NCNS"/>
        <s v="Accepted "/>
        <s v="rescheduled"/>
        <s v="Pending"/>
        <s v="Accepted"/>
        <s v="Rejected "/>
        <s v="Canceled "/>
        <s v="Rescheduled "/>
        <s v="Cancelled"/>
        <s v="Cancelled "/>
        <m/>
      </sharedItems>
    </cacheField>
    <cacheField name="Offered" numFmtId="0">
      <sharedItems containsNonDate="0" containsString="0" containsBlank="1"/>
    </cacheField>
    <cacheField name="Joined" numFmtId="0">
      <sharedItems containsNonDate="0" containsString="0" containsBlank="1"/>
    </cacheField>
    <cacheField name="Join Date" numFmtId="0">
      <sharedItems containsNonDate="0" containsString="0" containsBlank="1"/>
    </cacheField>
    <cacheField name="Current Stage" numFmtId="0">
      <sharedItems containsNonDate="0" containsString="0" containsBlank="1"/>
    </cacheField>
    <cacheField name="Feedback " numFmtId="0">
      <sharedItems containsBlank="1" longText="1"/>
    </cacheField>
    <cacheField name="Joining Date" numFmtId="0">
      <sharedItems containsDate="1" containsBlank="1" containsMixedTypes="1" minDate="2026-09-01T00:00:00" maxDate="2026-09-16T00:00:00"/>
    </cacheField>
    <cacheField name="Months (Date)" numFmtId="0" databaseField="0">
      <fieldGroup base="2">
        <rangePr groupBy="months" startDate="2026-08-10T00:00:00" endDate="2026-09-29T00:00:00"/>
        <groupItems count="14">
          <s v="&lt;10.08.2026"/>
          <s v="Jan"/>
          <s v="Feb"/>
          <s v="Mrz"/>
          <s v="Apr"/>
          <s v="Mai"/>
          <s v="Jun"/>
          <s v="Jul"/>
          <s v="Aug"/>
          <s v="Sep"/>
          <s v="Okt"/>
          <s v="Nov"/>
          <s v="Dez"/>
          <s v="&gt;29.09.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orbacher, Jonas" refreshedDate="46293.716371759256" createdVersion="8" refreshedVersion="8" minRefreshableVersion="3" recordCount="82" xr:uid="{F935B84F-5310-4561-998D-44DDCD9E9A30}">
  <cacheSource type="worksheet">
    <worksheetSource ref="A1:O1048576" sheet="Offering Sheet"/>
  </cacheSource>
  <cacheFields count="15">
    <cacheField name="Year of Offer released" numFmtId="0">
      <sharedItems containsString="0" containsBlank="1" containsNumber="1" containsInteger="1" minValue="2026" maxValue="2026"/>
    </cacheField>
    <cacheField name="Offered _x000a_Month" numFmtId="0">
      <sharedItems containsBlank="1"/>
    </cacheField>
    <cacheField name="Employment_x000a_Type" numFmtId="0">
      <sharedItems containsBlank="1"/>
    </cacheField>
    <cacheField name="BU" numFmtId="0">
      <sharedItems containsBlank="1"/>
    </cacheField>
    <cacheField name="Client" numFmtId="0">
      <sharedItems containsBlank="1"/>
    </cacheField>
    <cacheField name="Skills" numFmtId="0">
      <sharedItems containsBlank="1" count="9">
        <s v="Knowledge Gatherer - German"/>
        <s v="Associate Service Desk Analyst - German"/>
        <s v="Quality Analyst - German"/>
        <s v="Service Desk Analyst - German"/>
        <s v="SD Team Manager"/>
        <s v="Knowledge Editor - German"/>
        <s v="Incident Coordinator - English"/>
        <s v="Complains Manager"/>
        <m/>
      </sharedItems>
    </cacheField>
    <cacheField name="Candidate Full Name" numFmtId="0">
      <sharedItems containsBlank="1"/>
    </cacheField>
    <cacheField name="Email" numFmtId="0">
      <sharedItems containsBlank="1"/>
    </cacheField>
    <cacheField name="Mobile Number" numFmtId="0">
      <sharedItems containsBlank="1" containsMixedTypes="1" containsNumber="1" containsInteger="1" minValue="1000329218" maxValue="15005392150"/>
    </cacheField>
    <cacheField name="Grade" numFmtId="0">
      <sharedItems containsBlank="1" count="6">
        <s v="B1"/>
        <s v="A4"/>
        <s v="A5"/>
        <s v="B2"/>
        <s v="C1"/>
        <m/>
      </sharedItems>
    </cacheField>
    <cacheField name="Designation " numFmtId="0">
      <sharedItems containsBlank="1"/>
    </cacheField>
    <cacheField name="Joining Date" numFmtId="0">
      <sharedItems containsDate="1" containsBlank="1" containsMixedTypes="1" minDate="2026-08-17T00:00:00" maxDate="2026-11-10T00:00:00" count="24">
        <d v="2026-08-17T00:00:00"/>
        <d v="2026-09-01T00:00:00"/>
        <d v="2026-09-02T00:00:00"/>
        <d v="2026-09-14T00:00:00"/>
        <d v="2026-09-07T00:00:00"/>
        <d v="2026-10-05T00:00:00"/>
        <d v="2026-09-21T00:00:00"/>
        <d v="2026-09-15T00:00:00"/>
        <d v="2026-10-06T00:00:00"/>
        <d v="2026-09-28T00:00:00"/>
        <d v="2026-11-02T00:00:00"/>
        <s v="TBC"/>
        <d v="2026-09-30T00:00:00"/>
        <d v="2026-10-19T00:00:00"/>
        <d v="2026-10-12T00:00:00"/>
        <d v="2026-10-07T00:00:00"/>
        <d v="2026-11-09T00:00:00"/>
        <d v="2026-09-16T00:00:00"/>
        <d v="2026-10-26T00:00:00"/>
        <d v="2026-10-14T00:00:00"/>
        <d v="2026-10-20T00:00:00"/>
        <d v="2026-09-23T00:00:00"/>
        <d v="2026-10-25T00:00:00"/>
        <m/>
      </sharedItems>
    </cacheField>
    <cacheField name="Joining Month" numFmtId="0">
      <sharedItems containsBlank="1"/>
    </cacheField>
    <cacheField name="Offer Status" numFmtId="0">
      <sharedItems containsBlank="1" count="8">
        <s v="Joined"/>
        <s v="Offer Decline"/>
        <s v="Offer Released and Accepted"/>
        <s v="Offer Voided"/>
        <s v="Offer Released"/>
        <s v="Offer On-Hold"/>
        <s v="Offer in Process"/>
        <m/>
      </sharedItems>
    </cacheField>
    <cacheField name="Gend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s v="Shoaib Abdallah "/>
    <s v="Shoaib.shoaib@gmail.com"/>
    <x v="0"/>
    <s v="AUDI"/>
    <s v="SD Team Leader "/>
    <s v="B2"/>
    <s v="Haisam Alhassan"/>
    <m/>
    <s v="Done "/>
    <s v="Failed "/>
    <s v="Failed"/>
    <x v="0"/>
    <m/>
    <m/>
    <m/>
    <m/>
    <s v="The candidate understood the questions and requirements but was unable to express ideas clearly and effectively in either German or English. Communication skills in both languages are below the level required for a customer-facing role."/>
    <m/>
  </r>
  <r>
    <s v="Alaa Ahmed Mohamed Ahmed "/>
    <s v="allaa.ahmed4040@gmail.com"/>
    <x v="0"/>
    <s v="AUDI"/>
    <s v="SD Analyst German  "/>
    <s v="A4"/>
    <s v="Haisam Alhassan"/>
    <m/>
    <s v="Done "/>
    <s v="Failed "/>
    <s v="Failed"/>
    <x v="0"/>
    <m/>
    <m/>
    <m/>
    <m/>
    <s v="Alaa Ahmed demonstrated limited technical knowledge and lacked the technical acumen expected for the role. Additionally, his German communication skills are below the required level, with frequent grammatical errors and a strong Upper Egyptian accent impacting clarity and effective customer communication. Overall, he does not currently meet the technical and language requirements for the AUDI/VW project."/>
    <m/>
  </r>
  <r>
    <s v="Mennatullah Sherif"/>
    <s v="mennasherif2001@icloud.com"/>
    <x v="0"/>
    <s v="AUDI"/>
    <s v="SD Analyst German  "/>
    <s v="A4"/>
    <s v="Haisam Alhassan"/>
    <m/>
    <m/>
    <s v="NCNS"/>
    <s v="NCNS"/>
    <x v="1"/>
    <m/>
    <m/>
    <m/>
    <m/>
    <s v="Candidate didn't show up "/>
    <m/>
  </r>
  <r>
    <s v="Elsayed quora"/>
    <s v="elsayed.quora@gmail.com"/>
    <x v="1"/>
    <s v="AUDI"/>
    <s v="SD Team Leader "/>
    <s v="B2"/>
    <s v="Haisam Alhassan"/>
    <m/>
    <s v="Done "/>
    <s v="Passed"/>
    <s v="Failed"/>
    <x v="0"/>
    <m/>
    <m/>
    <m/>
    <m/>
    <s v="ElSayed Quora has solid technical and Service Desk experience, with good German and English communication skills. However, he lacks Team Lead experience and was unable to adequately address leadership-related questions. Not recommended for a TL position, but suitable for roles such as Knowledge Editor, Knowledge Gatherer, or Quality Analyst."/>
    <m/>
  </r>
  <r>
    <s v="Jana Mamdouh"/>
    <s v="jana.mamdouh2002@gmail.com"/>
    <x v="1"/>
    <s v="AUDI"/>
    <s v="SD Analyst German  "/>
    <s v="A4"/>
    <s v="Haisam Alhassan"/>
    <m/>
    <m/>
    <s v="NCNS"/>
    <s v="NCNS"/>
    <x v="1"/>
    <m/>
    <m/>
    <m/>
    <m/>
    <s v="Candidate didn't show up "/>
    <m/>
  </r>
  <r>
    <s v="Philopateer Emad Fahmy Aziz"/>
    <s v="philopateeer.emad@gmail.com"/>
    <x v="2"/>
    <s v="AUDI"/>
    <s v="SD Analyst German  "/>
    <s v="A4"/>
    <s v="Haisam Alhassan"/>
    <m/>
    <m/>
    <s v="NCNS"/>
    <s v="NCNS"/>
    <x v="1"/>
    <m/>
    <m/>
    <m/>
    <m/>
    <s v="Candidate didn't show up "/>
    <m/>
  </r>
  <r>
    <s v="Rawan Samir Abdullah"/>
    <s v="rawanrr551@gmail.com"/>
    <x v="2"/>
    <s v="AUDI"/>
    <s v="SD Analyst German  "/>
    <s v="A4"/>
    <s v="Haisam Alhassan"/>
    <m/>
    <m/>
    <s v="NCNS"/>
    <s v="NCNS"/>
    <x v="1"/>
    <m/>
    <m/>
    <m/>
    <m/>
    <s v="the agent is not suitable for the position as she is UX &amp; UI experienced and also the German was her 2nd language not the 1st language, and the German was very bad almost A2 "/>
    <m/>
  </r>
  <r>
    <s v="Sarah Ashraf Algenedy "/>
    <s v="sarahashraf3010@gmail.com"/>
    <x v="3"/>
    <s v="AUDI"/>
    <s v="SD Analyst German  "/>
    <s v="A4"/>
    <s v="Haisam Alhassan"/>
    <m/>
    <s v="Done "/>
    <s v="Passed"/>
    <s v="Passed "/>
    <x v="2"/>
    <m/>
    <m/>
    <m/>
    <m/>
    <s v="Sarah Ashraf Algenedy demonstrated strong proficiency in both German and English during the interview. She has nearly 5 years of experience across various BPO functions, including 2 years of Service Desk experience with ATOS. She is familiar with ticketing and incident management tools such as ServiceNow and Jira and showed a good understanding of support processes. Overall, she performed well and appears to be a strong candidate for the role."/>
    <s v="October"/>
  </r>
  <r>
    <s v="Amira Karim "/>
    <s v="karemamira43@gmail.com"/>
    <x v="3"/>
    <s v="AUDI"/>
    <s v="Quality Analyst German"/>
    <s v="A5"/>
    <s v="Haisam Alhassan"/>
    <m/>
    <s v="Done "/>
    <s v="Passed"/>
    <s v="Passed "/>
    <x v="2"/>
    <m/>
    <m/>
    <m/>
    <m/>
    <s v="Amira Karim demonstrated strong German and English communication skills, backed by nearly 10 years of experience. She has extensive experience with Vodafone Germany and Vodafone Enterprise, along with solid technical expertise in networking, Microsoft 365, and Windows Server. She has also supported QA activities and undertaken Team Leader responsibilities, showcasing strong quality knowledge and leadership potential. Overall, she is a well-rounded candidate with a strong technical and quality background."/>
    <m/>
  </r>
  <r>
    <s v="Yomna Abuelseoud "/>
    <s v="yomna.aboelseoud@gmail.com"/>
    <x v="4"/>
    <s v="AUDI"/>
    <s v="SD Analyst German  "/>
    <s v="A4"/>
    <s v="Haisam Alhassan"/>
    <m/>
    <m/>
    <s v="NCNS"/>
    <s v="NCNS"/>
    <x v="1"/>
    <m/>
    <m/>
    <m/>
    <m/>
    <s v="Candidate didn't show up "/>
    <m/>
  </r>
  <r>
    <s v="Mohamed Magdy Fouad "/>
    <s v="mohamedmagdy.initials@gmail.com"/>
    <x v="4"/>
    <s v="AUDI"/>
    <s v="SD Analyst German  "/>
    <s v="A4"/>
    <s v="Haisam Alhassan"/>
    <m/>
    <s v="Done "/>
    <s v="Passed"/>
    <s v="Passed "/>
    <x v="2"/>
    <m/>
    <m/>
    <m/>
    <m/>
    <s v="The candidate is well-suited for the position, demonstrating strong communication skills and solid technical expertise that align with the requirements and standards of both Microsoft and eBay."/>
    <d v="2026-09-01T00:00:00"/>
  </r>
  <r>
    <s v="Abdalerahman  Gaber Saad"/>
    <s v="abdolovesaad@gmail.com"/>
    <x v="4"/>
    <s v="AUDI"/>
    <s v="SD Analyst German  "/>
    <s v="A4"/>
    <s v="Haisam Alhassan"/>
    <m/>
    <s v="Done "/>
    <s v="Failed "/>
    <s v="Failed"/>
    <x v="0"/>
    <m/>
    <m/>
    <m/>
    <m/>
    <s v="Abdelrahman Gaber is not a suitable match for the position at this stage. He does not possess the required technical background, and his English and German language proficiency levels do not meet the requirements of the role."/>
    <m/>
  </r>
  <r>
    <s v="Salma Dawaly "/>
    <s v="salmadwaly@gmail.com"/>
    <x v="4"/>
    <s v="AUDI"/>
    <s v="SD Analyst German  "/>
    <s v="A4"/>
    <s v="Haisam Alhassan"/>
    <m/>
    <s v="Done "/>
    <s v="Passed"/>
    <s v="Passed "/>
    <x v="2"/>
    <m/>
    <m/>
    <m/>
    <m/>
    <s v="Salma Dawaly demonstrated strong English communication skills and a good technical foundation that align with the role's requirements. However, her German language proficiency was assessed at an intermediate level and does not meet the language standards required for the AUDI project. As a result, she is not a suitable fit for this specific opportunity at the current time."/>
    <m/>
  </r>
  <r>
    <s v="Sarah Saeed"/>
    <s v="sarahsaeed783@gmail.com"/>
    <x v="5"/>
    <s v="AUDI"/>
    <s v="SD Analyst German  "/>
    <s v="A4"/>
    <s v="Haisam Alhassan"/>
    <m/>
    <s v="Done "/>
    <s v="Failed "/>
    <s v="Failed"/>
    <x v="0"/>
    <m/>
    <m/>
    <m/>
    <m/>
    <s v="Sarah demonstrated good English communication skills and was able to express herself clearly in most situations. However, during the assessment, several concerns were identified regarding both her language proficiency and technical suitability for the EHD position._x000a__x000a_From a technical perspective, Sarah does not appear to have a technical background and was unable to answer several basic technical questions. She struggled significantly when presented with more challenging or scenario-based technical questions and was often unable to provide sufficient responses._x000a__x000a_Regarding language proficiency, although she has studied German as an additional field alongside her Economics studies, her German language level appears to be closer to B2.1 and does not demonstrate the higher proficiency level expected for this role. There were also multiple grammatical mistakes throughout the conversation, and she frequently became stuck when required to discuss more complex topics or answer difficult questions in German._x000a__x000a_In terms of professional experience, Sarah has approximately three years of experience with Amazon, which is valuable; however, her experience does not appear to align closely with the technical and linguistic requirements of the EHD position."/>
    <m/>
  </r>
  <r>
    <s v="Abdulrahman Fathi Mohammed"/>
    <m/>
    <x v="6"/>
    <s v="AUDI"/>
    <s v="SD Analyst German  "/>
    <s v="A4"/>
    <s v="Farah Helmy"/>
    <m/>
    <m/>
    <s v="rescheduled"/>
    <s v="rescheduled"/>
    <x v="3"/>
    <m/>
    <m/>
    <m/>
    <m/>
    <s v="Candidate didn't show up "/>
    <m/>
  </r>
  <r>
    <s v="Mohamed Jouda Elaidi"/>
    <s v="mohamed.elaidi.1988@gmail.com"/>
    <x v="6"/>
    <s v="AUDI"/>
    <s v="SD Analyst German  "/>
    <s v="A4"/>
    <s v="Farah Helmy"/>
    <m/>
    <s v="Done "/>
    <s v="Passed"/>
    <s v="Passed "/>
    <x v="2"/>
    <m/>
    <m/>
    <m/>
    <m/>
    <s v="Mohamed demonstrated a good level of German language proficiency and was able to communicate effectively throughout the interview. However, he would benefit from working further on incorporating and applying feedback to strengthen his overall performance._x000a__x000a_From a technical perspective, Mohamed has a solid background, with 3 years of experience at Amazon and 2 years at Microsoft. His experience includes SCIM (System for Cross-domain Identity Management) and Windows deployment, which are relevant and valuable skills for the role."/>
    <d v="2026-09-15T00:00:00"/>
  </r>
  <r>
    <s v="Mohand Hassan Heaba "/>
    <s v="nooshheaba.nh@gmail.com"/>
    <x v="6"/>
    <s v="AUDI"/>
    <s v="SD Analyst German  "/>
    <s v="A4"/>
    <s v="Farah Helmy"/>
    <m/>
    <s v="Done "/>
    <s v="Failed "/>
    <s v="Failed"/>
    <x v="0"/>
    <m/>
    <m/>
    <m/>
    <m/>
    <s v="Mohanad stated that he had completed German language training at the C1 level. However, his performance during the interview was significantly below the expected C1 standard and, in my assessment, did not demonstrate even a solid B1 level of proficiency._x000a__x000a_Throughout the interview, he made frequent grammatical mistakes and struggled with sentence structure (Satzbau/Satzstruktur), which often made his responses difficult to follow. He also had noticeable articulation issues, and his strong accent further affected the clarity and fluency of his communication._x000a__x000a_In addition, his answers were often vague and lacked depth. On multiple occasions, his responses suggested that he had not fully understood the questions being asked, as the information provided was only partially relevant or failed to address the question altogether."/>
    <m/>
  </r>
  <r>
    <s v="Ahmed Magdy Helal"/>
    <s v="ahelal089@gmail.com"/>
    <x v="7"/>
    <s v="AUDI"/>
    <s v="Knowledge Gatherer"/>
    <s v="B1"/>
    <s v="Haisam Alhassan"/>
    <m/>
    <s v="Done "/>
    <s v="Passed"/>
    <s v="Passed "/>
    <x v="2"/>
    <m/>
    <m/>
    <m/>
    <m/>
    <s v="Good with eglish . SD Analyst Experience with ATOS , Quality associate experience also with ATOS , needs to be reassessed in German as he was not feeling well during the German Part "/>
    <m/>
  </r>
  <r>
    <s v="Mostafa Mohamed Zaineldin"/>
    <s v="mostafazayn7@gmail.com"/>
    <x v="7"/>
    <s v="AUDI"/>
    <s v="SD Analyst German  "/>
    <s v="A4"/>
    <s v="Farah Helmy"/>
    <m/>
    <s v="Done "/>
    <s v="Passed"/>
    <s v="Failed"/>
    <x v="0"/>
    <m/>
    <m/>
    <m/>
    <m/>
    <s v="The candidate has a very limited level of both German and English. Although his German is stated as B1, his communication skills do not appear to be at a B2 level. He frequently makes grammatical mistakes, mixes German and English during conversations, and has a noticeable accent that impacts overall communication clarity._x000a__x000a_His educational background is in Commerce, and German appears to have been acquired later as part of a career transition. While he does have relevant Microsoft technical experience, his language proficiency may not meet the requirements for the early deployment waves. Therefore, it may be more appropriate to consider moving his onboarding to a later wave"/>
    <m/>
  </r>
  <r>
    <s v="Abdelrahman Fathi Mohamed "/>
    <s v="thomaswolfgang22817@gmail.com"/>
    <x v="7"/>
    <s v="AUDI"/>
    <s v="SD Analyst German  "/>
    <s v="A4"/>
    <s v="Farah Helmy"/>
    <m/>
    <s v="Done "/>
    <s v="Failed "/>
    <s v="Failed"/>
    <x v="0"/>
    <m/>
    <m/>
    <m/>
    <m/>
    <s v="The candidate's German communication contained frequent grammatical mistakes, which impacted the overall clarity of his responses. During the interview, he often struggled to provide direct answers to questions and instead gave vague or indirect responses, likely due to language comprehension and communication challenges._x000a__x000a_His English fluency also requires improvement, and he acknowledged during the call that he needs to further develop his language skills, particularly in English. While he demonstrated an effort to communicate, the current level of proficiency in both German and English may affect his ability to effectively participate in customer-facing or communication-intensive roles"/>
    <m/>
  </r>
  <r>
    <s v="Mohamed Badr Mohamed "/>
    <s v="mohamedbadr01148424799@gmail.com"/>
    <x v="8"/>
    <s v="AUDI"/>
    <s v="SD Team Leader "/>
    <s v="B2"/>
    <s v="Haisam Alhassan"/>
    <m/>
    <s v="Done "/>
    <s v="Passed"/>
    <s v="Passed "/>
    <x v="2"/>
    <m/>
    <m/>
    <m/>
    <m/>
    <s v="The candidate demonstrated strong English and German language skills, as well as a solid technical background. He has worked with Siemens for three and a half years, which has provided him with valuable industry experience. During the discussion, he was advised to refresh and further strengthen his German language skills, as he has been using English more frequently than German in his current role._x000a__x000a_From a technical perspective, he showed good expertise in backlog management, client handling, and people management. Overall, he performed well and meets the requirements of the role._x000a__x000a_Based on the interview outcome, we recommend proceeding with the candidate and extending an offer for the Audi EHD Team Lead position on a probationary basis."/>
    <m/>
  </r>
  <r>
    <s v="Abdullah Habib "/>
    <s v="hapipabdulla@gmail.com"/>
    <x v="8"/>
    <s v="AUDI"/>
    <s v="SD Analyst German  "/>
    <s v="A4"/>
    <s v="Farah Helmy"/>
    <m/>
    <s v="Done "/>
    <s v="Passed"/>
    <s v="Failed"/>
    <x v="0"/>
    <m/>
    <m/>
    <m/>
    <m/>
    <s v="The candidate's German language proficiency is below the required standard for the Audi EHD position. He acquired his German language skills through self-study, which has resulted in a very strong dialect and made communication difficult at times. Throughout the interview, his German contained numerous grammatical errors, articulation issues, and vocabulary limitations that significantly impacted his ability to communicate effectively._x000a__x000a_In addition, his English communication skills were also below the expected level, with frequent language and sentence-structure mistakes._x000a__x000a_The candidate holds a degree in Mechanical Engineering and demonstrated a general understanding of helpdesk-related work and support processes. However, despite his awareness of the helpdesk environment, he does not meet the language proficiency requirements necessary for this role._x000a__x000a_Based on the interview assessment, the candidate is not a suitable fit for the Audi EHD position, primarily due to his German language level, which falls significantly short of the standard required to effectively support clients and perform the responsibilities of the role."/>
    <m/>
  </r>
  <r>
    <s v="Saleh Essam Saleh"/>
    <s v="saleh.essam878@gmail.com"/>
    <x v="8"/>
    <s v="AUDI"/>
    <s v="SD Analyst German  "/>
    <s v="A4"/>
    <s v="Farah Helmy"/>
    <m/>
    <s v="Done "/>
    <s v="Passed"/>
    <s v="Passed "/>
    <x v="2"/>
    <m/>
    <m/>
    <m/>
    <m/>
    <s v="The candidate meets the required language proficiency level and has nearly two years of relevant experience. His English communication skills are at an intermediate level, and he also possesses a basic technical background that aligns with the role requirements._x000a__x000a_Overall, the candidate demonstrated the necessary skills and potential to succeed in the position. Based on the interview assessment, we recommend proceeding with his application and moving forward to the next stage of the hiring process."/>
    <d v="2026-09-15T00:00:00"/>
  </r>
  <r>
    <s v="Hesham Ali Mostafa "/>
    <s v="mustafa_hesham@hotmail.com"/>
    <x v="8"/>
    <s v="AUDI"/>
    <s v="Knowledge Gatherer"/>
    <s v="B1"/>
    <s v="Haisam Alhassan"/>
    <m/>
    <s v="Done "/>
    <s v="Passed"/>
    <s v="Passed "/>
    <x v="2"/>
    <m/>
    <m/>
    <m/>
    <m/>
    <s v="Hesham performed very well during the interview and demonstrated strong communication and technical skills. He lived in Austria for nine years, which has contributed significantly to his German language proficiency and cultural understanding._x000a__x000a_He brings valuable experience from his previous roles, having worked at Vodafone Germany Help Desk as well as ATOS, where he gained solid expertise in customer support, service desk operations, and client handling._x000a__x000a_Throughout the interview, Hesham showed a strong understanding of support processes, troubleshooting, and knowledge management practices. His background and experience make him a strong candidate who can add value to the team, particularly in a Knowledge Gatherer role, where his technical expertise and ability to document and transfer knowledge will be highly beneficial._x000a__x000a_Based on the interview assessment, we recommend proceeding with Hesham, as he appears to be a strong fit for the position and would be a valuable addition to the team."/>
    <m/>
  </r>
  <r>
    <s v="Hager Talat Ibrahim"/>
    <s v="hager.t.ibrahim@gmail.com"/>
    <x v="9"/>
    <s v="AUDI"/>
    <s v="SD Analyst German  "/>
    <s v="A4"/>
    <s v="Haisam Alhassan"/>
    <m/>
    <s v="Done "/>
    <s v="Passed"/>
    <s v="Passed "/>
    <x v="2"/>
    <m/>
    <m/>
    <m/>
    <m/>
    <s v="Haer Talaat performed very well during the interview. She demonstrated strong communication skills in both German and English, which would be a valuable asset for the Service Desk Analyst role._x000a__x000a_She brings diverse experience across both technical support and customer care environments, having previously worked with Concentrix Microsoft and various other lines of business. Her background includes significant exposure to Microsoft 365 Concierge support, which aligns well with the requirements of our team._x000a__x000a_From a technical perspective, she has studied both CCNA and MCSA, providing her with a solid foundation in networking and Microsoft technologies. In addition, she completed a one-year technical diploma, which further strengthened her technical knowledge and problem-solving capabilities._x000a__x000a_Haer is also familiar with Jira and has hands-on experience using the tool in previous roles, demonstrating her ability to work effectively within ticketing and incident management environments._x000a__x000a_Overall, her combination of multilingual capabilities, technical knowledge, customer support experience, and familiarity with Service Desk tools makes her a strong fit for the SD Analyst position. Based on the interview, I believe she would be able to contribute effectively to the team and recommend moving forward with her candidacy."/>
    <d v="2026-09-15T00:00:00"/>
  </r>
  <r>
    <s v="Mohamed Safwat "/>
    <s v="linuxawy9@gmail.com"/>
    <x v="9"/>
    <s v="AUDI"/>
    <s v="Snr SD Analyst German "/>
    <s v="A5"/>
    <s v="Farah Helmy"/>
    <m/>
    <s v="Done "/>
    <s v="Passed"/>
    <s v="Passed "/>
    <x v="2"/>
    <m/>
    <m/>
    <m/>
    <m/>
    <s v="Mohamed Safwa demonstrated strong performance during the interview and successfully met the requirements for the Senior Service Desk Analyst position._x000a__x000a_He possesses excellent communication skills in both German and English, enabling him to effectively support a diverse customer base and collaborate with global stakeholders._x000a__x000a_Mohamed brings nearly 6 years of experience supporting Microsoft technologies in a technical environment, where he has developed strong troubleshooting, analytical, and scoping skills. Throughout his career, he has worked with a wide range of technologies, including Windows, macOS, and Microsoft Surface devices, giving him a well-rounded technical background and the ability to handle complex support scenarios._x000a__x000a_In addition, he has approximately 8 years of experience within the BPO industry, which has strengthened his customer service, communication, and problem-solving capabilities. Prior to his BPO experience, he also worked in the tourism industry, further demonstrating his adaptability, customer-focused mindset, and interpersonal skills._x000a__x000a_Mohamed showed solid technical knowledge, confidence in troubleshooting methodologies, and a strong understanding of support operations. His stable employment history, technical expertise, and extensive customer-facing experience make him a strong asset for the team._x000a__x000a_Overall Assessment: Mohamed is a strong candidate who fully matches the required profile and demonstrates the skills and experience expected from a Senior Service Desk Analyst."/>
    <m/>
  </r>
  <r>
    <s v="Omar Abdulbaset,"/>
    <s v="omar.abdulbaset.abdulmonem@gmail.com"/>
    <x v="10"/>
    <s v="AUDI"/>
    <s v="SD Team Leader "/>
    <s v="B2"/>
    <s v="Haisam Alhassan"/>
    <m/>
    <s v="Done "/>
    <s v="Passed"/>
    <s v="Failed"/>
    <x v="0"/>
    <m/>
    <m/>
    <m/>
    <m/>
    <s v="The candidate demonstrates a fair technical background and possesses the required years of experience for the role. However, several concerns were identified during the interview that raise significant hiring risks._x000a__x000a_The candidate disclosed that he is currently engaged in another role that he intends to continue covering in parallel. This represents a clear conflict of interest and raises concerns regarding availability, commitment, and compliance with company policies._x000a__x000a_Additionally, the candidate mentioned that he had previously been terminated from his former employer due to a high number of Zero Touch Provisioning (ZTP) incidents. This raises concerns regarding performance and operational effectiveness in a similar environment._x000a__x000a_During the discussion, the candidate stated that he could have concealed his ongoing freelance engagement with another company but chose to disclose it. He also indicated that he has an existing Intune team supporting his activities. While transparency is appreciated, these points further reinforce concerns about competing commitments and potential conflicts._x000a__x000a_From a communication perspective, the candidate assessed his English proficiency as being between C1 and C2 levels. However, several basic language and grammar mistakes were observed throughout the interview, suggesting that his actual proficiency may be below the stated level. This discrepancy was highlighted and discussed during the interview._x000a__x000a_Based on the concerns related to conflict of interest, previous employment history, commitment, and language proficiency, I do not recommend proceeding with the candidate for this position."/>
    <m/>
  </r>
  <r>
    <s v="Mohamed Shaaban  Mosa "/>
    <s v="mohamed.mido3371@gmail.com"/>
    <x v="10"/>
    <s v="AUDI"/>
    <s v="SD Team Leader "/>
    <s v="B2"/>
    <s v="Haisam Alhassan"/>
    <m/>
    <s v="Done "/>
    <s v="Passed"/>
    <s v="Passed "/>
    <x v="2"/>
    <m/>
    <m/>
    <m/>
    <m/>
    <s v="The candidate appears to be a strong fit for the position based on his extensive professional experience and leadership background. He has accumulated many years of relevant experience, including serving in both Team Lead (TL) and Operations Manager (OM) roles, which demonstrates his ability to manage teams, drive operational excellence, and handle responsibilities at different organizational levels._x000a__x000a_Additionally, the candidate spent approximately nine years working at Microsoft, which provided him with significant exposure to enterprise environments, industry best practices, and customer-focused operations. This experience is highly relevant to the requirements of the role._x000a__x000a_The candidate has also invested in his professional development by pursuing both PMP studies and an MBA, reflecting a strong commitment to enhancing his management, leadership, and project delivery capabilities._x000a__x000a_During the interview, we aligned expectations regarding the role, responsibilities, and performance requirements. The candidate demonstrated a clear understanding of these expectations and expressed readiness to take on the position. He also confirmed his availability and willingness to join._x000a__x000a_Based on his technical expertise, leadership experience, Microsoft background, and professional qualifications, I believe the candidate is well-suited for the position and recommend moving forward with the hiring process."/>
    <m/>
  </r>
  <r>
    <s v="Ibrahim Mohamed Elsakka"/>
    <s v="ibrahim.elsakka.1998@gmail.com"/>
    <x v="10"/>
    <s v="AUDI"/>
    <s v="SD Analyst German  "/>
    <s v="A4"/>
    <s v="Farah Helmy"/>
    <m/>
    <s v="Done "/>
    <s v="Failed "/>
    <s v="Failed"/>
    <x v="0"/>
    <m/>
    <m/>
    <m/>
    <m/>
    <s v="The candidate is not a suitable fit for the position and did not demonstrate the required potential for future consideration. Performance was below expectations across all assessed levels. The candidate was unable to meet the required German and English language proficiency standards and also lacked the necessary technical background. Overall, the candidate did not pass the language competency assessments and did not demonstrate the qualifications needed for the role."/>
    <m/>
  </r>
  <r>
    <s v="Noura Samy "/>
    <s v="nouraamer455@gmail.com"/>
    <x v="10"/>
    <s v="AUDI"/>
    <s v="Knowledge Editor "/>
    <s v="A5"/>
    <s v="Haisam Alhassan"/>
    <m/>
    <s v="Done "/>
    <s v="Passed"/>
    <s v="Passed "/>
    <x v="2"/>
    <m/>
    <m/>
    <m/>
    <m/>
    <s v="The candidate is a strong fit for the position, supported by previous experience at Microsoft working with Xbox and Windows Server technologies. They demonstrated strong attention to detail, a proactive mindset, and effective communication skills throughout the interview process. The candidate exhibited a good command of both German and English and was able to articulate their experience clearly. Overall, their technical background, relevant industry experience, and professional competencies make them a suitable candidate for the role"/>
    <m/>
  </r>
  <r>
    <s v="Samar Akif "/>
    <s v="samarakif@gmail.com"/>
    <x v="10"/>
    <s v="AUDI"/>
    <s v="Snr SD Analyst German "/>
    <s v="A5"/>
    <s v="Farah Helmy"/>
    <m/>
    <s v="Done "/>
    <s v="Passed"/>
    <s v="Passed "/>
    <x v="2"/>
    <m/>
    <m/>
    <m/>
    <m/>
    <s v="Samar performed exceptionally well during the interview. She demonstrated strong German language proficiency and showed solid technical knowledge throughout the assessment. Based on her overall performance, she is an excellent fit for the role._x000a__x000a_Her professional background includes experience at TP, where she progressed into an SME role, followed by a year at Apple Care and subsequent experience with Western Union. Most recently, she spent four years supporting Xbox, further strengthening her technical expertise and customer support capabilities._x000a__x000a_Samar displayed strong communication skills, confidence, and a good understanding of technical concepts. Her diverse experience across multiple organizations, combined with her language proficiency and technical background, makes her a strong candidate for this technical role."/>
    <m/>
  </r>
  <r>
    <s v="Anan Aziz "/>
    <m/>
    <x v="10"/>
    <s v="AUDI"/>
    <s v="Quality Analyst German"/>
    <s v="A5"/>
    <s v="Farah Helmy"/>
    <m/>
    <s v="Done "/>
    <m/>
    <m/>
    <x v="4"/>
    <m/>
    <m/>
    <m/>
    <m/>
    <s v="recommended for any other Projects as a quality evaluator "/>
    <m/>
  </r>
  <r>
    <s v="Ghada Ragab"/>
    <s v="ghadamohamed11799@gmail.com"/>
    <x v="11"/>
    <s v="AUDI"/>
    <s v="SD Analyst German  "/>
    <s v="A4"/>
    <s v="Farah Helmy"/>
    <m/>
    <s v="Done "/>
    <s v="Failed "/>
    <s v="Failed"/>
    <x v="0"/>
    <m/>
    <m/>
    <m/>
    <m/>
    <s v="The candidate demonstrated a weak command of both languages and is still an undergraduate student. Despite mentioning previous experience with TaskUs and Concentrix, she struggled to answer several basic questions related to the role. Throughout the interview, she frequently mixed both languages, which negatively impacted communication. Her fluency was below the expected level, and her responses contained numerous grammatical and sentence structure errors."/>
    <m/>
  </r>
  <r>
    <s v="abdelrahman Helmy "/>
    <s v="abdelrahman.helmy2023@gmail.com"/>
    <x v="11"/>
    <s v="AUDI"/>
    <s v="Snr SD Analyst German "/>
    <s v="A5"/>
    <s v="Farah Helmy"/>
    <m/>
    <s v="Done "/>
    <s v="Passed"/>
    <s v="Passed "/>
    <x v="2"/>
    <m/>
    <m/>
    <m/>
    <m/>
    <s v="Abdelrahman Helmy is a strong fit for the Senior Service Desk Analyst position. Based on his previous experience supporting Microsoft 365, Windows Server environments, and his two years of experience at ATOS, he has demonstrated the technical knowledge required for the role. He possesses solid expertise in Windows, Linux, and other operating systems, along with strong troubleshooting skills._x000a__x000a_His background, technical capabilities, and hands-on experience make him well-suited for the Service Desk Analyst role, and I believe he would be a valuable addition to the team."/>
    <m/>
  </r>
  <r>
    <s v="Mustafa Gamal Gamal"/>
    <s v="mustafaabdellatief845@gmail.com"/>
    <x v="11"/>
    <s v="AUDI"/>
    <s v="SD Analyst German  "/>
    <s v="A4"/>
    <s v="Farah Helmy"/>
    <m/>
    <s v="Done "/>
    <s v="Failed "/>
    <s v="Failed"/>
    <x v="0"/>
    <m/>
    <m/>
    <m/>
    <m/>
    <s v="Mustafa Gamal demonstrated weak proficiency in both German and English. He has no prior experience in the technical field, which was evident during the interview. He made numerous grammatical mistakes in both languages and faced challenges with comprehension and understanding of several questions. His communication skills did not meet the expected standard for the role, as he struggled to express his thoughts clearly and accurately._x000a__x000a_Overall, the candidate's language proficiency, comprehension skills, and lack of relevant technical experience make him unsuitable for the position at this time"/>
    <m/>
  </r>
  <r>
    <s v="Nada Nasser Ahmed "/>
    <s v="nadaelbadry046@gmail.com"/>
    <x v="11"/>
    <s v="AUDI"/>
    <s v="SD Analyst German  "/>
    <s v="A4"/>
    <s v="Farah Helmy"/>
    <m/>
    <s v="Done "/>
    <s v="Failed "/>
    <s v="Failed"/>
    <x v="0"/>
    <m/>
    <m/>
    <m/>
    <m/>
    <s v="Nada Ahmed is a  Turkish speaker who studied German through self-learning and later attended DKW Academy. During the interview, her German proficiency appeared to be around the basic B1 level. She experienced noticeable comprehension, fluency, and understanding challenges, which affected her ability to communicate effectively in German._x000a__x000a_The candidate was more comfortable expressing herself in English than in German; however, she still faced some communication difficulties. Additionally, she demonstrated limited understanding of technical concepts and was unable to provide answers that reflected a basic level of technical knowledge required for the role._x000a__x000a_Overall, her current German language proficiency, communication challenges, and lack of technical background make her unsuitable for the position at this time."/>
    <m/>
  </r>
  <r>
    <s v="Habiba Zanaty "/>
    <s v="habibatarekzanaty@gmail.com"/>
    <x v="11"/>
    <s v="AUDI"/>
    <s v="SD Analyst German  "/>
    <s v="A4"/>
    <s v="Farah Helmy"/>
    <m/>
    <s v="Done "/>
    <s v="Passed"/>
    <s v="Passed "/>
    <x v="2"/>
    <m/>
    <m/>
    <m/>
    <m/>
    <s v="Habiba demonstrated a strong command of both German and English, along with extensive technical experience gained during her tenure at ATOS. She served as a Subject Matter Expert (SME), which reflects her strong technical knowledge and problem-solving capabilities. Throughout the interview, she communicated effectively, answered questions confidently, and showcased relevant expertise. Based on her language proficiency, technical background, and SME experience, she is a strong fit for the Service Desk Analyst position."/>
    <s v="2 months"/>
  </r>
  <r>
    <s v="Mohamed Salaheldine Hosny "/>
    <s v="ms252572@gmail.com"/>
    <x v="11"/>
    <s v="AUDI"/>
    <s v="SD Analyst German  "/>
    <s v="A4"/>
    <s v="Farah Helmy"/>
    <m/>
    <s v="Done "/>
    <s v="Failed "/>
    <s v="Failed"/>
    <x v="0"/>
    <m/>
    <m/>
    <m/>
    <m/>
    <s v="Mohamed demonstrated strong English communication skills and solid technical knowledge throughout the interview. However, his German proficiency was significantly below the level required for the position. He mentioned that he learned German primarily through YouTube channels and by practicing with German speakers, which may explain the gaps in his language skills. Additionally, most of his customer service experience has been in English rather than German, resulting in stronger English communication abilities. Based on the interview, his German language skills are currently around the B1 level and would require further development to meet the role's expectations."/>
    <m/>
  </r>
  <r>
    <s v="Ismail Mohamed Ahmed "/>
    <s v="ismailmo7amed97@gmail.com"/>
    <x v="11"/>
    <s v="AUDI"/>
    <s v="SD Analyst German  "/>
    <s v="A4"/>
    <s v="Farah Helmy"/>
    <m/>
    <s v="Done "/>
    <s v="Failed "/>
    <s v="Failed"/>
    <x v="0"/>
    <m/>
    <m/>
    <m/>
    <m/>
    <s v="Ismail's English proficiency was below the basic required level, and his German skills were also below the B2 standard. He does not have prior experience in the technical field, with his previous experience primarily being in customer service at Amazon. During the interview, he was generally able to understand the questions being asked; however, he made numerous grammatical mistakes in both communication and responses. Despite these challenges, he demonstrated the potential to improve his language skills, particularly in German, through additional study and practice."/>
    <m/>
  </r>
  <r>
    <s v="Berta Email"/>
    <s v="berta.emil6@gmail.com"/>
    <x v="11"/>
    <s v="AUDI"/>
    <s v="SD Analyst German  "/>
    <s v="A4"/>
    <s v="Farah Helmy"/>
    <m/>
    <s v="Done "/>
    <s v="Passed"/>
    <s v="Passed "/>
    <x v="2"/>
    <m/>
    <m/>
    <m/>
    <m/>
    <s v="Berta demonstrated strong proficiency in both German and English, communicating clearly and effectively in both languages. She has a solid technical background, having completed technical studies, which enabled her to understand and apply technical concepts with ease._x000a__x000a_She also showed a strong willingness to learn, a positive attitude, and high motivation for professional development. In addition, Berta has previous customer service experience, having spent one year working on the Vodafone CallYa project, where she handled German-speaking customers over the phone. This experience helped her develop excellent communication, customer handling, and problem-solving skills. Furthermore, she has experience teaching German, which reflects her strong language capabilities and ability to explain complex concepts clearly to others."/>
    <d v="2026-09-15T00:00:00"/>
  </r>
  <r>
    <s v="Shahd Mohamed Ashour "/>
    <s v="shahdmuhammad31@gmail.com"/>
    <x v="11"/>
    <s v="AUDI"/>
    <s v="SD Analyst German  "/>
    <s v="A4"/>
    <s v="Farah Helmy"/>
    <m/>
    <s v="Done "/>
    <s v="Failed "/>
    <s v="Passed "/>
    <x v="2"/>
    <m/>
    <m/>
    <m/>
    <m/>
    <s v="Shahd did not pass the technical assessment. However, she shows strong potential, as she possesses the basic foundation required for the role. She has good proficiency in both German and English, is very young, and demonstrates a strong eagerness to learn and develop her skills."/>
    <m/>
  </r>
  <r>
    <s v="Omar Mohamed "/>
    <m/>
    <x v="11"/>
    <s v="AUDI"/>
    <s v="SD Analyst German  "/>
    <s v="A4"/>
    <s v="Haisam Alhassan"/>
    <m/>
    <s v="Done "/>
    <s v="Failed "/>
    <s v="Failed"/>
    <x v="0"/>
    <m/>
    <m/>
    <m/>
    <m/>
    <s v="The candidate demonstrated a very weak command of both German and English. He is also known to me from a previous role, where he worked as an agent on my team. Due to language proficiency gaps and attitude-related concerns, he was transferred to a different role. Based on both his previous performance and the interview assessment, I do not consider him a suitable fit for this position."/>
    <m/>
  </r>
  <r>
    <s v="Arwa Khaled Mahmoud - Offer Voided "/>
    <s v="arwaali3121@gmail.com"/>
    <x v="12"/>
    <s v="AUDI"/>
    <s v="SD Analyst German  "/>
    <s v="A4"/>
    <s v="Farah Helmy"/>
    <m/>
    <s v="Done "/>
    <s v="Passed"/>
    <s v="Passed "/>
    <x v="2"/>
    <m/>
    <m/>
    <m/>
    <m/>
    <s v="Arwa performed very well in both the German and English parts of the interview. She demonstrated strong communication skills in both languages and showed a good technical mindset throughout the discussion._x000a__x000a_While she was not able to answer all of the technical questions, she displayed a solid understanding of technical concepts and a logical approach to problem-solving. Arwa is a native-level German speaker who studied languages at Ain Shams University and has several years of professional experience with Concentrix, where she further developed her language and customer support skills._x000a__x000a_Overall, her language proficiency, customer service background, and technical aptitude make her a good fit for the Service Desk Analyst (SD Analyst) role."/>
    <m/>
  </r>
  <r>
    <s v="Mohamed Bahr"/>
    <m/>
    <x v="12"/>
    <s v="AUDI"/>
    <s v="SD Analyst German  "/>
    <s v="A4"/>
    <s v="Farah Helmy"/>
    <m/>
    <s v="Done "/>
    <s v="Failed "/>
    <s v="Failed"/>
    <x v="0"/>
    <m/>
    <m/>
    <m/>
    <m/>
    <s v="Mohamed demonstrated a low level of proficiency in both German and English throughout the interview, with frequent grammatical errors that affected his overall communication effectiveness._x000a__x000a_He stated that he learned German through self-study and has reached a B2 level; however, he does not hold any language certification to validate his proficiency. His only relevant professional experience is his role supporting the N26 line of business at Concentrix._x000a__x000a_Academically, Mohamed holds a degree in Mechanical Engineering. However, he was unable to demonstrate any significant technical knowledge or experience relevant to the Service Desk Analyst role. His responses to technical questions indicated a lack of exposure to IT support concepts and troubleshooting practices._x000a__x000a_Overall, Mohamed's current language proficiency and limited technical background do not align with the requirements of the Service Desk Analyst (SD Analyst) position."/>
    <m/>
  </r>
  <r>
    <s v="Hossam Abdel Monem"/>
    <s v="hossamzidane18@gmail.com"/>
    <x v="12"/>
    <s v="AUDI"/>
    <s v="SD Analyst German  "/>
    <s v="A4"/>
    <s v="Farah Helmy"/>
    <m/>
    <s v="Done "/>
    <s v="Passed"/>
    <s v="Passed"/>
    <x v="5"/>
    <m/>
    <m/>
    <m/>
    <m/>
    <s v="Hossam learned German through self-study and reported reaching a B2 level. However, during the assessment, he demonstrated significant challenges in spoken German, particularly in pronunciation and fluency. These issues impacted the overall clarity and effectiveness of his communication._x000a__x000a_Based on the German reassessment, his language skills currently do not meet the expected level for a customer-facing technical support role. He frequently struggled to express his thoughts smoothly and accurately, which could affect interactions with German-speaking customers._x000a__x000a_From a technical perspective, Hossam did not demonstrate the level of technical knowledge or readiness expected for a Service Desk Analyst position. His responses did not indicate sufficient technical exposure or troubleshooting capability for the role._x000a__x000a_As only his German skills were reassessed, I am unable to provide a definitive evaluation of his English proficiency at this stage."/>
    <m/>
  </r>
  <r>
    <s v="Aya Mahmoud Mohamed "/>
    <s v="ayamajd147@gmail.com"/>
    <x v="12"/>
    <s v="AUDI"/>
    <s v="SD Analyst German  "/>
    <s v="A4"/>
    <s v="Farah Helmy"/>
    <m/>
    <s v="Done "/>
    <s v="Passed"/>
    <s v="Passed "/>
    <x v="2"/>
    <m/>
    <m/>
    <m/>
    <m/>
    <s v="Aya demonstrated strong English communication skills, solid technical knowledge, and good experience in the Help Desk (HD) field. However, her German communication skills were not at the required level during the interview. She appeared quite nervous, which affected her performance, and she made several grammatical mistakes while speaking German._x000a__x000a_Considering her overall experience and technical background, she could be a good fit for roles such as Knowledge Editor, Coordinator, or even Senior Service Desk (SD) Analyst. However, I would not recommend her for a Quality role at this stage, as the position requires a high level of confidence and direct client interaction, particularly in German."/>
    <m/>
  </r>
  <r>
    <s v="Marawan Ali Sadek "/>
    <s v="marwanali1902@gmail.com"/>
    <x v="12"/>
    <s v="AUDI"/>
    <s v="SD Analyst German  "/>
    <s v="A4"/>
    <s v="Farah Helmy"/>
    <m/>
    <s v="Done "/>
    <s v="Passed"/>
    <s v="Passed"/>
    <x v="5"/>
    <m/>
    <m/>
    <m/>
    <m/>
    <s v="Marawan is currently below the required B2 German proficiency level and has significant challenges with the language. Throughout the interview, he struggled to express his thoughts clearly and effectively in German._x000a__x000a_In addition, he faced comprehension difficulties, which impacted his ability to understand and respond to several interview questions. As a result, he was unable to provide adequate answers, not due to a lack of effort, but primarily because of language understanding and communication limitations._x000a__x000a_Overall, Marawan's current German language skills do not meet the level required for the role, and his communication challenges would likely impact his ability to perform effectively in a customer-facing Service Desk environment."/>
    <m/>
  </r>
  <r>
    <s v="Mohamed Khaled Makram"/>
    <s v="mokhaled9209@gmail.com"/>
    <x v="12"/>
    <s v="AUDI"/>
    <s v="SD Analyst German  "/>
    <s v="A4"/>
    <s v="Farah Helmy"/>
    <m/>
    <s v="Done "/>
    <s v="Passed"/>
    <s v="Passed"/>
    <x v="5"/>
    <m/>
    <m/>
    <m/>
    <m/>
    <s v="Mohamed's German proficiency appears to be at approximately a B1 level and does not meet the level required for the role. While he has a clear accent and is generally understandable, he faces significant challenges with sentence structure, fluency, and overall language accuracy. During the interview, he also demonstrated comprehension issues, particularly when dealing with more complex questions and scenarios._x000a__x000a_From a technical perspective, Mohamed was unable to demonstrate relevant technical knowledge or experience. His responses indicated a lack of exposure to IT support concepts, troubleshooting methodologies, and the technical fundamentals expected for the Service Desk Analyst position."/>
    <m/>
  </r>
  <r>
    <s v="Hanin Bakhit Ahmed "/>
    <s v="haninyoom@gmail.com"/>
    <x v="13"/>
    <s v="AUDI"/>
    <s v="SD Analyst German  "/>
    <s v="A4"/>
    <s v="Farah Helmy"/>
    <m/>
    <s v="Done "/>
    <s v="Passed"/>
    <s v="Passed "/>
    <x v="2"/>
    <m/>
    <m/>
    <m/>
    <m/>
    <s v="Hanin demonstrated good communication skills in both German and English. While she does not yet have deep technical experience, she showed a strong willingness to learn and a positive attitude toward developing her technical capabilities. She has a solid foundation in technology and appears motivated to ramp up her knowledge quickly. Overall, she seems ready to start and has good potential for growth in the role."/>
    <m/>
  </r>
  <r>
    <s v="Alaa Ahmed Madkour "/>
    <s v="aalaa.amadkour@gmail.com "/>
    <x v="13"/>
    <s v="AUDI"/>
    <s v="Quality Analyst German"/>
    <s v="A5"/>
    <s v="Farah Helmy"/>
    <m/>
    <s v="Done "/>
    <s v="Passed"/>
    <s v="Passed "/>
    <x v="2"/>
    <m/>
    <m/>
    <m/>
    <m/>
    <s v="Aalaa demonstrated a very strong level of German proficiency, having studied up to the C1 level. Her English skills are fair and sufficient for professional communication. She brings extensive technical experience, with nearly six years in the field, and has also taken on an SME (Subject Matter Expert) role at Atos._x000a__x000a_Throughout the interview, she showed strong awareness of both technical and quality-related processes and demonstrated a broad understanding of service operations. Based on her experience, technical expertise, and language skills, I believe she is a strong candidate and a good fit for the position."/>
    <m/>
  </r>
  <r>
    <s v="Eman Mahmoud"/>
    <s v="emanm2192@gmail.com"/>
    <x v="13"/>
    <s v="AUDI"/>
    <s v="Quality Analyst German"/>
    <s v="A5"/>
    <s v="Farah Helmy"/>
    <m/>
    <s v="Done "/>
    <s v="Passed"/>
    <s v="Passed "/>
    <x v="2"/>
    <m/>
    <m/>
    <m/>
    <m/>
    <s v="Eman demonstrated exceptional performance across all assessed areas. She has excellent language proficiency, with German at a C2 level and English at a C1 level. In addition, she possesses a strong technical background and extensive professional experience, making her a highly suitable candidate for a Quality position._x000a__x000a_Her experience includes working with well-known organizations such as Vodafone, Concentrix, and Microsoft. She has also gained valuable expertise in gaming support, escalation management, repair specialist functions, and quality-related roles. Based on her communication skills, technical knowledge, and relevant experience, I believe she is an excellent fit for the position and would bring significant value to the team."/>
    <m/>
  </r>
  <r>
    <s v="Ahmed Zidan"/>
    <s v="zoz410414@gmail.com"/>
    <x v="13"/>
    <s v="AUDI"/>
    <s v="Snr SD Analyst German "/>
    <s v="A5"/>
    <s v="Farah Helmy"/>
    <m/>
    <s v="Done "/>
    <s v="Passed"/>
    <s v="Passed "/>
    <x v="2"/>
    <m/>
    <m/>
    <m/>
    <m/>
    <s v="Ahmed Zidan demonstrated strong proficiency in German and English, along with solid technical knowledge. He has relevant experience and performed well throughout the assessment. Based on his skills, experience, and overall profile, I believe he would be a strong fit for the Service Desk (SD) Analyst role. However, his experience level does not currently align with a Senior Analyst position."/>
    <m/>
  </r>
  <r>
    <s v="Shrouk Elsheikh"/>
    <s v="shroukelsheikh46@gmail.com"/>
    <x v="13"/>
    <s v="AUDI"/>
    <s v="SD Analyst German  "/>
    <s v="A4"/>
    <m/>
    <m/>
    <s v="Done "/>
    <s v="Failed "/>
    <s v="Failed"/>
    <x v="0"/>
    <m/>
    <m/>
    <m/>
    <m/>
    <s v="Shrouk experienced difficulties communicating in both German and English, with frequent grammatical errors affecting clarity and fluency. She does not have a technical background, and during the scenario-based assessment, she struggled to deliver a difficult message effectively. Her vocabulary and range of expressions were limited, which impacted her ability to communicate confidently and comprehensively. Based on the interview, her language proficiency appears to be at a basic B2.1 level, and she would benefit from further development in both communication and technical skills."/>
    <m/>
  </r>
  <r>
    <s v="Mohamed ElMetwally Mohamed "/>
    <s v="muhammed_elmetwally@outlook.com"/>
    <x v="14"/>
    <s v="AUDI"/>
    <s v="Incident Coordinator-English"/>
    <s v="A5"/>
    <s v="Farah Helmy"/>
    <m/>
    <s v="Done "/>
    <s v="Passed"/>
    <s v="Passed "/>
    <x v="2"/>
    <m/>
    <m/>
    <m/>
    <m/>
    <s v="The candidate demonstrated very good English communication skills and strong technical knowledge. He has also studied ITIL and was able to answer the majority of the incident coordination-related questions effectively. In addition, he has more than one year of relevant experience in the same role, which was evident in his responses and overall understanding of incident management processes."/>
    <m/>
  </r>
  <r>
    <s v="Ehab Mohsen ElMalt "/>
    <s v="ehab.mohsen.em@gmail.com"/>
    <x v="14"/>
    <s v="AUDI"/>
    <s v="Incident Coordinator-English"/>
    <s v="A5"/>
    <s v="Farah Helmy"/>
    <m/>
    <s v="Done "/>
    <s v="Passed"/>
    <s v="Passed "/>
    <x v="2"/>
    <m/>
    <m/>
    <m/>
    <m/>
    <s v="Candidate Ehab Mohsen  is good for English Coordinator only as his German was not enough for technical teamleader so can we please offer him the Coordinator position "/>
    <m/>
  </r>
  <r>
    <s v="Nada Noemen - declined Offer "/>
    <s v="nadanoeman32@gmail.com"/>
    <x v="14"/>
    <s v="AUDI"/>
    <s v="SD Analyst German  "/>
    <s v="A4"/>
    <s v="Farah Helmy"/>
    <m/>
    <s v="Done "/>
    <s v="Passed"/>
    <s v="Passed "/>
    <x v="2"/>
    <m/>
    <m/>
    <m/>
    <m/>
    <s v="Nada Noemen demonstrated excellent English communication skills. Her German proficiency is at a B2+ level, and she studied German at university, which has contributed to her strong language foundation. She has been handling Amazon customer support for nearly two years, giving her valuable experience in customer service and communication. Additionally, being married to a native German speaker has further enhanced her language skills and cultural understanding. She has a strong technical mindset, showed enthusiasm during the interview, and appears ready to take on a new challenge and grow in a more demanding role."/>
    <m/>
  </r>
  <r>
    <s v="Esraa Mahmoud Mohamed "/>
    <s v="hegazyesraa3@gmail.com"/>
    <x v="14"/>
    <s v="AUDI"/>
    <s v="Incident Coordinator-English"/>
    <s v="A5"/>
    <s v="Farah Helmy"/>
    <m/>
    <s v="Done "/>
    <s v="Passed"/>
    <s v="Failed"/>
    <x v="6"/>
    <m/>
    <m/>
    <m/>
    <m/>
    <s v="Esraa Mohamed has a solid technical background, with five years of experience supporting Microsoft Windows Server environments at Concentrix. Her technical knowledge and troubleshooting skills are strengths, and she has worked in a technical support role for an extended period._x000a__x000a_However, during the interview, she demonstrated limited knowledge of Incident Coordination processes and was not familiar with key ITSM concepts and frameworks. While her technical expertise is evident, she was unable to effectively answer several questions related to incident management and coordination responsibilities._x000a__x000a_From a communication perspective, her English proficiency did not meet the level expected for this position, particularly for a role that requires frequent stakeholder communication and coordination. In addition, feedback received from her former manager was not positive, which raises concerns regarding her overall suitability for the role."/>
    <m/>
  </r>
  <r>
    <s v="Fatma ElZahraa Osama "/>
    <s v="amayem.fatima@gmail.com"/>
    <x v="15"/>
    <s v="AUDI"/>
    <s v="Incident Coordinator-English"/>
    <s v="A5"/>
    <s v="Farah Helmy"/>
    <m/>
    <s v="Done "/>
    <s v="Failed "/>
    <s v="Failed"/>
    <x v="0"/>
    <m/>
    <m/>
    <m/>
    <m/>
    <s v="Orange 5 years incident , English is not enough -very nervous she was not able to focuss during the interview and lost her fluency "/>
    <m/>
  </r>
  <r>
    <s v="Mohamed Mohsen "/>
    <s v="mohamed2mohsen3@hotmail.com"/>
    <x v="15"/>
    <s v="AUDI"/>
    <s v="Incident Coordinator-English"/>
    <s v="A5"/>
    <s v="Farah Helmy"/>
    <m/>
    <s v="Done "/>
    <s v="Passed"/>
    <s v="Failed"/>
    <x v="6"/>
    <m/>
    <m/>
    <m/>
    <m/>
    <s v="Mohamed Mohsen demonstrates good technical troubleshooting and issue-scoping skills. He has experience supporting Directory Services in Microsoft Windows Server environments and appears to have a solid technical foundation in this area._x000a__x000a_However, he has limited exposure to Incident Management and was unable to demonstrate relevant experience or knowledge in this domain. Additionally, his English communication skills are below the level required for this role. His fluency is basic, and there were several instances where he struggled to understand the questions being asked, which affected the overall communication during the interview."/>
    <m/>
  </r>
  <r>
    <s v="Waad Essam"/>
    <s v="sayedwaad081@gmail.com"/>
    <x v="15"/>
    <s v="AUDI"/>
    <s v="SD Analyst German  "/>
    <s v="A4"/>
    <s v="Farah Helmy"/>
    <m/>
    <s v="Done "/>
    <s v="Failed "/>
    <s v="Failed"/>
    <x v="0"/>
    <m/>
    <m/>
    <m/>
    <m/>
    <s v="Waad Essam attended the interview after missing two previous interview appointments. During the interview, she demonstrated significant gaps in both language proficiency and technical knowledge. Based on the assessment, she does not currently meet the key requirements of the position and is not considered a suitable fit for the role."/>
    <m/>
  </r>
  <r>
    <s v="Salaheldin Yasser"/>
    <s v="salahyasser145@gmail.com"/>
    <x v="15"/>
    <s v="AUDI"/>
    <s v="SD Team Leader "/>
    <s v="B2"/>
    <s v="Farah Helmy"/>
    <m/>
    <s v="Done "/>
    <s v="Passed"/>
    <s v="Passed "/>
    <x v="2"/>
    <m/>
    <m/>
    <m/>
    <m/>
    <s v="Salah is a strong fit for the Team Leader position. He possesses extensive leadership experience and has worked as a Team Leader across several well-known organizations, including Concentrix, Airbnb, Konecta, and Enpal. His diverse background has enabled him to develop strong team management, coaching, and operational skills._x000a__x000a_He demonstrated strong communication skills in both German and English, which are essential for leading diverse teams and managing stakeholder interactions. In addition, he has a solid technical background that complements his leadership capabilities and allows him to effectively support his team in technical and operational matters."/>
    <m/>
  </r>
  <r>
    <s v="Bemwa Khalil"/>
    <s v="bemwa.bebo@gmail.com"/>
    <x v="15"/>
    <s v="AUDI"/>
    <s v="SD Analyst German  "/>
    <s v="A4"/>
    <s v="Farah Helmy"/>
    <m/>
    <s v="Done "/>
    <s v="Failed "/>
    <s v="Failed"/>
    <x v="0"/>
    <m/>
    <m/>
    <m/>
    <m/>
    <s v="Bemwa is not suitable from German prespective his german is way below the needed profile however he is good in tech and englosh is intermediate "/>
    <m/>
  </r>
  <r>
    <s v="Seif Masoud  -  Declined Offer "/>
    <s v="siefmassoud22@gmail.com"/>
    <x v="15"/>
    <s v="AUDI"/>
    <s v="SD Analyst German  "/>
    <s v="A4"/>
    <s v="Farah Helmy"/>
    <m/>
    <s v="Done "/>
    <s v="Passed"/>
    <s v="Passed "/>
    <x v="2"/>
    <m/>
    <m/>
    <m/>
    <m/>
    <s v="Seif has strong communication skills in both German and English. He also demonstrates solid technical potential and is an experienced Linux user. He brings around five years of experience across customer care and solar technology, having worked with both Amazon SDS and Enpal. His combination of language skills, technical aptitude, and industry experience makes him a strong candidate for technical and coordination-focused roles"/>
    <m/>
  </r>
  <r>
    <s v="Hagar Ahmed Abdelhamid"/>
    <s v="hagarahmed283156@gmail.com"/>
    <x v="16"/>
    <s v="AUDI"/>
    <s v="SD Analyst German  "/>
    <s v="A4"/>
    <s v="Farah Helmy"/>
    <m/>
    <s v="Done "/>
    <s v="Passed"/>
    <s v="Passed "/>
    <x v="2"/>
    <m/>
    <m/>
    <m/>
    <m/>
    <s v="Hager has a solid academic background in Germanistik and possesses additional C1-level German language skills. She also demonstrates good proficiency in English. While her technical experience is currently limited, she has a strong willingness to learn and shows great enthusiasm for acquiring new skills."/>
    <m/>
  </r>
  <r>
    <s v="Nouran Mohamed Nabil"/>
    <s v="nouranmnabil@gmail.com"/>
    <x v="16"/>
    <s v="AUDI"/>
    <s v="Incident Coordinator-English"/>
    <s v="A5"/>
    <s v="Farah Helmy"/>
    <m/>
    <s v="Done "/>
    <s v="Passed"/>
    <s v="Passed "/>
    <x v="2"/>
    <m/>
    <m/>
    <m/>
    <m/>
    <s v="Nouran is a very strong candidate. She has relevant experience as an Incident Coordinator at both Orange and Tech Mahindra. She communicates effectively in English and possesses a solid technical background, making her well-suited for the role."/>
    <m/>
  </r>
  <r>
    <s v="Hamza Yehia Makhlouf"/>
    <s v="hamzayehiamakhlouf@gmail.com"/>
    <x v="16"/>
    <s v="AUDI"/>
    <s v="SD Analyst German  "/>
    <s v="A4"/>
    <s v="Farah Helmy"/>
    <m/>
    <s v="Done "/>
    <s v="NCNS"/>
    <s v="NCNS"/>
    <x v="1"/>
    <m/>
    <m/>
    <m/>
    <m/>
    <s v="Candidate didn't show up "/>
    <m/>
  </r>
  <r>
    <s v="Ahmed Reda "/>
    <s v="ar096505@gmail.com"/>
    <x v="16"/>
    <s v="AUDI"/>
    <s v="SD Analyst German  "/>
    <s v="A4"/>
    <s v="Farah Helmy"/>
    <m/>
    <s v="Done "/>
    <s v="Failed "/>
    <s v="Failed"/>
    <x v="0"/>
    <m/>
    <m/>
    <m/>
    <m/>
    <s v="Ahmed Reda demonstrated significant challenges in both English and German communication skills during the assessment process. In addition, concerns were identified regarding professionalism and attitude based on previous employment history and interactions. Given the combination of language proficiency gaps and behavioral concerns, he is not considered a suitable fit for the role at this time. Therefore, we recommend not proceeding with his application.ahmed is not stable as he is moving from place to the other within short whiles his average working periods between 5 to 6 months ."/>
    <m/>
  </r>
  <r>
    <s v="Merna Ashraf "/>
    <s v="merna.a.rady@gmail.com"/>
    <x v="17"/>
    <s v="AUDI"/>
    <s v="SD Analyst German  "/>
    <s v="A4"/>
    <s v="Farah Helmy"/>
    <m/>
    <s v="Done "/>
    <s v="Passed"/>
    <s v="Passed "/>
    <x v="2"/>
    <m/>
    <m/>
    <m/>
    <m/>
    <s v="Merna was very good during the Interview , she is good in german also in english , she is having no technical background but she is ready and eager to learn so she is potential fit for the SD analyst "/>
    <m/>
  </r>
  <r>
    <s v="Ahmed Fathy "/>
    <s v="ahah828282@gmail.com"/>
    <x v="17"/>
    <s v="AUDI"/>
    <s v="SD Analyst German  "/>
    <s v="A4"/>
    <s v="Farah Helmy"/>
    <m/>
    <s v="Done "/>
    <s v="Failed "/>
    <s v="Failed"/>
    <x v="0"/>
    <m/>
    <m/>
    <m/>
    <m/>
    <s v="Ahmed Fathy's German language skills were below the level required for the role. His spoken German contained numerous grammatical errors, and he struggled with fluency and sentence structure. He mentioned that he had not actively used German for approximately a year after being promoted to an acting Team Lead position, which may have contributed to the decline in his language proficiency._x000a__x000a_In addition, his English language skills were also weak and would require further development. Ahmed should focus on improving both his German and English communication skills._x000a__x000a_From a technical perspective, he demonstrated limited technical experience relevant to the position. Overall, his German proficiency did not align with the requirements of the role, despite his statement that his level is B2+."/>
    <m/>
  </r>
  <r>
    <s v="Doaa Abdelmonem"/>
    <s v="doaaabdelmonem808@gmail.com"/>
    <x v="17"/>
    <s v="AUDI"/>
    <s v="SD Analyst German  "/>
    <s v="A4"/>
    <s v="Farah Helmy"/>
    <m/>
    <s v="Done "/>
    <s v="rescheduled"/>
    <s v="rescheduled"/>
    <x v="3"/>
    <m/>
    <m/>
    <m/>
    <m/>
    <s v="Candidate didn't show up "/>
    <m/>
  </r>
  <r>
    <s v="Ziad Waleed Eid "/>
    <s v="zwaleed909@gmail.com"/>
    <x v="18"/>
    <s v="AUDI"/>
    <s v="Incident Coordinator-English"/>
    <s v="A5"/>
    <s v="Farah Helmy"/>
    <m/>
    <s v="Done "/>
    <s v="Passed"/>
    <s v="Passed "/>
    <x v="2"/>
    <m/>
    <m/>
    <m/>
    <m/>
    <s v="Ziad appears to be a good fit for the Incident Coordinator position. He has five years of experience at Orange as a Network Engineer and demonstrated solid technical knowledge during the interview. He also has a good command of the English language, along with basic German language skills, which could be an added advantage for the role."/>
    <m/>
  </r>
  <r>
    <s v="Doha Abdelbary "/>
    <s v="dohahamdy50@gmail.com"/>
    <x v="18"/>
    <s v="AUDI"/>
    <s v="SD Analyst German  "/>
    <s v="A4"/>
    <s v="Farah Helmy"/>
    <m/>
    <s v="Done "/>
    <s v="Passed"/>
    <s v="Passed "/>
    <x v="2"/>
    <m/>
    <m/>
    <m/>
    <m/>
    <s v="Doha demonstrated strong proficiency in both languages during the interview. She also brings valuable technical experience from her previous roles at Sonnen as a Solar Technician and at HP through Concentrix, giving her a solid technical background. Additionally, her language skills have been further strengthened through her studies at the University of Education (Pädagogische Universität). Overall, she presents a well-balanced profile with both technical expertise and strong communication skills, making her a suitable candidate for the role."/>
    <m/>
  </r>
  <r>
    <s v="Mostafa Mahmoud Amer"/>
    <s v="mostafa.mah.amer26@gmail.com"/>
    <x v="18"/>
    <s v="AUDI"/>
    <s v="SD Analyst German  "/>
    <s v="A4"/>
    <s v="Farah Helmy"/>
    <m/>
    <s v="Done "/>
    <s v="Passed"/>
    <s v="Passed "/>
    <x v="2"/>
    <m/>
    <m/>
    <m/>
    <m/>
    <s v="Mostafa demonstrated strong German language skills during the interview. However, his English proficiency was below the desired level and may require further development. He brings six years of technical experience from his work at Vodafone 1212, including DSL support, which has provided him with a solid technical foundation. Despite the language gap in English, he showed a positive attitude, strong motivation, and a willingness to learn and develop. Overall, he is a suitable candidate for the position, particularly given his technical background and eagerness to grow."/>
    <m/>
  </r>
  <r>
    <s v="Abdelrahman Atef"/>
    <s v="abdoatefgg@gmail.com"/>
    <x v="18"/>
    <s v="AUDI"/>
    <s v="SD Analyst German  "/>
    <s v="A4"/>
    <s v="Farah Helmy"/>
    <m/>
    <s v="Done "/>
    <s v="Failed "/>
    <s v="Failed"/>
    <x v="0"/>
    <m/>
    <m/>
    <m/>
    <m/>
    <s v="Abdelrahman Atef demonstrated weak communication skills in both German and English. While his technical background is fair and meets some of the technical expectations, he was unable to express his thoughts clearly and confidently in either language during the interview._x000a__x000a_Given the strong communication requirements of the SD position, his language proficiency is a significant concern. Based on the overall assessment, he is not considered a suitable fit for the SD position at this time."/>
    <m/>
  </r>
  <r>
    <s v="Maram Habib"/>
    <s v="Maramhabibb@gmail.com"/>
    <x v="18"/>
    <s v="AUDI"/>
    <s v="SD Analyst German  "/>
    <s v="A4"/>
    <s v="Farah Helmy"/>
    <m/>
    <s v="Done "/>
    <s v="Failed "/>
    <s v="Failed"/>
    <x v="0"/>
    <m/>
    <m/>
    <m/>
    <m/>
    <s v="Maram Habib demonstrated very weak proficiency in both German and English during the interview. Although she has approximately two and a half years of experience working with Atos, her language skills remain at a basic level._x000a__x000a_Throughout the discussion, she struggled to communicate effectively in both languages and made numerous grammatical errors, which impacted her ability to express her ideas clearly and confidently. Given the language requirements of the role, her current level of proficiency does not meet the expected standards._x000a__x000a_Based on the interview assessment, she is not considered a suitable fit for the position at this time."/>
    <m/>
  </r>
  <r>
    <s v="Ahmed Magdy "/>
    <s v="Ahmedmagdyelsayed10@gmail.com"/>
    <x v="19"/>
    <s v="Audi "/>
    <s v="SD Analyst German  "/>
    <s v="A4"/>
    <s v="Farah Helmy "/>
    <m/>
    <s v="Done "/>
    <s v="Passed"/>
    <s v="Passed "/>
    <x v="2"/>
    <m/>
    <m/>
    <m/>
    <m/>
    <s v="Ahmed is good in the German language with B2+ and 3 years experience in Care accounts such as Booking Concentrix , ePay and Amazon in Foundever , he was also good in english but his english is not sufficient , he has basic technical bakground and he studied the german academic so might fit for the position "/>
    <m/>
  </r>
  <r>
    <s v="Samia Ossama Ibrahim"/>
    <s v="samiaosama275@gmail.com"/>
    <x v="19"/>
    <s v="Audi "/>
    <s v="SD Analyst German  "/>
    <s v="A4"/>
    <s v="Farah Helmy "/>
    <m/>
    <s v="Done "/>
    <s v="Failed "/>
    <s v="Failed"/>
    <x v="0"/>
    <m/>
    <m/>
    <m/>
    <m/>
    <s v="The candidate's German and English language skills are below the required basic level. There are significant language gaps, along with multiple grammar and fluency issues. The candidate frequently mixes German and English during communication, which impacts clarity and comprehension. Additionally, the candidate has no previous call center experience and does not possess a technical background."/>
    <m/>
  </r>
  <r>
    <s v="Mahmoud Samy"/>
    <s v="mahmoudsamy531@gmail.com"/>
    <x v="19"/>
    <s v="Audi "/>
    <s v="SD Analyst German  "/>
    <s v="A4"/>
    <s v="Farah Helmy "/>
    <m/>
    <s v="Done "/>
    <s v="Failed "/>
    <s v="Failed"/>
    <x v="0"/>
    <m/>
    <m/>
    <m/>
    <m/>
    <s v="The candidate holds a B2 German language level but does not possess any formal language certification. He is a Civil Engineer who studied German as a second language. The candidate previously worked at Vodafone Ireland, which has contributed to a considerably stronger command of English compared to German._x000a__x000a_Despite holding a B2 level, the candidate's German proficiency is significantly below the standard required for the role. During the interview, he demonstrated numerous grammatical errors, vocabulary gaps, and frequent fluency issues. His spoken German was fragmented, and he struggled to express ideas clearly and consistently, resulting in communication breakdowns at several points throughout the conversation."/>
    <m/>
  </r>
  <r>
    <s v="Abdelrahman Mahmoud "/>
    <s v="selemanabdelrahman@gmail.com"/>
    <x v="19"/>
    <s v="Audi "/>
    <s v="SD Analyst German  "/>
    <s v="A4"/>
    <s v="Farah Helmy "/>
    <m/>
    <s v="Done "/>
    <s v="Failed "/>
    <s v="Failed"/>
    <x v="0"/>
    <m/>
    <m/>
    <m/>
    <m/>
    <s v="Abdelrahman Mahmoud graduated from the Faculty of Languages and Translation, where he studied English as his primary language and German as a second language. He does not hold any German language certifications._x000a__x000a_The candidate has a solid technical and customer service background gained through several years of experience in the call center industry. His overall professional experience and technical aptitude are strong and relevant._x000a__x000a_However, his German language proficiency does not meet the required level for the position. During the interview, his spoken German was fragmented and lacked the necessary fluency. He made several grammatical mistakes, demonstrated vocabulary limitations, and struggled to communicate ideas smoothly and confidently. While he was able to participate in the conversation, his German communication skills were noticeably below the standard needed for the role."/>
    <m/>
  </r>
  <r>
    <s v="Rawan Ehab Abdelazim"/>
    <s v="Rawanehab140@gmail.com"/>
    <x v="20"/>
    <s v="Audi "/>
    <s v="SD Analyst German  "/>
    <s v="A4"/>
    <s v="Farah Helmy "/>
    <m/>
    <s v="Done "/>
    <s v="Passed"/>
    <s v="Passed "/>
    <x v="2"/>
    <m/>
    <m/>
    <m/>
    <m/>
    <s v="Rawan Ehab was very good in both languages , she is eager to learn she is b2+ and she has wide experience in 2 companies out of which concentrix and she has a good technical background "/>
    <m/>
  </r>
  <r>
    <s v="Mohamed Saeed Saeed "/>
    <s v="samyphone1993@gmail.com"/>
    <x v="20"/>
    <s v="Audi "/>
    <s v="SD Analyst German  "/>
    <s v="A4"/>
    <s v="Farah Helmy "/>
    <m/>
    <s v="Done "/>
    <s v="Failed "/>
    <s v="Failed"/>
    <x v="0"/>
    <m/>
    <m/>
    <m/>
    <m/>
    <s v="Mohamed Saeed was not good in both germn and english and he studied the german as selfstudy and his german was not at all enough to the position"/>
    <m/>
  </r>
  <r>
    <s v="Mohamed Yehia"/>
    <s v="lionel7095@gmail.com"/>
    <x v="20"/>
    <s v="Audi "/>
    <s v="SD Analyst German  "/>
    <s v="A4"/>
    <s v="Farah Helmy "/>
    <m/>
    <s v="Done "/>
    <s v="Failed "/>
    <s v="Failed"/>
    <x v="0"/>
    <m/>
    <m/>
    <m/>
    <m/>
    <s v="Mohamed Yehia's German was full of gramatic mistakes his english is better than German as he studied the german as self study ans he has no certificates at all "/>
    <m/>
  </r>
  <r>
    <s v="Nouran Ashraf "/>
    <s v="nouranashraf955@gmail.com"/>
    <x v="20"/>
    <s v="Audi "/>
    <s v="SD Analyst German  "/>
    <s v="A4"/>
    <s v="Farah Helmy "/>
    <m/>
    <s v="Done "/>
    <s v="Passed"/>
    <s v="Passed "/>
    <x v="2"/>
    <m/>
    <m/>
    <m/>
    <m/>
    <s v="Nouran was very good in both languages beside having fair technical background "/>
    <m/>
  </r>
  <r>
    <s v="Mohamed Ayman abdelaal "/>
    <s v="mohamedayman@outlook.de"/>
    <x v="20"/>
    <s v="Audi "/>
    <s v="SD Analyst German  "/>
    <s v="A4"/>
    <s v="Farah Helmy "/>
    <m/>
    <s v="Done "/>
    <s v="Passed"/>
    <s v="Passed "/>
    <x v="2"/>
    <m/>
    <m/>
    <m/>
    <m/>
    <s v="Mohamed Ayman was very good in both languages and he has almost 15 years experience in many fields out of which 10 years in technical field he is more than fir for the position"/>
    <m/>
  </r>
  <r>
    <s v="Banan Mahfouz"/>
    <s v="bonymahfouz14@gmail.com"/>
    <x v="20"/>
    <s v="Audi "/>
    <s v="SD Analyst German  "/>
    <s v="A4"/>
    <s v="Farah Helmy "/>
    <m/>
    <s v="Done "/>
    <s v="Passed"/>
    <s v="Passed "/>
    <x v="2"/>
    <m/>
    <m/>
    <m/>
    <m/>
    <s v="Banan was very good in both languages and she has basic technical knowledge , she is fit for the position "/>
    <m/>
  </r>
  <r>
    <s v="Rawan Mohamed  Fadli "/>
    <s v="rawanfadli28@gmail.com "/>
    <x v="20"/>
    <s v="Audi "/>
    <s v="SD Analyst German  "/>
    <s v="A4"/>
    <s v="Farah Helmy "/>
    <m/>
    <s v="Done "/>
    <s v="Passed"/>
    <s v="Passed "/>
    <x v="2"/>
    <m/>
    <m/>
    <m/>
    <m/>
    <s v="Rawan was very good in both languages beside she has 3 years of experience in 2 companies and worked as TA in concentrix so dhe is fit for SD Analyst "/>
    <m/>
  </r>
  <r>
    <s v="Ganna Mohy Sultan"/>
    <s v="gannamohy31@gmail.com"/>
    <x v="20"/>
    <s v="Audi "/>
    <s v="SD Analyst German  "/>
    <s v="A4"/>
    <s v="Farah Helmy "/>
    <m/>
    <s v="Done "/>
    <s v="Failed "/>
    <s v="Failed"/>
    <x v="0"/>
    <m/>
    <m/>
    <m/>
    <m/>
    <s v="Ganna was very below the profile and she has no experience before in any fields , she can not master any language she was below the standard "/>
    <m/>
  </r>
  <r>
    <s v="Ramez Tamer"/>
    <s v="rameztamer33@gmail.com"/>
    <x v="20"/>
    <s v="Audi "/>
    <s v="SD Analyst German  "/>
    <s v="A4"/>
    <s v="Farah Helmy "/>
    <m/>
    <s v="Done "/>
    <s v="Failed "/>
    <s v="Failed"/>
    <x v="0"/>
    <m/>
    <m/>
    <m/>
    <m/>
    <s v="Ramez was below the level needed for both languages and he did also studied the German as self study english was better as he studie mass communication and has nothing to do with German "/>
    <m/>
  </r>
  <r>
    <s v=" Esraa Adel Ibrahim"/>
    <s v="essoadel497@gmail.com"/>
    <x v="20"/>
    <s v="Audi "/>
    <s v="SD Analyst German  "/>
    <s v="A4"/>
    <s v="Farah Helmy "/>
    <m/>
    <s v="Done "/>
    <s v="Failed "/>
    <s v="Failed"/>
    <x v="0"/>
    <m/>
    <m/>
    <m/>
    <m/>
    <s v="Esraa was very weak on both languages although she mentioned that she is having c1 language levele and she worked at vodafone for 8 years howver her german was so bad and also the english was way below the needed profile "/>
    <m/>
  </r>
  <r>
    <s v="Amr Kotb"/>
    <s v="amrkhedewy@gmail.com"/>
    <x v="20"/>
    <s v="Audi "/>
    <s v="SD Analyst German  "/>
    <s v="A4"/>
    <s v="Farah Helmy "/>
    <m/>
    <s v="Done "/>
    <s v="Passed"/>
    <s v="Passed "/>
    <x v="2"/>
    <m/>
    <m/>
    <m/>
    <m/>
    <s v="Amr was very good in German , english and tech , he studie german in the uni and also has TELC C1 certificates also worked 5 years at microsoft consumer "/>
    <m/>
  </r>
  <r>
    <s v="Abdelrahman Shaaban "/>
    <s v="abdulrahmanahmed45abdul@gmail.com"/>
    <x v="21"/>
    <s v="Audi "/>
    <s v="SD Analyst German  "/>
    <s v="A4"/>
    <s v="Farah Helmy "/>
    <m/>
    <s v="Done "/>
    <s v="Failed "/>
    <s v="Failed"/>
    <x v="0"/>
    <m/>
    <m/>
    <m/>
    <m/>
    <s v="Abulrahman was not confident in English and could be assessed at approximately an A1 level. His German proficiency was around a basic B2 level, which he achieved through studying at the Goethe-Institut. He has five years of work experience across different companies. However, his German communication was often affected by fluency challenges, grammatical errors, and limited confidence in speaking, which sometimes made it difficult for him to express himself clearly."/>
    <m/>
  </r>
  <r>
    <s v="Ahmed Galal abuelfadl "/>
    <s v="galal.fab@gmail.com"/>
    <x v="21"/>
    <s v="Audi "/>
    <s v="SD Analyst German  "/>
    <s v="A4"/>
    <s v="Farah Helmy "/>
    <m/>
    <s v="Done "/>
    <s v="Passed"/>
    <s v="Passed "/>
    <x v="2"/>
    <m/>
    <m/>
    <m/>
    <m/>
    <s v="Ahmed Galal demonstrated strong proficiency in both English and German, communicating confidently and effectively in both languages. He brings nearly 15 years of professional experience across various industries, including approximately 10 years in the technology sector._x000a__x000a_Throughout his career, he has worked with well-known organizations such as Vodafone and Concentrix, supporting major clients including Amazon and Microsoft. Within Microsoft and the Xbox support environment, Ahmed gained experience across multiple support levels, handling Tier 1 (T1), Tier 2 (T2), and Tier 3 (T3) responsibilities. His extensive technical background, combined with his strong communication skills and customer service expertise, makes him a highly qualified and versatile professional."/>
    <m/>
  </r>
  <r>
    <s v="Nourhan  Abuelkheir Khafagy"/>
    <s v="noraboelkheir4321@gmail.com"/>
    <x v="21"/>
    <s v="Audi "/>
    <s v="SD Analyst German  "/>
    <s v="A4"/>
    <s v="Farah Helmy "/>
    <m/>
    <s v="Done "/>
    <s v="Passed"/>
    <s v="Passed "/>
    <x v="2"/>
    <m/>
    <m/>
    <m/>
    <m/>
    <s v="Nourhan was very good in both languages besdie having 2 years experience in call center with Concentrix and IGT , she fits for SD Analyst "/>
    <m/>
  </r>
  <r>
    <s v="Aya Elshams "/>
    <s v="aya22elshams@gmail.com"/>
    <x v="21"/>
    <s v="Audi "/>
    <s v="SD Analyst German  "/>
    <s v="A4"/>
    <s v="Farah Helmy "/>
    <m/>
    <s v="Done "/>
    <s v="Failed "/>
    <s v="Failed"/>
    <x v="0"/>
    <m/>
    <m/>
    <m/>
    <m/>
    <s v="Aya Elshams is currently at a B1 level in German and is willing to continue her development toward obtaining a Goethe B2 certification. She is a fluent English speaker and has only recently decided to transition her focus to German. While she demonstrates motivation to improve, she currently makes a significant number of grammatical mistakes in German, which affect the clarity and accuracy of her communication._x000a__x000a_Aya is currently working with Microsoft MFA and has relevant technical exposure. However, her current German language proficiency is not yet sufficient for an SD Analyst role, as the position requires stronger communication skills, greater fluency, and a higher level of grammatical accuracy in German. Further language development would be recommended before considering her for a German-speaking SD Analyst position. she couldn't understand some german questions , she speaks English very well and she has good experience with english "/>
    <m/>
  </r>
  <r>
    <s v="Osama ElSayed Ahmed "/>
    <m/>
    <x v="21"/>
    <s v="Audi "/>
    <s v="SD Analyst German  "/>
    <s v="A4"/>
    <s v="Farah Helmy "/>
    <m/>
    <s v="Done "/>
    <s v="canceled "/>
    <s v="Canceled "/>
    <x v="7"/>
    <m/>
    <m/>
    <m/>
    <m/>
    <m/>
    <m/>
  </r>
  <r>
    <s v="Maria Gerges "/>
    <s v="mariakuku02@gmail.com"/>
    <x v="21"/>
    <s v="Audi "/>
    <s v="SD Analyst German  "/>
    <s v="A4"/>
    <s v="Farah Helmy "/>
    <m/>
    <s v="Done "/>
    <s v="Failed "/>
    <s v="Failed"/>
    <x v="0"/>
    <m/>
    <m/>
    <m/>
    <m/>
    <s v="Maria's english ia a1 and german is b1 basic , she studied both self study and she has no callcenter experience she is a receiptionist in Reobinson club Soma Bay and she is really faraway from the level we need "/>
    <m/>
  </r>
  <r>
    <s v="Nourhan Essameldin Fathy"/>
    <s v="nourhanessameldin98@gmail.com"/>
    <x v="22"/>
    <s v="Audi "/>
    <s v="SD Analyst German  "/>
    <s v="A4"/>
    <s v="Farah Helmy "/>
    <m/>
    <s v="Done "/>
    <s v="Failed "/>
    <s v="Failed"/>
    <x v="0"/>
    <m/>
    <m/>
    <m/>
    <m/>
    <s v="Nourhan was faraway in german and english she worked as freelancing with Amazon for 7 years but her german is full of grmatic mistakes and also english was basic , she hs no technical background and her german is basic b2 she doesn't fir fot SD Position "/>
    <m/>
  </r>
  <r>
    <s v="Mariam Mohamed Ali"/>
    <s v="mmrym3102@icloud.com"/>
    <x v="22"/>
    <s v="Audi "/>
    <s v="SD Analyst German  "/>
    <s v="A4"/>
    <s v="Farah Helmy "/>
    <m/>
    <s v="Done "/>
    <s v="Failed "/>
    <s v="Failed"/>
    <x v="0"/>
    <m/>
    <m/>
    <m/>
    <m/>
    <s v="Mariam's German and english are far away from what is needed , both languages were not existing to be honest  , she wasn't able to express in english and her German was mainly b1 basic "/>
    <m/>
  </r>
  <r>
    <s v="Engy Samir "/>
    <s v="engym9211@gmail.com"/>
    <x v="22"/>
    <s v="Audi "/>
    <s v="SD Analyst German  "/>
    <s v="A4"/>
    <s v="Farah Helmy "/>
    <m/>
    <s v="Done "/>
    <s v="Failed "/>
    <s v="Failed"/>
    <x v="0"/>
    <m/>
    <m/>
    <m/>
    <m/>
    <s v="Engy has a very low command of both languages , bad german and the english was also the same , she was reading and she didn't understand some questions . "/>
    <m/>
  </r>
  <r>
    <s v="Arwa Mohamed "/>
    <s v="arwam7858@gmail.com"/>
    <x v="22"/>
    <s v="Audi "/>
    <s v="SD Analyst German  "/>
    <s v="A4"/>
    <s v="Farah Helmy "/>
    <m/>
    <s v="Done "/>
    <s v="Failed "/>
    <s v="Failed"/>
    <x v="0"/>
    <m/>
    <m/>
    <m/>
    <m/>
    <s v="Arwa' german was basic b1 , with one year work experience in paypal with concentrix , her german was very basic and full of gramatic mistakes , she has a fair english but the german really below the needed nevau for Audi "/>
    <m/>
  </r>
  <r>
    <s v="Ahmed Salama Abhabib"/>
    <s v="salamaahmed607.199@gmail.com"/>
    <x v="22"/>
    <s v="Audi "/>
    <s v="SD Analyst German  "/>
    <s v="A4"/>
    <s v="Farah Helmy "/>
    <m/>
    <s v="Done "/>
    <s v="NCNS"/>
    <s v="NCNS"/>
    <x v="1"/>
    <m/>
    <m/>
    <m/>
    <m/>
    <s v="Candidate didn't show up"/>
    <m/>
  </r>
  <r>
    <s v="Ahmed Sayed  Sayed Farag "/>
    <s v="ahmed7274farag@gmail.com"/>
    <x v="22"/>
    <s v="Audi "/>
    <s v="SD Analyst German  "/>
    <s v="A4"/>
    <s v="Farah Helmy "/>
    <m/>
    <s v="Done "/>
    <s v="Passed"/>
    <s v="Passed "/>
    <x v="2"/>
    <m/>
    <m/>
    <m/>
    <m/>
    <s v="Ahmed was Good in english , very good in German with C1 Goethe Certificate , he has basic technical backgeound with 1 year experience in Vodafone Germany Collection team ."/>
    <m/>
  </r>
  <r>
    <s v="Khaled Adel"/>
    <s v="khaledadel1417@gmail.com"/>
    <x v="22"/>
    <s v="Audi "/>
    <s v="SD Analyst German  "/>
    <s v="A4"/>
    <s v="Farah Helmy "/>
    <m/>
    <s v="Done "/>
    <s v="Passed"/>
    <s v="Passed "/>
    <x v="2"/>
    <m/>
    <m/>
    <m/>
    <m/>
    <s v="Khaled is good in bothe languages and he is having 1 year experience in Temu German , eager to Learn his German is fit for the SD Analyst "/>
    <m/>
  </r>
  <r>
    <s v="Mohamed Ibrahim"/>
    <s v="mohamed.ibrahim19075@gmail.com"/>
    <x v="22"/>
    <s v="Audi "/>
    <s v="SD Analyst German  "/>
    <s v="A4"/>
    <s v="Farah Helmy "/>
    <m/>
    <s v="Done "/>
    <s v="Failed "/>
    <s v="Failed"/>
    <x v="0"/>
    <m/>
    <m/>
    <m/>
    <m/>
    <s v="Mohamed was not able to fluently express in both German and english although he has been working for amazon for 3 years but his language was really limited , some quetions were not understood , he has also no certificates as he did study german by his own . his language level is basic b2"/>
    <m/>
  </r>
  <r>
    <s v="Sara Ali "/>
    <m/>
    <x v="22"/>
    <s v="Audi "/>
    <s v="SD Analyst German  "/>
    <s v="A4"/>
    <s v="Farah Helmy "/>
    <m/>
    <m/>
    <s v="canceled "/>
    <s v="Canceled "/>
    <x v="7"/>
    <m/>
    <m/>
    <m/>
    <m/>
    <s v="Candidate won't be able to join "/>
    <m/>
  </r>
  <r>
    <s v="Fares Ibrahim ElSayad "/>
    <s v="farsalsyad396@gmail.com"/>
    <x v="22"/>
    <s v="Audi "/>
    <s v="SD Analyst German  "/>
    <s v="A4"/>
    <s v="Farah Helmy "/>
    <m/>
    <s v="Done "/>
    <s v="Failed "/>
    <s v="Failed"/>
    <x v="0"/>
    <m/>
    <m/>
    <m/>
    <m/>
    <s v="Fares was having low command of both German and english , englihs was lower than basic german is b1 max . articulations problem , he has no basic tech , not fit at all for the position "/>
    <m/>
  </r>
  <r>
    <s v="Rewan Khaled "/>
    <s v="rewankhaled2024@icloud.com"/>
    <x v="22"/>
    <s v="Audi "/>
    <s v="SD Analyst German  "/>
    <s v="A4"/>
    <s v="Farah Helmy "/>
    <m/>
    <s v="Done "/>
    <s v="Failed "/>
    <s v="Failed"/>
    <x v="0"/>
    <m/>
    <m/>
    <m/>
    <m/>
    <s v="Very Bad German and english Level no basic technical background ."/>
    <m/>
  </r>
  <r>
    <s v="Hadeel Ahmed - rejected "/>
    <s v="hadeelshafie242@gmail.com"/>
    <x v="22"/>
    <s v="Audi "/>
    <s v="SD Analyst German  "/>
    <s v="A4"/>
    <s v="Farah Helmy "/>
    <m/>
    <s v="Done "/>
    <s v="Passed"/>
    <s v="Passed "/>
    <x v="2"/>
    <m/>
    <m/>
    <m/>
    <m/>
    <s v="Hadeel  is very good in both german and english , she has almost 4 years experience ni Microsoft , she was also SME for a while , she is more than qualified for the SD Role "/>
    <m/>
  </r>
  <r>
    <s v="Alaa Yehia Abdelmoniem"/>
    <s v="alaayehiaa27@gmail.com"/>
    <x v="23"/>
    <s v="Audi "/>
    <s v="SD Analyst German  "/>
    <s v="A4"/>
    <s v="Farah Helmy "/>
    <m/>
    <s v="Done "/>
    <s v="Passed"/>
    <s v="Passed "/>
    <x v="2"/>
    <m/>
    <m/>
    <m/>
    <m/>
    <s v="Alaa's German was good she has 2 years of experience also tech background with AI "/>
    <m/>
  </r>
  <r>
    <s v="Nouran Ashraf "/>
    <s v="nouranashraf955@gmail.com"/>
    <x v="23"/>
    <s v="Audi "/>
    <s v="SD Analyst German  "/>
    <s v="A4"/>
    <s v="Farah Helmy "/>
    <m/>
    <m/>
    <s v="Rescheduled "/>
    <s v="Rescheduled "/>
    <x v="8"/>
    <m/>
    <m/>
    <m/>
    <m/>
    <m/>
    <m/>
  </r>
  <r>
    <s v="Mohamed Ahmed "/>
    <s v="ahmedmohamed05147@gmail.com"/>
    <x v="23"/>
    <s v="Audi "/>
    <s v="SD Analyst German  "/>
    <s v="A4"/>
    <s v="Farah Helmy "/>
    <m/>
    <s v="Done "/>
    <s v="Failed "/>
    <s v="Failed"/>
    <x v="0"/>
    <m/>
    <m/>
    <m/>
    <m/>
    <s v="Mohamd ahmed did study the language in 6 months both German and english and his language nevau is not enough , he has also a plan to travel to germany in 6 months so no need for him "/>
    <s v="Mohamed"/>
  </r>
  <r>
    <s v="Nada Gamal Gomaa "/>
    <s v="gnada3171@gmail.com"/>
    <x v="23"/>
    <s v="Audi "/>
    <s v="SD Analyst German  "/>
    <s v="A4"/>
    <s v="Farah Helmy "/>
    <m/>
    <m/>
    <s v="Rescheduled "/>
    <s v="Rescheduled "/>
    <x v="8"/>
    <m/>
    <m/>
    <m/>
    <m/>
    <m/>
    <m/>
  </r>
  <r>
    <s v="Nancy Maged el sharkawy "/>
    <s v="nancyelsharqawy9@gmail.com"/>
    <x v="23"/>
    <s v="Audi "/>
    <s v="SD Analyst German  "/>
    <s v="A4"/>
    <s v="Farah Helmy "/>
    <m/>
    <s v="Done "/>
    <s v="Passed"/>
    <s v="Passed "/>
    <x v="2"/>
    <m/>
    <m/>
    <m/>
    <m/>
    <s v="Nancy demonstrated a strong command of the German language and possesses relevant experience that makes her a good fit for the Service Desk (SD) role. We would recommend moving forward with her as a priority and aiming for an ASAP start date._x000a__x000a_She previously worked as a German language instructor and brings more than 10 years of professional experience across well-known organizations, including Vodafone, Concentrix, and Foundever. Her combination of language proficiency, customer service background, and extensive professional experience makes her a strong candidate for the position."/>
    <m/>
  </r>
  <r>
    <s v="Mostafa Rageb Gomaa "/>
    <s v="mostafa12ragab23@gmail.com"/>
    <x v="23"/>
    <s v="Audi "/>
    <s v="SD Analyst German  "/>
    <s v="A4"/>
    <s v="Farah Helmy "/>
    <m/>
    <s v="Done "/>
    <s v="Failed "/>
    <s v="Failed"/>
    <x v="0"/>
    <m/>
    <m/>
    <m/>
    <m/>
    <s v="Mostafa studied German at DKW Academy. However, he demonstrated several language gaps and made numerous grammatical mistakes throughout the interview. He also spoke very quickly, which negatively impacted clarity and communication. His English proficiency was also at a basic level. From an educational background perspective, he studied Agriculture. Based on the interview, his language skills require further development, particularly in terms of accuracy, fluency, and overall communication effectiveness."/>
    <m/>
  </r>
  <r>
    <s v="Omnya Fathy Attia "/>
    <s v="omniafathy1409@gmail.com"/>
    <x v="23"/>
    <s v="Audi "/>
    <s v="SD Analyst German  "/>
    <s v="A4"/>
    <s v="Farah Helmy "/>
    <m/>
    <m/>
    <s v="Rescheduled "/>
    <s v="Rescheduled "/>
    <x v="8"/>
    <m/>
    <m/>
    <m/>
    <m/>
    <m/>
    <m/>
  </r>
  <r>
    <s v="Ahmed Saad "/>
    <s v="ahmedsa3d.3222@gmail.com"/>
    <x v="23"/>
    <s v="Audi "/>
    <s v="SD Analyst German  "/>
    <s v="A4"/>
    <s v="Farah Helmy "/>
    <m/>
    <s v="Done "/>
    <s v="Passed"/>
    <s v="Passed "/>
    <x v="2"/>
    <m/>
    <m/>
    <m/>
    <m/>
    <s v="ahmed was good on both languages German and english with good callcenter experience "/>
    <m/>
  </r>
  <r>
    <s v="Rawan Eldin "/>
    <m/>
    <x v="23"/>
    <s v="Audi "/>
    <s v="SD Analyst German  "/>
    <s v="A4"/>
    <s v="Farah Helmy "/>
    <m/>
    <m/>
    <s v="NCNS"/>
    <s v="NCNS"/>
    <x v="1"/>
    <m/>
    <m/>
    <m/>
    <m/>
    <m/>
    <m/>
  </r>
  <r>
    <s v="Mariam Ahmed - Offer declined "/>
    <s v="mariemahmadgp@gmail.com"/>
    <x v="23"/>
    <s v="Audi "/>
    <s v="SD Analyst German  "/>
    <s v="A4"/>
    <s v="Farah Helmy "/>
    <m/>
    <s v="Done "/>
    <s v="Passed"/>
    <s v="Passed "/>
    <x v="2"/>
    <m/>
    <m/>
    <m/>
    <m/>
    <s v="Mariam was good in German and english with C1 certificate and experience in call center also good technical Background "/>
    <m/>
  </r>
  <r>
    <s v="Ahmed Ashraf "/>
    <s v="ahmedashraf1940@gmail.com"/>
    <x v="24"/>
    <s v="Audi "/>
    <s v="SD Analyst German  "/>
    <s v="A4"/>
    <s v="Farah Helmy "/>
    <m/>
    <m/>
    <s v="Failed "/>
    <s v="Failed"/>
    <x v="0"/>
    <m/>
    <m/>
    <m/>
    <m/>
    <s v="German is below the needed level no more than b1 "/>
    <m/>
  </r>
  <r>
    <s v="Kyrollos Asaad "/>
    <s v="kyrillos.asaad99@gmail.com"/>
    <x v="24"/>
    <s v="Audi "/>
    <s v="SD Analyst German  "/>
    <s v="A4"/>
    <s v="Farah Helmy "/>
    <m/>
    <s v="Done "/>
    <s v="Passed"/>
    <s v="Passed"/>
    <x v="2"/>
    <m/>
    <m/>
    <m/>
    <m/>
    <s v="Kyrollos has studied the language until b2 at Goethe Institute and he has 2 years of experience in Exceed Odegio Line of business his english is also fair so he fits for the position "/>
    <m/>
  </r>
  <r>
    <s v="Mohamed Khaled Ameen"/>
    <s v="mameensoliman@gmail.com"/>
    <x v="24"/>
    <s v="Audi "/>
    <s v="SD Analyst German  "/>
    <s v="A4"/>
    <s v="Farah Helmy "/>
    <m/>
    <m/>
    <s v="Cancelled "/>
    <s v="Cancelled "/>
    <x v="9"/>
    <m/>
    <m/>
    <m/>
    <m/>
    <m/>
    <m/>
  </r>
  <r>
    <s v="Mohamed Essam Mansour"/>
    <s v="mohamedessam5220@gmail.com"/>
    <x v="24"/>
    <s v="Audi "/>
    <s v="SD Analyst German  "/>
    <s v="A4"/>
    <s v="Farah Helmy "/>
    <m/>
    <s v="Done "/>
    <s v="Failed "/>
    <s v="Failed"/>
    <x v="0"/>
    <m/>
    <m/>
    <m/>
    <m/>
    <s v="Mohamed had low command of German and english , full of gramatical mistakes , no technical background "/>
    <m/>
  </r>
  <r>
    <s v="Sarah Mahmoud "/>
    <s v="Sara.mahmoud.abdelwahid@gmail.com"/>
    <x v="24"/>
    <s v="Audi "/>
    <s v="SD Analyst German  "/>
    <s v="A4"/>
    <s v="Farah Helmy "/>
    <m/>
    <s v="Done "/>
    <s v="Passed"/>
    <s v="Passed"/>
    <x v="2"/>
    <m/>
    <m/>
    <m/>
    <m/>
    <s v="Sarah was good in german and she has almost 2 years of experience in callcenter - she knows how top deal with customers and she studied German in the uni "/>
    <m/>
  </r>
  <r>
    <s v="Rannouna Abosetta "/>
    <s v="ranonaa.abusetta@capgemini.com"/>
    <x v="24"/>
    <s v="Audi "/>
    <s v="SD Analyst German  "/>
    <s v="A4"/>
    <s v="Farah Helmy "/>
    <m/>
    <m/>
    <s v="NCNS"/>
    <s v="NCNS"/>
    <x v="1"/>
    <m/>
    <m/>
    <m/>
    <m/>
    <m/>
    <m/>
  </r>
  <r>
    <s v="Abdallah Saleh Hussein"/>
    <s v="salehabdallah313@gmail.com"/>
    <x v="24"/>
    <s v="Audi "/>
    <s v="SD Analyst German  "/>
    <s v="A4"/>
    <s v="Farah Helmy "/>
    <m/>
    <m/>
    <s v="NCNS"/>
    <s v="NCNS"/>
    <x v="1"/>
    <m/>
    <m/>
    <m/>
    <m/>
    <m/>
    <m/>
  </r>
  <r>
    <s v="Hazem El Meseery "/>
    <s v="hazem.elmesery@capgemini.com"/>
    <x v="24"/>
    <s v="Audi "/>
    <s v="SD Analyst German  "/>
    <s v="A4"/>
    <s v="Farah Helmy "/>
    <m/>
    <s v="Done "/>
    <s v="Passed"/>
    <s v="Passed"/>
    <x v="2"/>
    <m/>
    <m/>
    <m/>
    <m/>
    <s v="Internal Transfer and good to proceed "/>
    <m/>
  </r>
  <r>
    <s v="Sara Ali "/>
    <s v="sara.abdelwareth16@gmail.com"/>
    <x v="24"/>
    <s v="Audi "/>
    <s v="SD Analyst German  "/>
    <s v="A4"/>
    <s v="Farah Helmy "/>
    <m/>
    <m/>
    <s v="NCNS"/>
    <s v="NCNS"/>
    <x v="1"/>
    <m/>
    <m/>
    <m/>
    <m/>
    <m/>
    <m/>
  </r>
  <r>
    <s v="Abdelwahab Mohamed shaaban- Declined "/>
    <s v="abdomeedo121@gmail.com"/>
    <x v="25"/>
    <s v="Audi "/>
    <s v="SD Analyst German  "/>
    <s v="A4"/>
    <s v="Farah Helmy "/>
    <m/>
    <s v="Done "/>
    <s v="Passed"/>
    <s v="Passed"/>
    <x v="2"/>
    <m/>
    <m/>
    <m/>
    <m/>
    <s v="Abdelwahab studied Commercial and German upuntil B2 in Goethe with 2 years in Amazon Insource , his english is okay and German also he was asked to start studying C1 , but we can offer him SD Analyst , he is also ready to join asap "/>
    <m/>
  </r>
  <r>
    <s v="Khaled Salah Eldin"/>
    <s v="khaledroos2020@gmail.com"/>
    <x v="25"/>
    <s v="Audi "/>
    <s v="SD Analyst German  "/>
    <s v="A4"/>
    <s v="Farah Helmy "/>
    <m/>
    <s v="Done "/>
    <s v="Passed"/>
    <s v="Passed"/>
    <x v="2"/>
    <m/>
    <m/>
    <m/>
    <m/>
    <s v="khaled was good in German and englihs also have experinec in call centr in Concentrix with a minimum level of tech experience , we can offer him "/>
    <m/>
  </r>
  <r>
    <s v="Maryam Attia Fayad "/>
    <s v="maryamfayadh424@gmail.com"/>
    <x v="25"/>
    <s v="Audi "/>
    <s v="SD Analyst German  "/>
    <s v="A4"/>
    <s v="Farah Helmy "/>
    <m/>
    <s v="Done "/>
    <s v="Passed"/>
    <s v="Passed"/>
    <x v="2"/>
    <m/>
    <m/>
    <m/>
    <m/>
    <s v="Maryam is good in German and english , she has basic technical background , she is also fit for the position "/>
    <m/>
  </r>
  <r>
    <s v="Mariam ElMallawany"/>
    <s v="mariamelmallawany17@gmail.com"/>
    <x v="25"/>
    <s v="Audi "/>
    <s v="SD Analyst German  "/>
    <s v="A4"/>
    <s v="Farah Helmy "/>
    <m/>
    <s v="Done "/>
    <s v="Passed"/>
    <s v="Passed"/>
    <x v="2"/>
    <m/>
    <m/>
    <m/>
    <m/>
    <s v="Mariam is Good in both German and english she has no tech background -  she is potential for the position "/>
    <m/>
  </r>
  <r>
    <s v="Omar Salah - Company Rejected "/>
    <s v="o1s24680@gmail.com"/>
    <x v="25"/>
    <s v="Audi "/>
    <s v="SD Analyst German  "/>
    <s v="A4"/>
    <s v="Farah Helmy "/>
    <m/>
    <s v="Done "/>
    <s v="Passed"/>
    <s v="Passed"/>
    <x v="2"/>
    <m/>
    <m/>
    <m/>
    <m/>
    <s v="Omar is good in Germana and emglish , he has many years of experience as Agent , SME , Quality Coach by Concentrix and VXI also he has technical Background , he is fit for the position "/>
    <m/>
  </r>
  <r>
    <s v="Abdallah Saleh "/>
    <s v="salehabdallah313@gmail.com"/>
    <x v="25"/>
    <s v="Audi "/>
    <s v="SD Analyst German  "/>
    <s v="A4"/>
    <s v="Farah Helmy "/>
    <m/>
    <s v="Done "/>
    <s v="Passed"/>
    <s v="Passed"/>
    <x v="2"/>
    <m/>
    <m/>
    <m/>
    <m/>
    <s v="Abdallah is B2+ studied Germnistik and he has an experience of almost 2 years at Concentrix Booking and has minimum technical background so he is potential for SD Analyst "/>
    <m/>
  </r>
  <r>
    <s v="Hager ZainElabdeen "/>
    <s v="hagar.zain-el-abdeen@capgemini.com"/>
    <x v="25"/>
    <s v="Audi "/>
    <s v="SD Analyst German  "/>
    <s v="A4"/>
    <s v="Farah Helmy "/>
    <m/>
    <s v="Done "/>
    <s v="Passed"/>
    <s v="Passed"/>
    <x v="2"/>
    <m/>
    <m/>
    <m/>
    <m/>
    <s v="Hager is already Capgemini Fedex collection agent and she stdied German in alalsun Uni she has no tech background and she has almsot 2 years of experience in callcenter , she can aslo speak good German so she is potential "/>
    <m/>
  </r>
  <r>
    <s v="Mohamed Tarek Mohamed "/>
    <m/>
    <x v="25"/>
    <s v="Audi "/>
    <s v="SD Analyst German  "/>
    <s v="A4"/>
    <s v="Farah Helmy "/>
    <m/>
    <s v="Done "/>
    <s v="Failed "/>
    <s v="Failed"/>
    <x v="0"/>
    <m/>
    <m/>
    <m/>
    <m/>
    <s v="Mohamed Tarek's German proficiency is approximately at the B1 level. He has a noticeable accent and demonstrated multiple grammatical errors throughout the interview, which impacted overall fluency and communication effectiveness. Additionally, he does not have a technical background relevant to the role. Based on his current German language proficiency and technical profile, he is not a suitable fit for the Service Desk (SD) role."/>
    <m/>
  </r>
  <r>
    <s v="Shenouda Morcus Hanna "/>
    <s v="shenodamorkos12@gmail.com"/>
    <x v="25"/>
    <s v="Audi "/>
    <s v="SD Analyst German  "/>
    <s v="A4"/>
    <s v="Farah Helmy "/>
    <m/>
    <s v="Done "/>
    <s v="Failed "/>
    <s v="Failed"/>
    <x v="0"/>
    <m/>
    <m/>
    <m/>
    <m/>
    <s v="Shenouda's German proficiency was significantly below the level required for the Service Desk role. He demonstrated numerous grammatical errors, fluency issues, and had difficulty expressing his thoughts clearly, often repeating himself during the interview. His English proficiency was also below the required standard. In addition, he does not have a relevant technical background. Based on the language assessment and overall profile, he is not a suitable fit for the Service Desk (SD) role."/>
    <m/>
  </r>
  <r>
    <s v="Demiana Romany Hanna "/>
    <s v="demianaromany018@gmail.com"/>
    <x v="25"/>
    <s v="Audi "/>
    <s v="SD Analyst German  "/>
    <s v="A4"/>
    <s v="Farah Helmy "/>
    <m/>
    <m/>
    <s v="Rescheduled "/>
    <s v="Rescheduled "/>
    <x v="8"/>
    <m/>
    <m/>
    <m/>
    <m/>
    <m/>
    <m/>
  </r>
  <r>
    <s v="Rowan Sahwky "/>
    <s v="rowanshawky22@gmail.com"/>
    <x v="25"/>
    <s v="Audi "/>
    <s v="SD Analyst German  "/>
    <s v="A4"/>
    <s v="Farah Helmy "/>
    <m/>
    <s v="Done "/>
    <s v="Passed"/>
    <s v="Passed"/>
    <x v="2"/>
    <m/>
    <m/>
    <m/>
    <m/>
    <s v="Rowan demonstrated good proficiency in both German and English and communicated effectively throughout the interview. He also possesses a solid technical background, with approximately four years of overall industry experience, including three years with Atos. Based on his language skills, technical knowledge, and professional experience, he appears to be a good fit for the Service Desk (SD) role."/>
    <m/>
  </r>
  <r>
    <s v="Marawan Magdy "/>
    <s v="marwanmohamed20331@gmail.com"/>
    <x v="25"/>
    <s v="Audi "/>
    <s v="SD Analyst German  "/>
    <s v="A4"/>
    <s v="Farah Helmy "/>
    <m/>
    <s v="Done "/>
    <s v="Passed"/>
    <s v="Passed"/>
    <x v="2"/>
    <m/>
    <m/>
    <m/>
    <m/>
    <s v="Marawan was very good in english cause this is his first language , German was b2 and he is certified from Goethe with 2 years of experience with Airbnb and Octobus , he has also some technical knowledge but he has some gramatic mistakes , he is potential for the position "/>
    <m/>
  </r>
  <r>
    <s v="Mohamed Ezzat "/>
    <s v="mzr43197@gmail.com"/>
    <x v="25"/>
    <s v="Audi "/>
    <s v="SD Analyst German  "/>
    <s v="A4"/>
    <s v="Farah Helmy "/>
    <m/>
    <s v="Done "/>
    <s v="Passed"/>
    <s v="Passed"/>
    <x v="2"/>
    <m/>
    <m/>
    <m/>
    <m/>
    <s v="Mohamed Ezzat is good in German and english , he has also an experience in callcenter and Tech for almost 7 years , he is familiar with the type of work and he is fit for SD Role "/>
    <m/>
  </r>
  <r>
    <s v="Nader Eryan "/>
    <s v="bolanader5@gmail.com"/>
    <x v="26"/>
    <s v="Audi "/>
    <s v="SD Analyst German  "/>
    <s v="A4"/>
    <s v="Farah Helmy "/>
    <m/>
    <m/>
    <s v="Failed "/>
    <s v="Failed"/>
    <x v="0"/>
    <m/>
    <m/>
    <m/>
    <m/>
    <s v="Nader did study the German by himself and he has no certificates he has also 8 months exoerience in the care with IGT Solution , he is better in english than German "/>
    <m/>
  </r>
  <r>
    <s v="Noura Ramadan"/>
    <s v="noraramdann33@gmail.com"/>
    <x v="26"/>
    <s v="Audi "/>
    <s v="SD Analyst German  "/>
    <s v="A4"/>
    <s v="Farah Helmy "/>
    <m/>
    <s v="Done "/>
    <s v="Failed "/>
    <s v="Failed"/>
    <x v="0"/>
    <m/>
    <m/>
    <m/>
    <m/>
    <s v="Noura Ramadan is a fresh graduate and recently completed her studies. Although she studied German at university, her German proficiency is significantly below the level required for the role. She demonstrated noticeable language gaps, including grammar and fluency issues, and would likely face challenges coping with the role's communication requirements. Additionally, she appeared to be reading from prepared material during the interview rather than responding spontaneously. Based on the assessment, she is not a suitable fit for the position at this stage."/>
    <m/>
  </r>
  <r>
    <s v="Esraa Adel Abdelazim"/>
    <s v="esraa.abdelazim@capgemini.com"/>
    <x v="26"/>
    <s v="Audi "/>
    <s v="SD Analyst German  "/>
    <s v="A4"/>
    <s v="Farah Helmy "/>
    <m/>
    <s v="Done "/>
    <s v="Passed"/>
    <s v="Passed"/>
    <x v="2"/>
    <m/>
    <m/>
    <m/>
    <m/>
    <s v="Esraa is an internal mover with a strong command of both German and English. She demonstrated solid communication skills and has relevant call center experience. Her background includes working with Concentrix (Expedia), ePay, and FedEx, which has provided her with valuable customer service experience. Based on her language proficiency and professional background, she is a good fit for the position and is recommended to proceed."/>
    <m/>
  </r>
  <r>
    <s v="Hager Ahmed Abdraboo"/>
    <s v="Hagarahmed68@yahoo.com"/>
    <x v="26"/>
    <s v="Audi "/>
    <s v="SD Analyst German  "/>
    <s v="A4"/>
    <s v="Farah Helmy "/>
    <m/>
    <s v="Done "/>
    <s v="Passed"/>
    <s v="Passed"/>
    <x v="2"/>
    <m/>
    <m/>
    <m/>
    <m/>
    <s v="Hager studied German academic and she was good in German almsot b2+ with almost 3 years experience in Concentrix N26 Lob also took over second level support so she is taking care of escalations - her english is average and she has an average Technical Background "/>
    <m/>
  </r>
  <r>
    <s v="Rokia Sobhy Hussein"/>
    <s v="rokiasobhy@gmail.com"/>
    <x v="27"/>
    <s v="Audi "/>
    <s v="SD Analyst German  "/>
    <s v="A4"/>
    <s v="Farah Helmy "/>
    <m/>
    <s v="Done "/>
    <s v="Passed"/>
    <s v="Passed"/>
    <x v="2"/>
    <m/>
    <m/>
    <m/>
    <m/>
    <s v="Rokia is highly proficient in German and also demonstrates strong English communication skills. She has 3 years of experience supporting Amazon through TP, providing her with solid customer service and operational exposure. In addition, she studied programming and computer languages and completed a software diploma, giving her a good technical foundation. Although she learned German independently, she has achieved a strong command of the language. Overall, she is a good fit for the Service Desk (SD) role due to her language capabilities, technical background, and relevant customer support experience."/>
    <m/>
  </r>
  <r>
    <s v="Radwa Tarek"/>
    <s v="radwatarek5544@gmail.com"/>
    <x v="27"/>
    <s v="Audi "/>
    <s v="SD Analyst German  "/>
    <s v="A4"/>
    <s v="Farah Helmy "/>
    <m/>
    <s v="Done "/>
    <s v="Passed"/>
    <s v="Passed"/>
    <x v="2"/>
    <m/>
    <m/>
    <m/>
    <m/>
    <s v="Radwa Tarek was Very good with English and also German, she studied German in the Uni and also extra Diploma she has 3 years of experience in call center with Concentrix and IQor , she is fit for SD Role"/>
    <m/>
  </r>
  <r>
    <s v="Mennatullah Sherif "/>
    <s v="mennasherif2001@icloud.com"/>
    <x v="27"/>
    <s v="Audi "/>
    <s v="SD Analyst German  "/>
    <s v="A4"/>
    <s v="Farah Helmy "/>
    <m/>
    <s v="Done "/>
    <s v="Failed "/>
    <s v="Failed"/>
    <x v="0"/>
    <m/>
    <m/>
    <m/>
    <m/>
    <s v="Menna's German was below the targetted Level , english also although she studied german in the Uni and laso working with Microsoft but her language was full of Gramatic Mistakes "/>
    <m/>
  </r>
  <r>
    <s v="Malak Emara "/>
    <s v="malakomara92@gmail.com"/>
    <x v="27"/>
    <s v="Audi "/>
    <s v="SD Analyst German  "/>
    <s v="A4"/>
    <s v="Farah Helmy "/>
    <m/>
    <s v="Done "/>
    <s v="Failed "/>
    <s v="Failed"/>
    <x v="0"/>
    <m/>
    <m/>
    <m/>
    <m/>
    <s v="Malak is fresh graduate and she has many language gabs also some gramatic mistakes , she speaks god english but she has no technical background "/>
    <m/>
  </r>
  <r>
    <s v="Rojeh Gerges Medhat"/>
    <s v="Rojehmedhat318@gmail.com"/>
    <x v="27"/>
    <s v="Audi "/>
    <s v="SD Analyst German  "/>
    <s v="A4"/>
    <s v="Farah Helmy "/>
    <m/>
    <s v="Done "/>
    <s v="Failed "/>
    <s v="Failed"/>
    <x v="0"/>
    <m/>
    <m/>
    <m/>
    <m/>
    <s v="Rojeh's German language proficiency is below the required B2 level. He learned the language through self-study; however, his communication skills are not yet at the standard needed for the role. His English proficiency is also below the required level, with noticeable fluency and language gaps. He has a background in gaming but lacks relevant customer service or technical support experience. Additionally, he is still an undergraduate. Overall, he is currently not a suitable fit for the Service Desk role due to his language proficiency gaps and limited relevant experience."/>
    <m/>
  </r>
  <r>
    <s v="Mohamed Mahmoud Hegazy"/>
    <s v="mohamed.mhegazy77@gmail.com"/>
    <x v="27"/>
    <s v="Audi "/>
    <s v="SD Analyst German  "/>
    <s v="A4"/>
    <s v="Farah Helmy "/>
    <m/>
    <s v="Done "/>
    <s v="Failed "/>
    <s v="Failed"/>
    <x v="0"/>
    <m/>
    <m/>
    <m/>
    <m/>
    <s v="Mohamed Mahmoud's English proficiency was noticeably stronger than his German. He holds a degree in Pharmacy, and German was studied as an additional language rather than as his primary field of study. Although he currently works as a Medical Representative at Allianz and supports German-speaking customers, his German language skills were below the level required for the Service Desk role. He demonstrated limitations in fluency, vocabulary, and overall communication, and he does not hold any relevant German language certifications. Based on the interview, he is not a suitable fit for the SD role at this stage."/>
    <m/>
  </r>
  <r>
    <s v="Arwa Ali "/>
    <s v="aarwa9242@gmail.com"/>
    <x v="27"/>
    <s v="Audi "/>
    <s v="SD Analyst German  "/>
    <s v="A4"/>
    <s v="Farah Helmy "/>
    <m/>
    <s v="Done "/>
    <s v="Passed"/>
    <s v="Passed"/>
    <x v="2"/>
    <m/>
    <m/>
    <m/>
    <m/>
    <s v="Arwa demonstrated strong communication skills in both German and English. She has previous professional experience with Enpal, which has provided her with exposure to customer-facing environments. While her technical background is relatively limited, her language proficiency, communication skills, and overall profile align well with the requirements of the Service Desk role. Based on the interview, she is considered a suitable candidate for the SD position."/>
    <m/>
  </r>
  <r>
    <s v="Youssef Ayman "/>
    <m/>
    <x v="27"/>
    <s v="Audi "/>
    <s v="Quality Analyst German"/>
    <s v="A5"/>
    <s v="Farah Helmy "/>
    <m/>
    <s v="Done "/>
    <s v="Failed "/>
    <s v="Failed"/>
    <x v="0"/>
    <m/>
    <m/>
    <m/>
    <m/>
    <s v="Youssef's German Level was not matching the C1 Level Needed - He has good experience but theoretically he has no technical background "/>
    <m/>
  </r>
  <r>
    <s v="Karim Ali"/>
    <s v="karimwkimo@gmail.com"/>
    <x v="27"/>
    <s v="Audi "/>
    <s v="SD Analyst German  "/>
    <s v="A4"/>
    <s v="Farah Helmy "/>
    <m/>
    <s v="Done "/>
    <s v="Failed "/>
    <s v="Failed"/>
    <x v="0"/>
    <m/>
    <m/>
    <m/>
    <m/>
    <s v="Karim demonstrated German language skills at approximately B2 level, acquired primarily through self-study. His English proficiency was noticeably stronger than his German, as German was studied as a second language. He brings around 8 years of professional experience and is currently working in a Team Leader position. During the interview, he indicated that he is seeking an individual contributor role to achieve a better work-life balance. His German communication contained a significant number of grammatical errors, which impacted overall fluency and accuracy. Based on the language assessment, his German proficiency is below the level expected for the Service Desk role at this stage.he is a potential attrition "/>
    <m/>
  </r>
  <r>
    <s v="Ziad Mustafa "/>
    <s v="ziyadmustafa40@gmail.com"/>
    <x v="27"/>
    <s v="Audi "/>
    <s v="SD Analyst German  "/>
    <s v="A4"/>
    <s v="Farah Helmy "/>
    <m/>
    <s v="Done "/>
    <s v="Failed "/>
    <s v="Failed"/>
    <x v="0"/>
    <m/>
    <m/>
    <m/>
    <m/>
    <s v="Ziad 's German was not sufficient and also his English , he has many gramaic mistakes although he has technical background with Amazon Prime ."/>
    <m/>
  </r>
  <r>
    <s v="Hana Sabry "/>
    <s v="haanaasaabry@gmail.com"/>
    <x v="27"/>
    <s v="Audi "/>
    <s v="SD Analyst German  "/>
    <s v="A4"/>
    <s v="Farah Helmy "/>
    <m/>
    <s v="Done "/>
    <s v="Failed "/>
    <s v="Failed"/>
    <x v="0"/>
    <m/>
    <m/>
    <m/>
    <m/>
    <s v="Hana studied German at university and completed additional German language training. During the interview, she demonstrated a noticeable number of pronunciation and articulation issues, as well as frequent grammatical mistakes, which affected the clarity and effectiveness of her communication. In the theoretical assessment, some questions were not fully understood, and several responses were repetitive without adequately addressing the questions asked. Additionally, she does not have a technical background relevant to the Service Desk role. Based on her language proficiency, communication performance, and overall assessment results, she does not currently meet the requirements of the position."/>
    <m/>
  </r>
  <r>
    <s v="Mohamed Taha "/>
    <s v="mohammedibrahem527@gmail.com"/>
    <x v="27"/>
    <s v="Audi "/>
    <s v="SD Analyst German  "/>
    <s v="A4"/>
    <s v="Farah Helmy "/>
    <m/>
    <s v="Done "/>
    <s v="Passed"/>
    <s v="Passed"/>
    <x v="2"/>
    <m/>
    <m/>
    <m/>
    <m/>
    <s v="Mohamed holds a degree in Dentistry and learned German primarily through self-study. He demonstrated strong communication skills in both German and English, with an assessed proficiency of approximately B2+ in both languages. He also holds an OSD German language certification, which supports his language proficiency. Professionally, he gained customer service experience through his work with Concentrix in the AGODA line of business. In addition, he demonstrated a solid technical foundation and was able to handle the technical questions effectively. Based on his language skills, customer service experience, and technical background, he is considered a suitable candidate for the Service Desk role."/>
    <m/>
  </r>
  <r>
    <s v="Mostafa Magdy"/>
    <s v="mostafarshwan25@gmail.com"/>
    <x v="27"/>
    <s v="Audi "/>
    <s v="SD Analyst German  "/>
    <s v="A4"/>
    <s v="Farah Helmy "/>
    <m/>
    <m/>
    <s v="NCNS"/>
    <s v="NCNS"/>
    <x v="1"/>
    <m/>
    <m/>
    <m/>
    <m/>
    <m/>
    <m/>
  </r>
  <r>
    <s v="Seif Eldin Ashraf "/>
    <s v="sisoashrf01@gmail.com"/>
    <x v="27"/>
    <s v="Audi "/>
    <s v="SD Analyst German  "/>
    <s v="A4"/>
    <s v="Farah Helmy "/>
    <m/>
    <s v="Done "/>
    <s v="Failed "/>
    <s v="Failed"/>
    <x v="0"/>
    <m/>
    <m/>
    <m/>
    <m/>
    <s v="Candiadate is not satble , potential attrition and his both languages are below the nevau needed , he is also a jumper as he moved within 9 months to 3 companies and he spoke negatively about his previous company and the Managemtn team "/>
    <m/>
  </r>
  <r>
    <s v="Amr Omar - offer declined"/>
    <s v="amr_omar_de@yahoo.com"/>
    <x v="28"/>
    <s v="Audi "/>
    <s v="SD Analyst German  "/>
    <s v="A4"/>
    <s v="Farah Helmy "/>
    <m/>
    <s v="Done "/>
    <s v="Passed"/>
    <s v="Passed"/>
    <x v="2"/>
    <m/>
    <m/>
    <m/>
    <m/>
    <s v="Amr is good in German and english he has a huge experience in Callcenter and also eager to learn , he has technical background "/>
    <m/>
  </r>
  <r>
    <s v="Youmna Hossam Eldin "/>
    <s v="yomna.hosam22@gmail.com"/>
    <x v="28"/>
    <s v="Audi "/>
    <s v="SD Analyst German  "/>
    <s v="A4"/>
    <s v="Farah Helmy "/>
    <m/>
    <s v="Done "/>
    <s v="Failed "/>
    <s v="Failed"/>
    <x v="0"/>
    <m/>
    <m/>
    <m/>
    <m/>
    <s v="Candidate Rejected due to the english and Tech , she is good in german and also she has Amazon Experience  "/>
    <m/>
  </r>
  <r>
    <s v="Zekra Magdy "/>
    <s v="zekramagdy47@gmail.com"/>
    <x v="28"/>
    <s v="Audi "/>
    <s v="SD Analyst German  "/>
    <s v="A4"/>
    <s v="Farah Helmy "/>
    <m/>
    <m/>
    <s v="NCNS"/>
    <s v="NCNS"/>
    <x v="1"/>
    <m/>
    <m/>
    <m/>
    <m/>
    <m/>
    <m/>
  </r>
  <r>
    <s v="Mahmoud Bayoumi "/>
    <s v="bayoumim.2003@gmail.com"/>
    <x v="28"/>
    <s v="Audi "/>
    <s v="SD Analyst German  "/>
    <s v="A4"/>
    <s v="Farah Helmy "/>
    <m/>
    <s v="Done "/>
    <s v="Failed "/>
    <s v="Failed"/>
    <x v="0"/>
    <m/>
    <m/>
    <m/>
    <m/>
    <s v="Candidate b1 - English A1 he is not fit for the Role "/>
    <m/>
  </r>
  <r>
    <s v="Abdelrahman Mustafa Ouf "/>
    <s v="abdelrhmanouf5@gmail.com"/>
    <x v="28"/>
    <s v="Audi "/>
    <s v="SD Analyst German  "/>
    <s v="A4"/>
    <s v="Farah Helmy "/>
    <m/>
    <s v="Done "/>
    <s v="Failed "/>
    <s v="Failed"/>
    <x v="0"/>
    <m/>
    <m/>
    <m/>
    <m/>
    <s v="Abdelrahman demonstrated stronger English proficiency than German. He learned German through self-study and has approximately three years of experience with Amazon. During the interview, he showed articulation and pronunciation challenges, along with several grammatical mistakes in German. While he has relevant professional experience, his German communication skills are currently below the level required for a Service Desk role."/>
    <m/>
  </r>
  <r>
    <s v="Soad Saeed "/>
    <s v="Soadsaied300985@yahoo.com"/>
    <x v="28"/>
    <s v="Audi "/>
    <s v="SD Analyst German  "/>
    <s v="A4"/>
    <s v="Farah Helmy "/>
    <m/>
    <s v="Done "/>
    <s v="Failed "/>
    <s v="Failed"/>
    <x v="0"/>
    <m/>
    <m/>
    <m/>
    <m/>
    <s v="Soad has extensive professional experience across multiple companies. However, during the assessment, there were concerns regarding her professional approach and overall fit with the team's expectations and culture. Based on the interview evaluation, there are reservations about proceeding with her candidacy at this stage. Therefore, I would not recommend moving forward with her application for this role."/>
    <m/>
  </r>
  <r>
    <s v="sherif Henidi"/>
    <s v="sherifhenidi5@gmail.com"/>
    <x v="28"/>
    <s v="Audi "/>
    <s v="SD Analyst German  "/>
    <s v="A4"/>
    <s v="Farah Helmy "/>
    <m/>
    <m/>
    <s v="NCNS"/>
    <s v="NCNS"/>
    <x v="1"/>
    <m/>
    <m/>
    <m/>
    <m/>
    <m/>
    <m/>
  </r>
  <r>
    <s v="Ahmed Adel "/>
    <s v="lody21516@gmail.com"/>
    <x v="28"/>
    <s v="Audi "/>
    <s v="SD Analyst German  "/>
    <s v="A4"/>
    <s v="Farah Helmy "/>
    <m/>
    <s v="Done "/>
    <s v="Failed "/>
    <s v="Failed"/>
    <x v="0"/>
    <m/>
    <m/>
    <m/>
    <m/>
    <s v="Ahmed Adel demonstrated approximately B1-level German proficiency. He is a self-taught German speaker; however, the interview revealed a high number of grammatical errors, sentence structure issues, pronunciation challenges, and comprehension gaps. His overall communication was impacted by difficulties in understanding and formulating accurate responses in German."/>
    <m/>
  </r>
  <r>
    <s v="Marawan Ali "/>
    <s v="maroaly2002@gmail.com"/>
    <x v="28"/>
    <s v="Audi "/>
    <s v="SD Analyst German  "/>
    <s v="A4"/>
    <s v="Farah Helmy "/>
    <m/>
    <m/>
    <s v="NCNS"/>
    <s v="NCNS"/>
    <x v="1"/>
    <m/>
    <m/>
    <m/>
    <m/>
    <m/>
    <m/>
  </r>
  <r>
    <s v="Bassant Selim"/>
    <s v="bassantsabry23@gmail.com"/>
    <x v="28"/>
    <s v="Audi "/>
    <s v="SD Analyst German  "/>
    <s v="A4"/>
    <s v="Farah Helmy "/>
    <m/>
    <s v="Done "/>
    <s v="Failed "/>
    <s v="Failed"/>
    <x v="0"/>
    <m/>
    <m/>
    <m/>
    <m/>
    <s v="Bassant's Language level was below the german level needed , english was also almsost A1 - no technical Background "/>
    <m/>
  </r>
  <r>
    <s v="Mohamed Mohey "/>
    <s v="mohamedmohey7151@gmail.com"/>
    <x v="29"/>
    <s v="Audi "/>
    <s v="Quality Analyst German"/>
    <s v="A5"/>
    <s v="Farah Helmy "/>
    <m/>
    <s v="Done "/>
    <s v="Passed"/>
    <s v="Passed"/>
    <x v="2"/>
    <m/>
    <m/>
    <m/>
    <m/>
    <s v="Mohamed was very good and overtall fit for the position with also QA experience "/>
    <m/>
  </r>
  <r>
    <s v="Mohab Aboud"/>
    <s v="mohabessam55@gmail.com"/>
    <x v="29"/>
    <s v="Audi "/>
    <s v="SD Analyst German  "/>
    <s v="A4"/>
    <s v="Farah Helmy "/>
    <m/>
    <s v="Done "/>
    <s v="Failed "/>
    <s v="Failed"/>
    <x v="0"/>
    <m/>
    <m/>
    <m/>
    <m/>
    <s v="Mohab's Language was b1 and he has also average english - he studied german as Self study and he is not fit for the SD Role "/>
    <m/>
  </r>
  <r>
    <s v="Reham Safwat "/>
    <s v="rihamsafwat00@gmail.com"/>
    <x v="29"/>
    <s v="Audi "/>
    <s v="SD Analyst German  "/>
    <s v="A4"/>
    <s v="Farah Helmy "/>
    <m/>
    <m/>
    <s v="Cancelled "/>
    <s v="Cancelled "/>
    <x v="10"/>
    <m/>
    <m/>
    <m/>
    <m/>
    <s v="Candidate Apologized "/>
    <m/>
  </r>
  <r>
    <s v="Salma Mohamed Abdelfattah "/>
    <s v="177salmamo7amed@gmail.com"/>
    <x v="29"/>
    <s v="Audi "/>
    <s v="SD Analyst German  "/>
    <s v="A4"/>
    <s v="Farah Helmy "/>
    <m/>
    <m/>
    <s v="Failed "/>
    <s v="Failed"/>
    <x v="0"/>
    <m/>
    <m/>
    <m/>
    <m/>
    <s v="Salma has experience working with Amazon; however, during the assessment, her German proficiency was below the level required for the Service Desk role. She demonstrated frequent grammatical errors and faced challenges expressing herself clearly in both German and English._x000a__x000a_Additionally, she did not demonstrate the level of technical understanding, problem-solving approach, or technical mindset expected for a Service Desk position. Based on the language assessment and overall evaluation, she is currently not a fit for the SD role. Areas for development include German language accuracy, communication skills, and foundational technical knowledge."/>
    <m/>
  </r>
  <r>
    <s v="Nada Ibrahim"/>
    <s v="nadaebrahim952@gmail.com"/>
    <x v="29"/>
    <s v="Audi "/>
    <s v="SD Analyst German  "/>
    <s v="A4"/>
    <s v="Farah Helmy "/>
    <m/>
    <s v="Done "/>
    <s v="Passed"/>
    <s v="Passed"/>
    <x v="2"/>
    <m/>
    <m/>
    <m/>
    <m/>
    <s v="Nada Is good in German and english , she has no technical background only amazon experience she is eager to learn and potential fit for the SD Role "/>
    <m/>
  </r>
  <r>
    <s v="Abdelrahman Mohamed"/>
    <s v="mabdelrahman818@gmail.com"/>
    <x v="29"/>
    <s v="Audi "/>
    <s v="SD Analyst German  "/>
    <s v="A4"/>
    <s v="Farah Helmy "/>
    <m/>
    <s v="Done "/>
    <s v="Passed"/>
    <s v="Passed"/>
    <x v="2"/>
    <m/>
    <m/>
    <m/>
    <m/>
    <s v="Candidate was very good in German and he has almost 3 years of experience in the callcenter . he is also having a technical background and potential fit for the role "/>
    <m/>
  </r>
  <r>
    <s v="Amany Hassan"/>
    <s v="Amanyhassan067@gmail.com"/>
    <x v="30"/>
    <s v="Audi "/>
    <s v="SD Analyst German  "/>
    <s v="A4"/>
    <s v="Farah Helmy "/>
    <m/>
    <s v="Done "/>
    <s v="Passed"/>
    <s v="Passed"/>
    <x v="2"/>
    <m/>
    <m/>
    <m/>
    <m/>
    <s v="Amany was good in german and also she has an experience of almost 2 years in call center with TP and Microsoft . she hs a technical background and potential fit for SD Role "/>
    <m/>
  </r>
  <r>
    <s v="Mohamed Hatem"/>
    <s v="mh477090@gmail.com"/>
    <x v="30"/>
    <s v="Audi "/>
    <s v="SD Analyst German  "/>
    <s v="A4"/>
    <s v="Farah Helmy "/>
    <m/>
    <s v="Done "/>
    <s v="Passed"/>
    <s v="Passed"/>
    <x v="2"/>
    <m/>
    <m/>
    <m/>
    <m/>
    <s v="Mohamd was very good in German and technical as he studied CCNA and worked with Concentrix Amazon and ePay and he is potential for SD Role , his englihs needs some improvement "/>
    <m/>
  </r>
  <r>
    <s v="Bassel Mohamed "/>
    <s v="Basselmohammed7@gmail.com"/>
    <x v="30"/>
    <s v="Audi "/>
    <s v="SD Analyst German  "/>
    <s v="A4"/>
    <s v="Farah Helmy "/>
    <m/>
    <s v="Done "/>
    <s v="Passed"/>
    <s v="Passed"/>
    <x v="2"/>
    <m/>
    <m/>
    <m/>
    <m/>
    <s v="Bassel was very good in German and english also he has technical background he is b2+ with good command of englihs and he fits for the role "/>
    <m/>
  </r>
  <r>
    <s v="Ahmed Nasser "/>
    <s v="ahhmednassr1212@gmail.com"/>
    <x v="30"/>
    <s v="Audi "/>
    <s v="SD Analyst German  "/>
    <s v="A4"/>
    <s v="Farah Helmy "/>
    <m/>
    <s v="Done "/>
    <s v="Failed "/>
    <s v="Failed"/>
    <x v="0"/>
    <m/>
    <m/>
    <m/>
    <m/>
    <s v="Ahmed Nasser's German is b2 and he has fair tech background but he studied german self study and he was having some gramatic mistakes so he is not potential for the Role"/>
    <m/>
  </r>
  <r>
    <s v="Mahmoud Salah "/>
    <s v="mahmoudsalahshaker@gmail.com"/>
    <x v="30"/>
    <s v="Audi "/>
    <s v="SD Analyst German  "/>
    <s v="A4"/>
    <s v="Farah Helmy "/>
    <m/>
    <s v="Done "/>
    <s v="Passed"/>
    <s v="Passed"/>
    <x v="2"/>
    <m/>
    <m/>
    <m/>
    <m/>
    <s v="Mahmoud was very good in both german and english - he has strong tech background - he is fit for SD role "/>
    <m/>
  </r>
  <r>
    <s v="Ahmed Mostafa "/>
    <s v="ahmed1911moustafa@gmail.com"/>
    <x v="31"/>
    <s v="Audi "/>
    <s v="SD Analyst German  "/>
    <s v="A4"/>
    <s v="Farah Helmy "/>
    <m/>
    <s v="Done "/>
    <s v="Failed "/>
    <s v="Failed"/>
    <x v="0"/>
    <m/>
    <m/>
    <m/>
    <m/>
    <s v="The candidate was highly talkative during the interview and displayed a challenging attitude at times. Although he demonstrated strong German and English communication skills, he appeared overly self-confident, which impacted the overall interview experience. From a technical perspective, he does not have a relevant technical background, which is a concern for this role. He is not recommended  "/>
    <m/>
  </r>
  <r>
    <s v="Ahmed Hammad "/>
    <s v="ahmahmd21123@gmail.com"/>
    <x v="31"/>
    <s v="Audi "/>
    <s v="SD Analyst German  "/>
    <s v="A4"/>
    <s v="Farah Helmy "/>
    <m/>
    <s v="Done "/>
    <s v="Failed "/>
    <s v="Failed"/>
    <x v="0"/>
    <m/>
    <m/>
    <m/>
    <m/>
    <s v="Ahmed's German proficiency is below the level required for the Service Desk role, estimated at approximately B1 level. He demonstrated noticeable fluency limitations and struggled to express himself effectively during the interview. His language learning background is primarily self-study, which was reflected in his communication and language structure._x000a__x000a_From a professional perspective, he has experience mainly with Amazon and does not possess a technical background relevant to the requirements of the Service Desk position. His overall profile does not demonstrate the combination of language proficiency and technical aptitude needed for the role."/>
    <m/>
  </r>
  <r>
    <s v="Monera Mostafa "/>
    <s v="moneramostafarashwan@gmail.com"/>
    <x v="31"/>
    <s v="Audi "/>
    <s v="SD Analyst German  "/>
    <s v="A4"/>
    <s v="Farah Helmy "/>
    <m/>
    <s v="Done "/>
    <s v="Passed"/>
    <s v="Passed"/>
    <x v="2"/>
    <m/>
    <m/>
    <m/>
    <m/>
    <s v="Monera was very good in german and also fair in englihs , she has 3 years of experience in Care , Amazon , she has tech mindset , she is potential for SD Role "/>
    <m/>
  </r>
  <r>
    <s v="Wafaa ElAfandy"/>
    <s v="wafaaelafandy990@gmail.com"/>
    <x v="31"/>
    <s v="Audi "/>
    <s v="SD Analyst German  "/>
    <s v="A4"/>
    <s v="Farah Helmy "/>
    <m/>
    <s v="Done "/>
    <s v="Failed "/>
    <s v="Failed"/>
    <x v="0"/>
    <m/>
    <m/>
    <m/>
    <m/>
    <s v="Wafaa's German was below level , sie mentioned  she has C1 certificate however her German was full of fluency and gramatic mistakes , she has only 1 year experience as a tour leader  in Hurghada , she has no technical background she had an understanding issues for her some technical terms unknown "/>
    <m/>
  </r>
  <r>
    <s v="Ahmed Ali Hassan "/>
    <s v="gazara833@gmail.com"/>
    <x v="31"/>
    <s v="Audi "/>
    <s v="SD Analyst German  "/>
    <s v="A4"/>
    <s v="Farah Helmy "/>
    <m/>
    <s v="Done "/>
    <s v="NCNS"/>
    <s v="NCNS"/>
    <x v="1"/>
    <m/>
    <m/>
    <m/>
    <m/>
    <s v="Ahmed Didn't show up"/>
    <m/>
  </r>
  <r>
    <s v="Nada Gamal"/>
    <s v="nada88312@gmail.com"/>
    <x v="31"/>
    <s v="Audi "/>
    <s v="SD Analyst German  "/>
    <s v="A4"/>
    <s v="Farah Helmy "/>
    <m/>
    <s v="Done "/>
    <s v="Passed"/>
    <s v="Passed"/>
    <x v="2"/>
    <m/>
    <m/>
    <m/>
    <m/>
    <s v="Nada was very good in english and she is speaking Germna , Turkish and english alsong with Arabic , she has technical mindset , she is alsao good in english . she is fit for the role "/>
    <m/>
  </r>
  <r>
    <s v="Mohamed essam Khedr"/>
    <s v="Me69840@gmail.com"/>
    <x v="31"/>
    <s v="Audi "/>
    <s v="SD Analyst German  "/>
    <s v="A4"/>
    <s v="Farah Helmy "/>
    <m/>
    <s v="Done "/>
    <s v="Failed "/>
    <s v="Failed"/>
    <x v="0"/>
    <m/>
    <m/>
    <m/>
    <m/>
    <s v="Mohamed didn't study the Language academic , he just joined an instititute and his german was below th nevau needed . he has only englihs experience and worked by TP in she in Account . he is not at all fit for the role  his englihs is very bad "/>
    <m/>
  </r>
  <r>
    <s v="Marwa Ossama "/>
    <s v="asamhmrwh123@gmail.com"/>
    <x v="31"/>
    <s v="Audi "/>
    <s v="SD Analyst German  "/>
    <s v="A4"/>
    <s v="Farah Helmy "/>
    <m/>
    <s v="Done "/>
    <s v="Failed "/>
    <s v="Failed"/>
    <x v="0"/>
    <m/>
    <m/>
    <m/>
    <m/>
    <s v="Marwa is fresh graduate , no experience , low german and also no tech background "/>
    <m/>
  </r>
  <r>
    <s v="Heba Ragheb"/>
    <s v="habhobaomar154@gmail.com"/>
    <x v="31"/>
    <s v="Audi "/>
    <s v="SD Team Leader "/>
    <s v="B2"/>
    <s v="Farah Helmy "/>
    <m/>
    <s v="Done "/>
    <s v="Failed "/>
    <s v="Failed"/>
    <x v="0"/>
    <m/>
    <m/>
    <m/>
    <m/>
    <s v="Heba is good in english , she has only SME Knowledge as she worked on Microsoft and she is well in technical info , she is very potential Snr SD not Team leader . she did learn the german alone . she has not previous managerial role .i recommend her for Snr Role . she is b2 certified . for TL role we need C1 "/>
    <m/>
  </r>
  <r>
    <s v="Muhammad Esmail "/>
    <s v="mohamedbohy55@gmail.com"/>
    <x v="31"/>
    <s v="Audi "/>
    <s v="SD Analyst German  "/>
    <s v="A4"/>
    <s v="Farah Helmy "/>
    <m/>
    <m/>
    <s v="Cancelled "/>
    <s v="Cancelled "/>
    <x v="10"/>
    <m/>
    <m/>
    <m/>
    <m/>
    <m/>
    <m/>
  </r>
  <r>
    <s v="Habiba Hesham Sakran "/>
    <s v="habibasakran154@gmail.com"/>
    <x v="32"/>
    <s v="Audi "/>
    <s v="SD Analyst German  "/>
    <s v="A4"/>
    <s v="Hana Kenan"/>
    <m/>
    <s v="Done "/>
    <s v="Failed "/>
    <s v="Failed"/>
    <x v="0"/>
    <m/>
    <m/>
    <m/>
    <m/>
    <s v="Habiba's German is below the b2 she has many gramatic mistakes , she has an experience of 4 years in call center but her german and english were below the Needed level for SD Role , she has no technical background "/>
    <m/>
  </r>
  <r>
    <s v="Muhammed Talaat"/>
    <s v="talaat.mts@gmail.com"/>
    <x v="32"/>
    <s v="Audi "/>
    <s v="SD Analyst German  "/>
    <s v="A4"/>
    <s v="Hana Kenan"/>
    <m/>
    <m/>
    <s v="Failed "/>
    <s v="Failed"/>
    <x v="0"/>
    <m/>
    <m/>
    <m/>
    <m/>
    <s v="Mohamed holds a Goethe B2 certificate and is a certified B2 German speaker. However, his language proficiency does not yet meet the level typically expected for a C1-oriented Service Desk role. Although he communicates adequately, he demonstrated multiple grammatical mistakes throughout the interview and occasionally struggled with sentence structure and expression._x000a__x000a_Professionally, Mohamed is a pharmacist by background and has approximately two years of experience with Concentrix on the Expedia account. While he possesses customer service experience, he does not have a technical background or relevant IT support experience, which is a key requirement for the role._x000a__x000a_From a motivation and retention perspective, Mohamed mentioned that his primary career objective is to relocate to Germany. This may present a potential attrition risk in the medium term should suitable relocation opportunities arise."/>
    <m/>
  </r>
  <r>
    <s v="Dalia ElSabbagh"/>
    <s v="daliaelsabbagh059@gmail.com"/>
    <x v="32"/>
    <s v="Audi "/>
    <s v="SD Analyst German  "/>
    <s v="A4"/>
    <s v="Hana Kenan"/>
    <m/>
    <s v="Done "/>
    <s v="Passed"/>
    <s v="Passed"/>
    <x v="2"/>
    <m/>
    <m/>
    <m/>
    <m/>
    <s v="Dalia demonstrated very strong communication skills in both German and English. She was able to express herself fluently and confidently throughout the interview, showing a solid command of both languages despite being a fresh graduate._x000a__x000a_Although she does not have prior professional experience, she displayed a good technical mindset and strong analytical thinking. She was able to understand technical concepts quickly and showed the potential to adapt well to a Service Desk environment._x000a__x000a_Additionally, Dalia presented a highly positive attitude and a strong willingness to learn and develop her skills. She appeared motivated, eager to grow professionally, and open to receiving training and guidance."/>
    <m/>
  </r>
  <r>
    <s v="Abdelrahman Gaber"/>
    <s v="abdelrahmang9811@gmail.com"/>
    <x v="32"/>
    <s v="Audi "/>
    <s v="SD Analyst German  "/>
    <s v="A4"/>
    <s v="Hana Kenan"/>
    <m/>
    <m/>
    <s v="Failed "/>
    <s v="Failed"/>
    <x v="0"/>
    <m/>
    <m/>
    <m/>
    <m/>
    <s v="Abdelrahman has an academic background in Commerce and studied German through additional language courses outside of his university education. During the interview, his German proficiency was below the level required for the role, and his English communication skills were also below the expected standard._x000a__x000a_He does not have any previous customer service, call center, or technical support experience, nor did he demonstrate the technical aptitude required for a Service Desk position. His responses indicated limited exposure to professional customer-facing environments and insufficient readiness for the demands of the role."/>
    <m/>
  </r>
  <r>
    <s v="Mohamed EssamEldin "/>
    <s v="messamthabtet@gmail.com"/>
    <x v="32"/>
    <s v="Audi "/>
    <s v="SD Analyst German  "/>
    <s v="A4"/>
    <s v="Hana Kenan"/>
    <m/>
    <m/>
    <s v="Rescheduled "/>
    <s v="Rescheduled "/>
    <x v="8"/>
    <m/>
    <m/>
    <m/>
    <m/>
    <m/>
    <m/>
  </r>
  <r>
    <s v="Ammar Yasser "/>
    <s v="ammaryasser0115@gmail.com"/>
    <x v="32"/>
    <s v="Audi "/>
    <s v="SD Analyst German  "/>
    <s v="A4"/>
    <s v="Hana Kenan"/>
    <m/>
    <s v="Done "/>
    <s v="Passed"/>
    <s v="Passed"/>
    <x v="2"/>
    <m/>
    <m/>
    <m/>
    <m/>
    <s v="Ammar was very good in German and englihs although he has only b2 certificate , he did studied the German by his own and with many schools , he has an experience of 2 years in TP and also Intouch CX , he has a good technical background "/>
    <m/>
  </r>
  <r>
    <s v="Ahmed Mostafa Mohamed "/>
    <s v="ahmedmostafa19981998@gmail.com"/>
    <x v="32"/>
    <s v="Audi "/>
    <s v="SD Analyst German  "/>
    <s v="A4"/>
    <s v="Hana Kenan"/>
    <m/>
    <s v="Done "/>
    <s v="Failed "/>
    <s v="Failed"/>
    <x v="0"/>
    <m/>
    <m/>
    <m/>
    <m/>
    <s v="Ahmed Mostafa learned German through self-study and courses at Deutsche Ecke, reaching an estimated B2 level. However, he does not hold any recognized German language certifications to validate his proficiency. During the interview, his English communication skills were significantly below the level required for the role, which would impact his ability to effectively communicate in an international Service Desk environment._x000a__x000a_In terms of professional experience, Ahmed does not have any customer service, call center, or technical support experience. He also did not demonstrate the technical aptitude or background expected for a technical support or Service Desk position."/>
    <m/>
  </r>
  <r>
    <s v="Omar Shawky "/>
    <s v="omarshawky8000@gmail.com"/>
    <x v="32"/>
    <s v="Audi "/>
    <s v="SD Analyst German  "/>
    <s v="A4"/>
    <s v="Hana Kenan"/>
    <m/>
    <s v="Done "/>
    <s v="Failed "/>
    <s v="Failed"/>
    <x v="0"/>
    <m/>
    <m/>
    <m/>
    <m/>
    <s v="Omar learned German through self-study and demonstrated noticeable challenges in language comprehension during the interview. He had major understanding issues, which impacted his ability to effectively follow questions and communicate complex ideas. His German proficiency is below the level required for the role._x000a__x000a_Academically, Omar studied English and is currently 23 years old. Professionally, he has approximately two years of customer service experience in English-speaking roles. However, he does not have any technical support, IT, or Service Desk experience and did not demonstrate the technical mindset required for a technical support position._x000a__x000a_Based on his communication style and background, his profile appears to be more aligned with sales-oriented positions rather than technical customer support or Service Desk roles."/>
    <m/>
  </r>
  <r>
    <s v="Mariam Ahmed"/>
    <s v="marimahmed6670@gmail.com"/>
    <x v="32"/>
    <s v="Audi "/>
    <s v="SD Analyst German  "/>
    <s v="A4"/>
    <s v="Hana Kenan"/>
    <m/>
    <s v="Done "/>
    <s v="Failed "/>
    <s v="Failed"/>
    <x v="0"/>
    <m/>
    <m/>
    <m/>
    <m/>
    <s v="Mariam's German proficiency is below the level required for the role. During the interview, she demonstrated several pronunciation issues, frequent grammatical mistakes, and difficulties expressing herself fluently. At times, she appeared to rely on reading prepared responses rather than communicating naturally, which negatively impacted the overall assessment of her language skills._x000a__x000a_Her English proficiency is approximately at a B1 level, which is also below the expected standard for the position. While she has around two years of customer service experience, her professional background is limited to customer care and does not include any technical support or IT-related experience._x000a__x000a_Additionally, Mariam did not demonstrate the technical aptitude or problem-solving mindset required for a Service Desk role."/>
    <m/>
  </r>
  <r>
    <s v="Ahmed Shaaban "/>
    <s v="hrahmedshaban@icloud.com"/>
    <x v="32"/>
    <s v="Audi "/>
    <s v="SD Analyst German  "/>
    <s v="A4"/>
    <s v="Hana Kenan"/>
    <m/>
    <m/>
    <s v="NCNS"/>
    <s v="NCNS"/>
    <x v="1"/>
    <m/>
    <m/>
    <m/>
    <m/>
    <s v="Candidtae didn't show up"/>
    <m/>
  </r>
  <r>
    <s v="Mostafa Ashraf Radwan "/>
    <s v="mostafaredwan8@gmail.com"/>
    <x v="33"/>
    <s v="Audi "/>
    <s v="SD Analyst German  "/>
    <s v="A4"/>
    <s v="Farah Helmy "/>
    <m/>
    <m/>
    <s v="Passed"/>
    <s v="Passed"/>
    <x v="2"/>
    <m/>
    <m/>
    <m/>
    <m/>
    <s v="Mostafa demonstrated strong German language skills and fair English proficiency. He brings nearly 7 years of professional experience, including working with Vodafone Germany (1212), as well as experience in finance-related operations supporting clients such as FedEx and Capgemini. Throughout the interview, he showed good communication skills, customer service awareness, and the ability to work in an international environment._x000a__x000a_While his English could be stronger, his overall profile, extensive customer support experience, and professional maturity make him a suitable candidate for an L1 Service Desk role. He has the potential to perform well after onboarding and process training."/>
    <m/>
  </r>
  <r>
    <s v="Nourhan Mohamed "/>
    <s v="nourhan.mohamed@capgemini.com"/>
    <x v="33"/>
    <s v="Audi "/>
    <s v="SD Analyst German  "/>
    <s v="A4"/>
    <s v="Farah Helmy "/>
    <m/>
    <m/>
    <s v="Failed "/>
    <s v="Failed"/>
    <x v="0"/>
    <m/>
    <m/>
    <m/>
    <m/>
    <s v="Nourhan's german was below b1 due to none use and also english was below b1 , she hs an experience in collection with fedex , Vodafone and odegio but her German and tech background was really below the minimum needed profile for the AUDI SD role"/>
    <m/>
  </r>
  <r>
    <s v="Ahmed Mansour "/>
    <s v="basmed2614@gmail.com"/>
    <x v="33"/>
    <s v="Audi "/>
    <s v="SD Analyst German  "/>
    <s v="A4"/>
    <s v="Hana Kenan"/>
    <m/>
    <s v="Done "/>
    <s v="Passed"/>
    <s v="Passed"/>
    <x v="2"/>
    <m/>
    <m/>
    <m/>
    <m/>
    <s v="Ahmed studied both Russian and German at university and has solid customer service experience spanning approximately 6 years. His professional background includes experience in the tourism industry with FTI, as well as customer support roles, including 1 year with Amazon and 5 years with Microsoft. This experience has helped him develop strong customer-facing, communication, and problem-solving skills._x000a__x000a_During the interview, Ahmed demonstrated good German language proficiency and quite good English communication skills. He was able to express himself clearly and confidently in both languages. His extensive customer support background, combined with his language capabilities and professional experience in multinational environments, makes him a strong fit for the position._x000a__x000a_Overall, Ahmed presents a well-rounded profile and has the required communication skills, customer service mindset, and professional maturity to succeed in the role."/>
    <m/>
  </r>
  <r>
    <s v="Mohamed Ali "/>
    <s v="mohamed.e.ali@capgemini.com"/>
    <x v="33"/>
    <s v="Audi "/>
    <s v="SD Analyst German  "/>
    <s v="A4"/>
    <s v="Farah Helmy "/>
    <m/>
    <m/>
    <s v="Failed "/>
    <s v="Failed"/>
    <x v="0"/>
    <m/>
    <m/>
    <m/>
    <m/>
    <s v="Mohamed Ali was very limited in the German language and also has no technical background at all , his english is fair or moderate , he needs to work on his german language , he has also no certificates for the german "/>
    <m/>
  </r>
  <r>
    <s v="Mostafa Mohamed Ali_x000a_Abdo"/>
    <s v="Mohamed.most99999@gmail.com"/>
    <x v="33"/>
    <s v="Audi "/>
    <s v="SD Analyst German  "/>
    <s v="A4"/>
    <s v="Farah Helmy "/>
    <m/>
    <m/>
    <s v="Failed "/>
    <s v="Failed"/>
    <x v="0"/>
    <m/>
    <m/>
    <m/>
    <m/>
    <s v="Mostafa's both language were below level , he has no technical background , he is not fit at all for the position "/>
    <m/>
  </r>
  <r>
    <s v="Marawan Ali "/>
    <s v="maroaly2002@gmail.com"/>
    <x v="33"/>
    <s v="Audi "/>
    <s v="SD Analyst German  "/>
    <s v="A4"/>
    <s v="Farah Helmy "/>
    <m/>
    <s v="Done "/>
    <s v="Failed "/>
    <s v="Failed"/>
    <x v="0"/>
    <m/>
    <m/>
    <m/>
    <m/>
    <s v="Marwan was pretty much overwhelmed with the German and also with the english , he has no technical background , he is fit for the SD role "/>
    <m/>
  </r>
  <r>
    <s v="Somaya Khaled Amer "/>
    <s v="somiaame123@gmail.com"/>
    <x v="34"/>
    <s v="Audi "/>
    <s v="SD Analyst German  "/>
    <s v="A4"/>
    <s v="Hana Kenan"/>
    <m/>
    <s v="Done "/>
    <s v="Failed "/>
    <s v="Failed"/>
    <x v="0"/>
    <m/>
    <m/>
    <m/>
    <m/>
    <s v="Somaya demonstrated German language proficiency below the level required for the role, with performance assessed at approximately B1 level. Her English communication skills were also below the expected standard, and she experienced difficulties understanding some interview questions. Throughout the interview, challenges were observed in both language comprehension and pronunciation in German and English. Additionally, she does not currently have a technical background relevant to the Service Desk position. Based on the language proficiency and role requirements, she is not recommended to proceed for this opportunity."/>
    <m/>
  </r>
  <r>
    <s v="Nada Khaled Salah"/>
    <s v="nada.k.salahh@gmail.com"/>
    <x v="34"/>
    <s v="Audi "/>
    <s v="SD Analyst German  "/>
    <s v="A4"/>
    <s v="Hana Kenan"/>
    <m/>
    <s v="Done "/>
    <s v="Failed "/>
    <s v="Failed"/>
    <x v="0"/>
    <m/>
    <m/>
    <m/>
    <m/>
    <s v="Nada studied German at the Faculty of Languages and has around two years of back-office experience with Temu. However, during the interview, she appeared overwhelmed in both German and English communication. She faced difficulties expressing herself clearly and maintaining fluent communication throughout the discussion. Her English level is approximately A2, which is below the requirement for the role._x000a__x000a_Additionally, she does not have a technical background or technical support experience."/>
    <m/>
  </r>
  <r>
    <s v="shahinda Ali"/>
    <s v="redoda72@gmail.com"/>
    <x v="34"/>
    <s v="Audi "/>
    <s v="SD Analyst German  "/>
    <s v="A4"/>
    <s v="Hana Kenan"/>
    <m/>
    <s v="Done "/>
    <s v="Passed"/>
    <s v="Passed"/>
    <x v="2"/>
    <m/>
    <m/>
    <m/>
    <m/>
    <s v="Shahinda was very good in German she has also fair technical backdround also english was moderate so she fits for the role "/>
    <m/>
  </r>
  <r>
    <s v="Mohamed Essam Eldin Ahmed Thabet"/>
    <s v="messamthabtet@gmail.com"/>
    <x v="34"/>
    <s v="Audi "/>
    <s v="SD Analyst German  "/>
    <s v="A4"/>
    <s v="Hana Kenan"/>
    <m/>
    <s v="Done "/>
    <s v="Failed "/>
    <s v="Failed"/>
    <x v="0"/>
    <m/>
    <m/>
    <m/>
    <m/>
    <s v="Mohamed Essam learned German entirely through self-study. During the interview, his German proficiency was assessed at approximately B1 level, with noticeable limitations in fluency, vocabulary, and overall communication. His English proficiency is also around B1 level, which is below the desired level for the role._x000a__x000a_He does not have any customer service or customer care experience. However, he possesses a technical background, which demonstrates an understanding of technical concepts and could be beneficial in technical environments."/>
    <m/>
  </r>
  <r>
    <s v="Kamal Kamal"/>
    <s v="kamalkamalsaleh8@gmail.com"/>
    <x v="32"/>
    <s v="Audi "/>
    <s v="SD Analyst German  "/>
    <s v="A4"/>
    <s v="Farah Helmy "/>
    <m/>
    <m/>
    <s v="NCNS"/>
    <s v="NCNS"/>
    <x v="1"/>
    <m/>
    <m/>
    <m/>
    <m/>
    <s v="The candidate showed limited commitment and accountability during the recruitment process and did not demonstrate the level of professionalism expected for the role. Furthermore, the candidate's employment history raised significant concerns regarding stability and professional conduct. Therefore, I do not recommend moving forward with this candidate."/>
    <m/>
  </r>
  <r>
    <s v="Fatma Abdelaal"/>
    <s v="fatmaabdelaal27@gmail.com"/>
    <x v="34"/>
    <s v="Audi "/>
    <s v="SD Analyst German  "/>
    <s v="A4"/>
    <s v="Farah Helmy "/>
    <m/>
    <m/>
    <s v="NCNS"/>
    <s v="NCNS"/>
    <x v="1"/>
    <m/>
    <m/>
    <m/>
    <m/>
    <s v="Candidate didn't show up "/>
    <m/>
  </r>
  <r>
    <s v="Walaa Nash2at Mokhtar"/>
    <s v="walaarichter@gmail.com"/>
    <x v="34"/>
    <s v="Audi "/>
    <s v="German Operation Manager"/>
    <s v="C1"/>
    <s v="Hana Kenan"/>
    <m/>
    <s v="Done "/>
    <s v="Passed"/>
    <s v="Passed"/>
    <x v="2"/>
    <m/>
    <m/>
    <m/>
    <m/>
    <s v="Walaa demonstrated a very strong command of both German and English throughout the interview. She brings nearly 10 years of professional experience across customer service and technical support environments, including approximately 4 years in technical roles with Hyundai and Sky. Her communication skills were excellent, and she showed the ability to articulate complex situations clearly and professionally._x000a__x000a_Having lived in Germany for 9 years, she speaks German at a near-native level and performed exceptionally well during the German assessment. She demonstrated confidence, professionalism, and strong stakeholder management skills throughout the interview._x000a__x000a_Based on her extensive operational background, strong language capabilities, and ability to interact effectively with individuals at different organizational levels, I believe she is a strong fit for an Operations position. She also shows strong potential for Complaints Management and Operations Management roles, where her experience, communication skills, and customer-focused approach would be valuable assets."/>
    <m/>
  </r>
  <r>
    <s v="Mariam Abdo Sayed Abdo Mostafa"/>
    <s v="marimabdo83@gmail.com"/>
    <x v="35"/>
    <s v="Audi "/>
    <s v="SD Analyst German  "/>
    <s v="A4"/>
    <s v="Farah Helmy "/>
    <m/>
    <s v="Done "/>
    <s v="Passed"/>
    <s v="Passed"/>
    <x v="2"/>
    <m/>
    <m/>
    <m/>
    <m/>
    <s v="Mariam demonstrated a good command of the German language and holds a Goethe B2 certification. She brings approximately four years of customer care experience and has moderate English proficiency. Additionally, she possesses some technical knowledge and showed the potential to adapt to a Service Desk environment. Based on her language skills, customer service background, and overall profile, she is considered a potential fit for the Service Desk role."/>
    <m/>
  </r>
  <r>
    <s v="Mawada Mohamed "/>
    <s v="mawadamu307@gmail.com"/>
    <x v="35"/>
    <s v="Audi "/>
    <s v="SD Analyst German  "/>
    <s v="A4"/>
    <s v="Farah Helmy "/>
    <m/>
    <s v="Done "/>
    <s v="Passed"/>
    <s v="Passed"/>
    <x v="2"/>
    <m/>
    <m/>
    <m/>
    <m/>
    <s v="Mawada demonstrated a good level of German proficiency, having studied the language at university. Her English communication skills are fair, and she possesses some technical background that could support her transition into a Service Desk environment._x000a__x000a_She brings approximately five years of customer service experience across several well-known organizations, including Teleperformance (Zalando), Concentrix supporting Amazon Business, Foundever supporting eBay, and most recently iQor. Her extensive customer-facing experience, combined with her language capabilities and basic technical knowledge, makes her a potential candidate for the Service Desk role."/>
    <m/>
  </r>
  <r>
    <s v="Sabrina Ali "/>
    <s v="sabrinali09876543@gmail.com"/>
    <x v="36"/>
    <s v="Audi "/>
    <s v="SD Analyst German  "/>
    <s v="A4"/>
    <s v="Farah Helmy "/>
    <m/>
    <m/>
    <s v="NCNS"/>
    <s v="NCNS"/>
    <x v="1"/>
    <m/>
    <m/>
    <m/>
    <m/>
    <m/>
    <m/>
  </r>
  <r>
    <s v="Farha Muhammed Hassan "/>
    <s v="farhamfarouk@gmail.com"/>
    <x v="36"/>
    <s v="Audi "/>
    <s v="SD Analyst German  "/>
    <s v="A4"/>
    <s v="Farah Helmy "/>
    <m/>
    <s v="Done "/>
    <s v="Failed "/>
    <s v="Failed"/>
    <x v="0"/>
    <m/>
    <m/>
    <m/>
    <m/>
    <s v="Farha is a fresh graduate graduate  not stable - German is not enough for the SD Role - not aware about her english - she is not fit for SD Role "/>
    <m/>
  </r>
  <r>
    <s v="Ziad Mahdy "/>
    <s v="ziadmahdy27@gmail.com"/>
    <x v="36"/>
    <s v="Audi "/>
    <s v="SD Analyst German  "/>
    <s v="A4"/>
    <s v="Farah Helmy "/>
    <m/>
    <s v="Done "/>
    <s v="Failed "/>
    <s v="Failed"/>
    <x v="0"/>
    <m/>
    <m/>
    <m/>
    <m/>
    <s v="Undergrad - we didn't proceed with the intervoew as the candidate still in the 2nd year of his studies "/>
    <m/>
  </r>
  <r>
    <s v="Hany Ahmed "/>
    <s v="attefhany45@gmail.com"/>
    <x v="36"/>
    <s v="Audi "/>
    <s v="SD Team Leader "/>
    <s v="A4"/>
    <s v="Farah Helmy "/>
    <m/>
    <m/>
    <s v="NCNS"/>
    <s v="NCNS"/>
    <x v="1"/>
    <m/>
    <m/>
    <m/>
    <m/>
    <s v="Candidate didn't show up "/>
    <m/>
  </r>
  <r>
    <s v="Ahmed Sabry Mohamed Abdelaal"/>
    <s v="ahmed.sabry353@gmail.com"/>
    <x v="36"/>
    <s v="Audi "/>
    <s v="SD Analyst German  "/>
    <s v="A4"/>
    <s v="Farah Helmy "/>
    <m/>
    <s v="Done "/>
    <s v="Passed"/>
    <s v="Passed"/>
    <x v="2"/>
    <m/>
    <m/>
    <m/>
    <m/>
    <s v="Ahmed was good in bothe languages , he has a wide tech background and he has almost 3 years of experience in the Callcenter "/>
    <m/>
  </r>
  <r>
    <s v="Abdelrahman Yasser "/>
    <s v="abdelrahmanyasser2911@gmail.com"/>
    <x v="36"/>
    <s v="Audi "/>
    <s v="SD Analyst German  "/>
    <s v="A4"/>
    <s v="Farah Helmy "/>
    <m/>
    <s v="Done "/>
    <s v="Failed "/>
    <s v="Failed"/>
    <x v="0"/>
    <m/>
    <m/>
    <m/>
    <m/>
    <s v="Abdelrahman demonstrated a below-required level of German proficiency for the role. He exhibited a noticeable accent, several grammatical inaccuracies, and his German communication appeared to be influenced by Arabic, affecting overall fluency and natural expression. His German language skills were acquired through self-study, but he currently lacks the required proficiency level for a customer-facing Service Desk position. Additionally, his English level was below expectations, limiting his ability to communicate effectively in a bilingual environment. Based on the language assessment, he is not recommended for the role."/>
    <m/>
  </r>
  <r>
    <m/>
    <m/>
    <x v="37"/>
    <s v="Audi "/>
    <s v="SD Analyst German  "/>
    <s v="A4"/>
    <s v="Farah Helmy "/>
    <m/>
    <m/>
    <m/>
    <m/>
    <x v="11"/>
    <m/>
    <m/>
    <m/>
    <m/>
    <m/>
    <m/>
  </r>
  <r>
    <m/>
    <m/>
    <x v="37"/>
    <s v="Audi "/>
    <s v="SD Analyst German  "/>
    <s v="A4"/>
    <s v="Farah Helmy "/>
    <m/>
    <m/>
    <m/>
    <m/>
    <x v="11"/>
    <m/>
    <m/>
    <m/>
    <m/>
    <m/>
    <m/>
  </r>
  <r>
    <m/>
    <m/>
    <x v="37"/>
    <s v="Audi "/>
    <s v="SD Analyst German  "/>
    <s v="A4"/>
    <s v="Farah Helmy "/>
    <m/>
    <m/>
    <m/>
    <m/>
    <x v="11"/>
    <m/>
    <m/>
    <m/>
    <m/>
    <m/>
    <m/>
  </r>
  <r>
    <m/>
    <m/>
    <x v="37"/>
    <s v="Audi "/>
    <s v="SD Analyst German  "/>
    <s v="A4"/>
    <s v="Farah Helmy "/>
    <m/>
    <m/>
    <m/>
    <m/>
    <x v="11"/>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n v="2026"/>
    <s v="July"/>
    <s v="Permanent"/>
    <s v="CIS"/>
    <s v="VW"/>
    <x v="0"/>
    <s v="Gamal Mohammed Sayed"/>
    <s v="gamalmorsy2222@gmail.com"/>
    <n v="1013402490"/>
    <x v="0"/>
    <s v="Service Desk Analyst"/>
    <x v="0"/>
    <s v="August"/>
    <x v="0"/>
    <s v="Male"/>
  </r>
  <r>
    <n v="2026"/>
    <s v="August"/>
    <s v="Permanent"/>
    <s v="CIS"/>
    <s v="VW"/>
    <x v="1"/>
    <s v="Abdelrahman Elbarbary"/>
    <s v="aelbarbary155@gmail.com"/>
    <n v="1066527882"/>
    <x v="1"/>
    <s v="Associate Service Desk Analyst - German"/>
    <x v="1"/>
    <s v="September"/>
    <x v="1"/>
    <s v="Male"/>
  </r>
  <r>
    <n v="2026"/>
    <s v="August"/>
    <s v="Permanent"/>
    <s v="CIS"/>
    <s v="VW"/>
    <x v="1"/>
    <s v="Mohamed Khaled Makram"/>
    <s v="mokhaled9209@gmail.com"/>
    <n v="1146359665"/>
    <x v="1"/>
    <s v="Associate Service Desk Analyst - German"/>
    <x v="2"/>
    <s v="September"/>
    <x v="0"/>
    <s v="Male"/>
  </r>
  <r>
    <n v="2026"/>
    <s v="August"/>
    <s v="Permanent"/>
    <s v="CIS"/>
    <s v="VW"/>
    <x v="1"/>
    <s v="Marwan Ali Sadek"/>
    <s v="marwanali1902@gmail.com"/>
    <n v="1026626523"/>
    <x v="1"/>
    <s v="Associate Service Desk Analyst - German"/>
    <x v="3"/>
    <s v="September"/>
    <x v="0"/>
    <s v="Male"/>
  </r>
  <r>
    <n v="2026"/>
    <s v="August"/>
    <s v="Permanent"/>
    <s v="CIS"/>
    <s v="VW"/>
    <x v="1"/>
    <s v="Hossam Abdel-moneim"/>
    <s v="hossamzidane18@gmail.com"/>
    <n v="1112524085"/>
    <x v="1"/>
    <s v="Associate Service Desk Analyst - German"/>
    <x v="4"/>
    <s v="September"/>
    <x v="0"/>
    <s v="Male"/>
  </r>
  <r>
    <n v="2026"/>
    <s v="August"/>
    <s v="Permanent"/>
    <s v="CIS"/>
    <s v="VW"/>
    <x v="2"/>
    <s v="Amira Karim"/>
    <s v="karemamira43@gmail.com"/>
    <s v="_x000a_01092410940"/>
    <x v="2"/>
    <s v="Associate Service Desk Analyst - German"/>
    <x v="5"/>
    <s v="October"/>
    <x v="2"/>
    <s v="Female "/>
  </r>
  <r>
    <n v="2026"/>
    <s v="August"/>
    <s v="Permanent"/>
    <s v="CIS"/>
    <s v="VW"/>
    <x v="3"/>
    <s v="Mohamed Safwat"/>
    <s v="linuxawy9@gmail.com"/>
    <n v="1033610387"/>
    <x v="2"/>
    <s v="Associate Service Desk Analyst - German"/>
    <x v="5"/>
    <s v="October"/>
    <x v="2"/>
    <s v="Male"/>
  </r>
  <r>
    <n v="2026"/>
    <s v="August"/>
    <s v="Permanent"/>
    <s v="CIS"/>
    <s v="VW"/>
    <x v="0"/>
    <s v="Hesham Ali Mostafa"/>
    <s v="mustafa_hesham@hotmail.com"/>
    <n v="1224985215"/>
    <x v="0"/>
    <s v="Service Desk Analyst - German"/>
    <x v="5"/>
    <s v="October"/>
    <x v="2"/>
    <s v="Male"/>
  </r>
  <r>
    <n v="2026"/>
    <s v="August"/>
    <s v="Permanent"/>
    <s v="CIS"/>
    <s v="VW"/>
    <x v="1"/>
    <s v="Hagar Talaat"/>
    <s v="hager.t.ibrahim@gmail.com"/>
    <n v="1091170377"/>
    <x v="1"/>
    <s v="Associate Service Desk Analyst - German"/>
    <x v="6"/>
    <s v="September"/>
    <x v="0"/>
    <s v="Female "/>
  </r>
  <r>
    <n v="2026"/>
    <s v="August"/>
    <s v="Permanent"/>
    <s v="CIS"/>
    <s v="VW"/>
    <x v="1"/>
    <s v="Sarah ashraf algenedy"/>
    <s v="sarahashraf3010@gmail.com"/>
    <n v="1153176463"/>
    <x v="1"/>
    <s v="Associate Service Desk Analyst - German"/>
    <x v="5"/>
    <s v="October"/>
    <x v="2"/>
    <s v="Female "/>
  </r>
  <r>
    <n v="2026"/>
    <s v="August"/>
    <s v="Permanent"/>
    <s v="CIS"/>
    <s v="VW"/>
    <x v="1"/>
    <s v="Mohamed Elaidi"/>
    <s v="mohamed.elaidi.1988@gmail.com"/>
    <n v="1554524069"/>
    <x v="1"/>
    <s v="Associate Service Desk Analyst - German"/>
    <x v="7"/>
    <s v="September"/>
    <x v="0"/>
    <s v="Male"/>
  </r>
  <r>
    <n v="2026"/>
    <s v="August"/>
    <s v="Permanent"/>
    <s v="CIS"/>
    <s v="VW"/>
    <x v="1"/>
    <s v="Mohamed Magdy Fouad "/>
    <s v="mohamedmagdy.initials@gmail.com"/>
    <n v="1115826101"/>
    <x v="1"/>
    <s v="Associate Service Desk Analyst - German"/>
    <x v="7"/>
    <s v="September"/>
    <x v="0"/>
    <s v="Male"/>
  </r>
  <r>
    <n v="2026"/>
    <s v="August"/>
    <s v="Permanent"/>
    <s v="CIS"/>
    <s v="VW"/>
    <x v="1"/>
    <s v="Saleh Essam"/>
    <s v="saleh.essam878@gmail.com"/>
    <n v="1150941997"/>
    <x v="1"/>
    <s v="Associate Service Desk Analyst - German"/>
    <x v="5"/>
    <s v="October"/>
    <x v="2"/>
    <s v="Male"/>
  </r>
  <r>
    <n v="2026"/>
    <s v="August"/>
    <s v="Permanent"/>
    <s v="CIS"/>
    <s v="VW"/>
    <x v="4"/>
    <s v="Mohamed Badr "/>
    <s v="mohamedbadr01148424799@gmail.com"/>
    <n v="1148424799"/>
    <x v="3"/>
    <s v="Service Management Consultant"/>
    <x v="8"/>
    <s v="October"/>
    <x v="2"/>
    <s v="Male"/>
  </r>
  <r>
    <n v="2026"/>
    <s v="September"/>
    <s v="Permanent"/>
    <s v="CIS"/>
    <s v="VW"/>
    <x v="1"/>
    <s v="Salma Dawaly"/>
    <s v="salmadwaly@gmail.com"/>
    <n v="1010269891"/>
    <x v="1"/>
    <s v="Associate Service Desk Analyst - German"/>
    <x v="9"/>
    <s v="September"/>
    <x v="0"/>
    <s v="Female "/>
  </r>
  <r>
    <n v="2026"/>
    <s v="September"/>
    <s v="Permanent"/>
    <s v="CIS"/>
    <s v="VW"/>
    <x v="1"/>
    <s v="Habiba Zanaty"/>
    <s v="habibatarekzanaty@gmail.com"/>
    <n v="1204728319"/>
    <x v="1"/>
    <s v="Associate Service Desk Analyst - German"/>
    <x v="10"/>
    <s v="November"/>
    <x v="2"/>
    <s v="Female "/>
  </r>
  <r>
    <n v="2026"/>
    <s v="September"/>
    <s v="Permanent"/>
    <s v="CIS"/>
    <s v="VW"/>
    <x v="1"/>
    <s v="Berta Emil"/>
    <s v="berta.emil6@gmail.com"/>
    <n v="1286103944"/>
    <x v="1"/>
    <s v="Associate Service Desk Analyst - German"/>
    <x v="3"/>
    <s v="September"/>
    <x v="0"/>
    <s v="Female "/>
  </r>
  <r>
    <n v="2026"/>
    <s v="September"/>
    <s v="Permanent"/>
    <s v="CIS"/>
    <s v="VW"/>
    <x v="1"/>
    <s v="Arwa Khaled Mahmoud"/>
    <s v="arwaali3121@gmail.com"/>
    <n v="1067724464"/>
    <x v="1"/>
    <s v="Associate Service Desk Analyst - German"/>
    <x v="11"/>
    <s v="TBC"/>
    <x v="3"/>
    <s v="Female "/>
  </r>
  <r>
    <n v="2026"/>
    <s v="September"/>
    <s v="Permanent"/>
    <s v="CIS"/>
    <s v="VW"/>
    <x v="1"/>
    <s v="Hanin Bakhit Ahmed"/>
    <s v="haninyoom@gmail.com"/>
    <n v="1023423921"/>
    <x v="1"/>
    <s v="Associate Service Desk Analyst - German"/>
    <x v="12"/>
    <s v="September"/>
    <x v="2"/>
    <s v="Female "/>
  </r>
  <r>
    <n v="2026"/>
    <s v="September"/>
    <s v="Permanent"/>
    <s v="CIS"/>
    <s v="VW"/>
    <x v="1"/>
    <s v="Nada Noemen"/>
    <s v="nadanoeman32@gmail.com"/>
    <n v="1021983783"/>
    <x v="1"/>
    <s v="Associate Service Desk Analyst - German"/>
    <x v="9"/>
    <s v="September"/>
    <x v="1"/>
    <s v="Female "/>
  </r>
  <r>
    <n v="2026"/>
    <s v="September"/>
    <s v="Permanent"/>
    <s v="CIS"/>
    <s v="VW"/>
    <x v="1"/>
    <s v="Ahmed Zidan"/>
    <s v="zoz410414@gmail.com"/>
    <n v="1030384749"/>
    <x v="2"/>
    <s v="Associate Service Desk Analyst - German"/>
    <x v="5"/>
    <s v="October"/>
    <x v="2"/>
    <s v="Male"/>
  </r>
  <r>
    <n v="2026"/>
    <s v="September"/>
    <s v="Permanent"/>
    <s v="CIS"/>
    <s v="VW"/>
    <x v="2"/>
    <s v="Alaa Ahmed Madkour"/>
    <s v="aalaa.amadkour@gmail.com"/>
    <n v="1093924430"/>
    <x v="2"/>
    <s v="Associate Service Desk Analyst - German"/>
    <x v="3"/>
    <s v="September"/>
    <x v="0"/>
    <s v="Female "/>
  </r>
  <r>
    <n v="2026"/>
    <s v="September"/>
    <s v="Permanent"/>
    <s v="CIS"/>
    <s v="VW"/>
    <x v="0"/>
    <s v="Ahmed Magdy Helal "/>
    <s v="ahelal089@gmail.com"/>
    <n v="1550408444"/>
    <x v="0"/>
    <s v="Service Desk Analyst"/>
    <x v="13"/>
    <s v="October"/>
    <x v="2"/>
    <s v="Male"/>
  </r>
  <r>
    <n v="2026"/>
    <s v="September"/>
    <s v="Permanent"/>
    <s v="CIS"/>
    <s v="VW"/>
    <x v="4"/>
    <s v="Mohamed Shaaban"/>
    <s v="mohamed.mido3371@gmail.com"/>
    <n v="1126027178"/>
    <x v="3"/>
    <s v="Service Management Consultant"/>
    <x v="6"/>
    <s v="September"/>
    <x v="0"/>
    <s v="Male"/>
  </r>
  <r>
    <n v="2026"/>
    <s v="September"/>
    <s v="Permanent"/>
    <s v="CIS"/>
    <s v="VW"/>
    <x v="4"/>
    <s v="Salah eldin Yasser"/>
    <s v="salahyasser145@gmail.com"/>
    <n v="1277857509"/>
    <x v="3"/>
    <s v="Service Management Consultant"/>
    <x v="14"/>
    <s v="October"/>
    <x v="2"/>
    <s v="Male"/>
  </r>
  <r>
    <n v="2026"/>
    <s v="September"/>
    <s v="Permanent"/>
    <s v="CIS"/>
    <s v="VW"/>
    <x v="5"/>
    <s v="Noura Amer Samy"/>
    <s v="nouraamer455@gmail.com"/>
    <n v="1067843671"/>
    <x v="2"/>
    <s v="Associate Service Desk Analyst - German"/>
    <x v="6"/>
    <s v="September"/>
    <x v="2"/>
    <s v="Female "/>
  </r>
  <r>
    <n v="2026"/>
    <s v="September"/>
    <s v="Permanent"/>
    <s v="CIS"/>
    <s v="VW"/>
    <x v="2"/>
    <s v="Aya Mahmoud Mohamed "/>
    <s v="ayamajd147@gmail.com"/>
    <n v="1099645440"/>
    <x v="2"/>
    <s v="Associate Service Desk Analyst - German"/>
    <x v="6"/>
    <s v="September"/>
    <x v="0"/>
    <s v="Female "/>
  </r>
  <r>
    <n v="2026"/>
    <s v="September"/>
    <s v="Permanent"/>
    <s v="CIS"/>
    <s v="VW"/>
    <x v="1"/>
    <s v="Shahd Mohamed Ashour"/>
    <s v="shahdmuhammad31@gmail.com"/>
    <n v="1098207124"/>
    <x v="1"/>
    <s v="Associate Service Desk Analyst - German"/>
    <x v="3"/>
    <s v="September"/>
    <x v="0"/>
    <s v="Female "/>
  </r>
  <r>
    <n v="2026"/>
    <s v="September"/>
    <s v="Permanent"/>
    <s v="CIS"/>
    <s v="VW"/>
    <x v="1"/>
    <s v="Hagar Ahmed Abdelhamid"/>
    <s v="hagarahmed283156@gmail.com"/>
    <n v="1276433126"/>
    <x v="1"/>
    <s v="Associate Service Desk Analyst - German"/>
    <x v="9"/>
    <s v="September"/>
    <x v="0"/>
    <s v="Female "/>
  </r>
  <r>
    <n v="2026"/>
    <s v="September"/>
    <s v="Permanent"/>
    <s v="CIS"/>
    <s v="VW"/>
    <x v="1"/>
    <s v="Merna Ashraf "/>
    <s v="merna.a.rady@gmail.com"/>
    <n v="1099610428"/>
    <x v="1"/>
    <s v="Associate Service Desk Analyst - German"/>
    <x v="5"/>
    <s v="October"/>
    <x v="2"/>
    <s v="Female "/>
  </r>
  <r>
    <n v="2026"/>
    <s v="September"/>
    <s v="Permanent"/>
    <s v="CIS"/>
    <s v="VW"/>
    <x v="1"/>
    <s v="Doha Abdelbary"/>
    <s v="dohahamdy50@gmail.com"/>
    <n v="1027495770"/>
    <x v="1"/>
    <s v="Associate Service Desk Analyst - German"/>
    <x v="15"/>
    <s v="October"/>
    <x v="2"/>
    <s v="Female "/>
  </r>
  <r>
    <n v="2026"/>
    <s v="September"/>
    <s v="Permanent"/>
    <s v="CIS"/>
    <s v="VW"/>
    <x v="1"/>
    <s v="Mostafa Mahmoud Amer"/>
    <s v="mostafa.mah.amer26@gmail.com"/>
    <n v="1005265662"/>
    <x v="1"/>
    <s v="Associate Service Desk Analyst - German"/>
    <x v="13"/>
    <s v="October"/>
    <x v="2"/>
    <s v="Male"/>
  </r>
  <r>
    <n v="2026"/>
    <s v="September"/>
    <s v="Permanent"/>
    <s v="CIS"/>
    <s v="VW"/>
    <x v="6"/>
    <s v="Mohamed ElMetwally Mohamed"/>
    <s v="muhammed_elmetwally@outlook.com"/>
    <n v="1096390811"/>
    <x v="2"/>
    <s v="Associate Service Desk Analyst - German"/>
    <x v="13"/>
    <s v="October"/>
    <x v="2"/>
    <s v="Male"/>
  </r>
  <r>
    <n v="2026"/>
    <s v="September"/>
    <s v="Permanent"/>
    <s v="CIS"/>
    <s v="VW"/>
    <x v="6"/>
    <s v="Nouran Mohamed Nabil"/>
    <s v="nouranmnabil@gmail.com"/>
    <n v="1110112290"/>
    <x v="2"/>
    <s v="Associate Service Desk Analyst - German"/>
    <x v="16"/>
    <s v="November"/>
    <x v="2"/>
    <s v="Female "/>
  </r>
  <r>
    <n v="2026"/>
    <s v="September"/>
    <s v="Permanent"/>
    <s v="CIS"/>
    <s v="VW"/>
    <x v="6"/>
    <s v="Ziad Waleed Eid"/>
    <s v="zwaleed909@gmail.com"/>
    <n v="1000329218"/>
    <x v="2"/>
    <s v="Associate Service Desk Analyst - German"/>
    <x v="5"/>
    <s v="October"/>
    <x v="2"/>
    <s v="Male"/>
  </r>
  <r>
    <n v="2026"/>
    <s v="September"/>
    <s v="Permanent"/>
    <s v="CIS"/>
    <s v="VW"/>
    <x v="1"/>
    <s v="Ahmed Magdy "/>
    <s v="ahmedmagdyelsayed10@gmail.com"/>
    <n v="1500262248"/>
    <x v="1"/>
    <s v="Associate Service Desk Analyst - German"/>
    <x v="6"/>
    <s v="September"/>
    <x v="0"/>
    <s v="Male"/>
  </r>
  <r>
    <n v="2026"/>
    <s v="September"/>
    <s v="Permanent"/>
    <s v="CIS"/>
    <s v="VW"/>
    <x v="1"/>
    <s v="Mohamed Ayman abdelaal "/>
    <s v="mohamedayman@outlook.de"/>
    <n v="1090974030"/>
    <x v="1"/>
    <s v="Associate Service Desk Analyst - German"/>
    <x v="6"/>
    <s v="September"/>
    <x v="0"/>
    <s v="Male"/>
  </r>
  <r>
    <n v="2026"/>
    <s v="September"/>
    <s v="Permanent"/>
    <s v="CIS"/>
    <s v="VW"/>
    <x v="1"/>
    <s v="Banan Mahfouz"/>
    <s v="bonymahfouz14@gmail.com"/>
    <n v="1009843866"/>
    <x v="1"/>
    <s v="Associate Service Desk Analyst - German"/>
    <x v="6"/>
    <s v="September"/>
    <x v="0"/>
    <s v="Female "/>
  </r>
  <r>
    <n v="2026"/>
    <s v="September"/>
    <s v="Permanent"/>
    <s v="CIS"/>
    <s v="VW"/>
    <x v="1"/>
    <s v="Rawan Fadli"/>
    <s v="rawanfadli28@gmail.com"/>
    <n v="1015506011"/>
    <x v="1"/>
    <s v="Associate Service Desk Analyst - German"/>
    <x v="17"/>
    <s v="September"/>
    <x v="0"/>
    <s v="Female "/>
  </r>
  <r>
    <n v="2026"/>
    <s v="September"/>
    <s v="Permanent"/>
    <s v="CIS"/>
    <s v="VW"/>
    <x v="1"/>
    <s v="Amr Kotb"/>
    <s v="amrkhedewy@gmail.com"/>
    <n v="1113126124"/>
    <x v="1"/>
    <s v="Associate Service Desk Analyst - German"/>
    <x v="9"/>
    <s v="September"/>
    <x v="0"/>
    <s v="Male"/>
  </r>
  <r>
    <n v="2026"/>
    <s v="September"/>
    <s v="Permanent"/>
    <s v="CIS"/>
    <s v="VW"/>
    <x v="1"/>
    <s v="Noran Ashraf"/>
    <s v="nouranashraf955@gmail.com"/>
    <n v="1030816838"/>
    <x v="1"/>
    <s v="Associate Service Desk Analyst - German"/>
    <x v="14"/>
    <s v="October"/>
    <x v="2"/>
    <s v="Female "/>
  </r>
  <r>
    <n v="2026"/>
    <s v="September"/>
    <s v="Permanent"/>
    <s v="CIS"/>
    <s v="VW"/>
    <x v="2"/>
    <s v="Eman Mahmoud "/>
    <s v="emanm2192@gmail.com"/>
    <n v="1016306740"/>
    <x v="2"/>
    <s v="Associate Service Desk Analyst - German"/>
    <x v="14"/>
    <s v="October"/>
    <x v="2"/>
    <s v="Female "/>
  </r>
  <r>
    <n v="2026"/>
    <s v="September"/>
    <s v="Permanent"/>
    <s v="CIS"/>
    <s v="VW"/>
    <x v="1"/>
    <s v="Rawan Ehab "/>
    <s v="Rawanehab140@gmail.com"/>
    <n v="1276112636"/>
    <x v="1"/>
    <s v="Associate Service Desk Analyst - German"/>
    <x v="14"/>
    <s v="October"/>
    <x v="2"/>
    <s v="Female "/>
  </r>
  <r>
    <n v="2026"/>
    <s v="September"/>
    <s v="Permanent"/>
    <s v="CIS"/>
    <s v="VW"/>
    <x v="1"/>
    <s v="Ahmed Galal abuelfadl"/>
    <s v="galal.fab@gmail.com"/>
    <n v="1002025248"/>
    <x v="1"/>
    <s v="Associate Service Desk Analyst - German"/>
    <x v="6"/>
    <s v="September"/>
    <x v="0"/>
    <s v="Male"/>
  </r>
  <r>
    <n v="2026"/>
    <s v="September"/>
    <s v="Permanent"/>
    <s v="CIS"/>
    <s v="VW"/>
    <x v="1"/>
    <s v=" Nourhan Khafagy"/>
    <s v="noraboelkheir4321@gmail.com"/>
    <n v="1280927073"/>
    <x v="1"/>
    <s v="Associate Service Desk Analyst - German"/>
    <x v="3"/>
    <s v="September"/>
    <x v="0"/>
    <s v="Female "/>
  </r>
  <r>
    <n v="2026"/>
    <s v="September"/>
    <s v="Permanent"/>
    <s v="CIS"/>
    <s v="VW"/>
    <x v="1"/>
    <s v="Samar Akif"/>
    <s v="Samarakif@gmail.com"/>
    <n v="1025113396"/>
    <x v="2"/>
    <s v="Associate Service Desk Analyst - German"/>
    <x v="14"/>
    <s v="October"/>
    <x v="2"/>
    <s v="Female "/>
  </r>
  <r>
    <n v="2026"/>
    <s v="September"/>
    <s v="Permanent"/>
    <s v="CIS"/>
    <s v="VW"/>
    <x v="1"/>
    <s v="Abdelrahman Helmy"/>
    <s v="Abdelrahman.helmy2023@gmail.com"/>
    <n v="1014911581"/>
    <x v="2"/>
    <s v="Associate Service Desk Analyst - German"/>
    <x v="10"/>
    <s v="November"/>
    <x v="2"/>
    <s v="Male"/>
  </r>
  <r>
    <n v="2026"/>
    <s v="September"/>
    <s v="Permanent"/>
    <s v="CIS"/>
    <s v="VW"/>
    <x v="1"/>
    <s v="Ahmed Farag"/>
    <s v="ahmed7274farag@gmail.com"/>
    <n v="1011674840"/>
    <x v="1"/>
    <s v="Associate Service Desk Analyst - German"/>
    <x v="17"/>
    <s v="September"/>
    <x v="0"/>
    <s v="Male"/>
  </r>
  <r>
    <n v="2026"/>
    <s v="September"/>
    <s v="Permanent"/>
    <s v="CIS"/>
    <s v="VW"/>
    <x v="1"/>
    <s v="Khaled Adel"/>
    <s v="khaledadel1417@gmail.com"/>
    <n v="1102934794"/>
    <x v="1"/>
    <s v="Associate Service Desk Analyst - German"/>
    <x v="9"/>
    <s v="September"/>
    <x v="0"/>
    <s v="Male"/>
  </r>
  <r>
    <n v="2026"/>
    <s v="September"/>
    <s v="Permanent"/>
    <s v="CIS"/>
    <s v="VW"/>
    <x v="1"/>
    <s v="Hadeel Abdelkader"/>
    <s v="hadeelshafie242@gmail.com"/>
    <n v="1093108373"/>
    <x v="1"/>
    <s v="Associate Service Desk Analyst - German"/>
    <x v="6"/>
    <s v="September"/>
    <x v="1"/>
    <s v="Female "/>
  </r>
  <r>
    <n v="2026"/>
    <s v="September"/>
    <s v="Permanent"/>
    <s v="CIS"/>
    <s v="VW"/>
    <x v="1"/>
    <s v="Nancy Maged Elsharqawy"/>
    <s v="nancyelsharqawy9@gmail.com"/>
    <n v="1066486312"/>
    <x v="1"/>
    <s v="Associate Service Desk Analyst - German"/>
    <x v="14"/>
    <s v="October"/>
    <x v="4"/>
    <s v="Female "/>
  </r>
  <r>
    <n v="2026"/>
    <s v="September"/>
    <s v="Permanent"/>
    <s v="CIS"/>
    <s v="VW"/>
    <x v="1"/>
    <s v="Alaa Yehia Abdelmoniem"/>
    <s v="alaayehiaa27@gmail.com"/>
    <n v="1129514593"/>
    <x v="1"/>
    <s v="Associate Service Desk Analyst - German"/>
    <x v="18"/>
    <s v="October"/>
    <x v="4"/>
    <s v="Female "/>
  </r>
  <r>
    <n v="2026"/>
    <s v="September"/>
    <s v="Permanent"/>
    <s v="CIS"/>
    <s v="VW"/>
    <x v="1"/>
    <s v="Ahmed Saad"/>
    <s v="ahmedsa3d.3222@gmail.com"/>
    <n v="1017421236"/>
    <x v="1"/>
    <s v="Associate Service Desk Analyst - German"/>
    <x v="6"/>
    <s v="September"/>
    <x v="0"/>
    <s v="Male"/>
  </r>
  <r>
    <n v="2026"/>
    <s v="September"/>
    <s v="Permanent"/>
    <s v="CIS"/>
    <s v="VW"/>
    <x v="1"/>
    <s v="Mariam Ahmed"/>
    <s v="mariemahmadgp@gmail.com"/>
    <n v="1123196990"/>
    <x v="1"/>
    <s v="Associate Service Desk Analyst - German"/>
    <x v="11"/>
    <s v="TBC"/>
    <x v="5"/>
    <s v="Female "/>
  </r>
  <r>
    <n v="2026"/>
    <s v="September"/>
    <s v="Permanent"/>
    <s v="CIS"/>
    <s v="VW"/>
    <x v="1"/>
    <s v="kyrillos Wagdy"/>
    <s v="kyrillos.asaad99@gmail.com"/>
    <n v="1289400740"/>
    <x v="1"/>
    <s v="Associate Service Desk Analyst - German"/>
    <x v="9"/>
    <s v="September"/>
    <x v="0"/>
    <s v="Male"/>
  </r>
  <r>
    <n v="2026"/>
    <s v="September"/>
    <s v="Permanent"/>
    <s v="CIS"/>
    <s v="VW"/>
    <x v="1"/>
    <s v="Sarah Mahmoud "/>
    <s v="Sara.mahmoud.abdelwahid@gmail.com "/>
    <n v="1062681662"/>
    <x v="1"/>
    <s v="Associate Service Desk Analyst - German"/>
    <x v="9"/>
    <s v="September"/>
    <x v="0"/>
    <s v="Female "/>
  </r>
  <r>
    <n v="2026"/>
    <s v="September"/>
    <s v="Permanent"/>
    <s v="CIS"/>
    <s v="VW"/>
    <x v="7"/>
    <s v="Hoda Refaat"/>
    <m/>
    <m/>
    <x v="4"/>
    <m/>
    <x v="11"/>
    <m/>
    <x v="6"/>
    <m/>
  </r>
  <r>
    <n v="2026"/>
    <s v="September"/>
    <s v="Permanent"/>
    <s v="CIS"/>
    <s v="VW"/>
    <x v="1"/>
    <s v="Abdelwahab Mohamed Shaaban"/>
    <s v="abdomeedo121@gmail.com"/>
    <n v="1125342544"/>
    <x v="1"/>
    <s v="Associate Service Desk Analyst - German"/>
    <x v="6"/>
    <s v="September"/>
    <x v="1"/>
    <s v="Male"/>
  </r>
  <r>
    <n v="2026"/>
    <s v="September"/>
    <s v="Permanent"/>
    <s v="CIS"/>
    <s v="VW"/>
    <x v="1"/>
    <s v="Khaled Salah Eldin"/>
    <s v="khaledroos2020@gmail.com"/>
    <n v="15005392150"/>
    <x v="1"/>
    <s v="Associate Service Desk Analyst - German"/>
    <x v="10"/>
    <s v="November"/>
    <x v="4"/>
    <s v="Male"/>
  </r>
  <r>
    <n v="2026"/>
    <s v="September"/>
    <s v="Permanent"/>
    <s v="CIS"/>
    <s v="VW"/>
    <x v="1"/>
    <s v="Maryam Attia Fayad"/>
    <s v="maryamfayadh424@gmail.com"/>
    <n v="1092203661"/>
    <x v="1"/>
    <s v="Associate Service Desk Analyst - German"/>
    <x v="19"/>
    <s v="October"/>
    <x v="4"/>
    <s v="Female "/>
  </r>
  <r>
    <n v="2026"/>
    <s v="September"/>
    <s v="Permanent"/>
    <s v="CIS"/>
    <s v="VW"/>
    <x v="1"/>
    <s v="Omar Salah"/>
    <s v="o1s24680@gmail.com"/>
    <n v="1100753769"/>
    <x v="1"/>
    <s v="Associate Service Desk Analyst - German"/>
    <x v="6"/>
    <s v="September"/>
    <x v="1"/>
    <s v="Male"/>
  </r>
  <r>
    <n v="2026"/>
    <s v="September"/>
    <s v="Permanent"/>
    <s v="CIS"/>
    <s v="VW"/>
    <x v="1"/>
    <s v="Abdallah Saleh"/>
    <s v="salehabdallah313@gmail.com"/>
    <n v="1099011429"/>
    <x v="1"/>
    <s v="Associate Service Desk Analyst - German"/>
    <x v="9"/>
    <s v="September"/>
    <x v="0"/>
    <s v="Male"/>
  </r>
  <r>
    <n v="2026"/>
    <s v="September"/>
    <s v="Permanent"/>
    <s v="CIS"/>
    <s v="VW"/>
    <x v="1"/>
    <s v="Rowan Shawky "/>
    <s v="rowanshawky22@gmail.com"/>
    <n v="1144746634"/>
    <x v="1"/>
    <s v="Associate Service Desk Analyst - German"/>
    <x v="10"/>
    <s v="November"/>
    <x v="4"/>
    <s v="Female "/>
  </r>
  <r>
    <n v="2026"/>
    <s v="September"/>
    <s v="Permanent"/>
    <s v="CIS"/>
    <s v="VW"/>
    <x v="1"/>
    <s v="Marwan Magdy "/>
    <s v="marwanmohamed20331@gmail.com"/>
    <n v="1205882261"/>
    <x v="1"/>
    <s v="Associate Service Desk Analyst - German"/>
    <x v="6"/>
    <s v="September"/>
    <x v="0"/>
    <s v="Male"/>
  </r>
  <r>
    <n v="2026"/>
    <s v="September"/>
    <s v="Permanent"/>
    <s v="CIS"/>
    <s v="VW"/>
    <x v="1"/>
    <s v="Mohamed Ezzat "/>
    <s v="mzr43197@gmail.com"/>
    <n v="1116995106"/>
    <x v="1"/>
    <s v="Associate Service Desk Analyst - German"/>
    <x v="6"/>
    <s v="September"/>
    <x v="0"/>
    <s v="Male"/>
  </r>
  <r>
    <n v="2026"/>
    <s v="September"/>
    <s v="Permanent"/>
    <s v="CIS"/>
    <s v="VW"/>
    <x v="1"/>
    <s v="Mariam ElMallawany"/>
    <s v="mariamelmallawany17@gmail.com"/>
    <n v="1222736634"/>
    <x v="1"/>
    <s v="Associate Service Desk Analyst - German"/>
    <x v="6"/>
    <s v="September"/>
    <x v="0"/>
    <s v="Female "/>
  </r>
  <r>
    <n v="2026"/>
    <s v="September"/>
    <s v="Permanent"/>
    <s v="CIS"/>
    <s v="VW"/>
    <x v="1"/>
    <s v="Hager Ahmed Abdraboo"/>
    <s v="hagarahmed68@yahoo.com"/>
    <n v="1033858770"/>
    <x v="1"/>
    <s v="Associate Service Desk Analyst - German"/>
    <x v="9"/>
    <s v="September"/>
    <x v="0"/>
    <s v="Female "/>
  </r>
  <r>
    <n v="2026"/>
    <s v="September"/>
    <s v="Permanent"/>
    <s v="CIS"/>
    <s v="VW"/>
    <x v="1"/>
    <s v="Rokia Sobhy "/>
    <s v="rokiasobhy@gmail.com"/>
    <n v="1149369226"/>
    <x v="1"/>
    <s v="Associate Service Desk Analyst - German"/>
    <x v="5"/>
    <s v="October"/>
    <x v="4"/>
    <s v="Female "/>
  </r>
  <r>
    <n v="2026"/>
    <s v="September"/>
    <s v="Permanent"/>
    <s v="CIS"/>
    <s v="VW"/>
    <x v="1"/>
    <s v="Radwa Tarek"/>
    <s v="radwatarek5544@gmail.com"/>
    <n v="1149872211"/>
    <x v="1"/>
    <s v="Associate Service Desk Analyst - German"/>
    <x v="5"/>
    <s v="October"/>
    <x v="4"/>
    <s v="Female "/>
  </r>
  <r>
    <n v="2026"/>
    <s v="September"/>
    <s v="Permanent"/>
    <s v="CIS"/>
    <s v="VW"/>
    <x v="1"/>
    <s v="Arwa Ali"/>
    <s v="aarwa9242@gmail.com"/>
    <n v="1204922957"/>
    <x v="1"/>
    <s v="Associate Service Desk Analyst - German"/>
    <x v="6"/>
    <s v="September"/>
    <x v="0"/>
    <s v="Female "/>
  </r>
  <r>
    <n v="2026"/>
    <s v="September"/>
    <s v="Permanent"/>
    <s v="CIS"/>
    <s v="VW"/>
    <x v="1"/>
    <s v="Mohamed Taha "/>
    <s v="mohammedibrahem527@gmail.com"/>
    <n v="1007935760"/>
    <x v="1"/>
    <s v="Associate Service Desk Analyst - German"/>
    <x v="9"/>
    <s v="September"/>
    <x v="0"/>
    <s v="Male"/>
  </r>
  <r>
    <n v="2026"/>
    <s v="September"/>
    <s v="Permanent"/>
    <s v="CIS"/>
    <s v="VW"/>
    <x v="1"/>
    <s v="Amr Omar"/>
    <s v="amr_omar_de@yahoo.com"/>
    <n v="1021467663"/>
    <x v="1"/>
    <s v="Associate Service Desk Analyst - German"/>
    <x v="6"/>
    <s v="September"/>
    <x v="1"/>
    <s v="Male"/>
  </r>
  <r>
    <n v="2026"/>
    <s v="September"/>
    <s v="Permanent"/>
    <s v="CIS"/>
    <s v="VW"/>
    <x v="2"/>
    <s v="Mohamed Mohey"/>
    <s v=" mohamedmohey7151@gmail.com"/>
    <n v="1060707889"/>
    <x v="2"/>
    <s v="Associate Service Desk Analyst - German"/>
    <x v="13"/>
    <s v="October"/>
    <x v="4"/>
    <s v="Male"/>
  </r>
  <r>
    <n v="2026"/>
    <s v="September"/>
    <s v="Permanent"/>
    <s v="CIS"/>
    <s v="VW"/>
    <x v="1"/>
    <s v="Nada Ibrahim"/>
    <s v=" nadaebrahim952@gmail.com"/>
    <n v="1208590531"/>
    <x v="1"/>
    <s v="Associate Service Desk Analyst - German"/>
    <x v="20"/>
    <s v="October"/>
    <x v="4"/>
    <s v="Female "/>
  </r>
  <r>
    <n v="2026"/>
    <s v="September"/>
    <s v="Permanent"/>
    <s v="CIS"/>
    <s v="VW"/>
    <x v="1"/>
    <s v="Abdelrahman Mohamed"/>
    <s v="mabdelrahman818@gmail.com"/>
    <n v="1152803789"/>
    <x v="1"/>
    <s v="Associate Service Desk Analyst - German"/>
    <x v="14"/>
    <s v="October"/>
    <x v="2"/>
    <s v="Male"/>
  </r>
  <r>
    <n v="2026"/>
    <s v="September"/>
    <s v="Permanent"/>
    <s v="CIS"/>
    <s v="VW"/>
    <x v="1"/>
    <s v="Amany Hassan"/>
    <s v="Amanyhassan067@gmail.com"/>
    <n v="1013505410"/>
    <x v="1"/>
    <s v="Associate Service Desk Analyst - German"/>
    <x v="21"/>
    <s v="September"/>
    <x v="0"/>
    <s v="Female "/>
  </r>
  <r>
    <n v="2026"/>
    <s v="September"/>
    <s v="Permanent"/>
    <s v="CIS"/>
    <s v="VW"/>
    <x v="1"/>
    <s v="Mohamed Hatem"/>
    <s v="mh477090@gmail.com"/>
    <n v="1069800878"/>
    <x v="1"/>
    <s v="Associate Service Desk Analyst - German"/>
    <x v="15"/>
    <s v="October"/>
    <x v="2"/>
    <s v="Male"/>
  </r>
  <r>
    <n v="2026"/>
    <s v="September"/>
    <s v="Permanent"/>
    <s v="CIS"/>
    <s v="VW"/>
    <x v="1"/>
    <s v="Bassel Mohammed "/>
    <s v="Basselmohammed7@gmail.com"/>
    <n v="1156732901"/>
    <x v="1"/>
    <s v="Associate Service Desk Analyst - German"/>
    <x v="12"/>
    <s v="September"/>
    <x v="4"/>
    <s v="Male"/>
  </r>
  <r>
    <n v="2026"/>
    <s v="September"/>
    <s v="Permanent"/>
    <s v="CIS"/>
    <s v="VW"/>
    <x v="1"/>
    <s v="Mahmoud Salah"/>
    <s v="mahmoudsalahshaker@gmail.com"/>
    <n v="1126960246"/>
    <x v="1"/>
    <s v="Associate Service Desk Analyst - German"/>
    <x v="5"/>
    <s v="October"/>
    <x v="4"/>
    <s v="Male"/>
  </r>
  <r>
    <n v="2026"/>
    <s v="September"/>
    <s v="Permanent"/>
    <s v="CIS"/>
    <s v="VW"/>
    <x v="1"/>
    <s v="Monera Mostafa "/>
    <s v="moneramostafarashwan@gmail.com"/>
    <n v="1117838311"/>
    <x v="1"/>
    <s v="Associate Service Desk Analyst - German"/>
    <x v="22"/>
    <s v="October"/>
    <x v="6"/>
    <s v="Female "/>
  </r>
  <r>
    <n v="2026"/>
    <s v="September"/>
    <s v="Permanent"/>
    <s v="CIS"/>
    <s v="VW"/>
    <x v="1"/>
    <s v="Nada Gamal"/>
    <s v="nada88312@gmail.com"/>
    <n v="1288419633"/>
    <x v="1"/>
    <s v="Associate Service Desk Analyst - German"/>
    <x v="11"/>
    <s v="TBC"/>
    <x v="6"/>
    <s v="Male"/>
  </r>
  <r>
    <m/>
    <m/>
    <m/>
    <m/>
    <m/>
    <x v="8"/>
    <m/>
    <m/>
    <m/>
    <x v="5"/>
    <m/>
    <x v="23"/>
    <m/>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2837AB-1CD8-4B36-9053-F4CADAB83185}" name="PivotTable1" cacheId="4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25" firstHeaderRow="1" firstDataRow="2" firstDataCol="1" rowPageCount="2" colPageCount="1"/>
  <pivotFields count="15">
    <pivotField showAll="0"/>
    <pivotField showAll="0"/>
    <pivotField showAll="0"/>
    <pivotField showAll="0"/>
    <pivotField showAll="0"/>
    <pivotField axis="axisPage" multipleItemSelectionAllowed="1" showAll="0">
      <items count="10">
        <item x="1"/>
        <item h="1" x="7"/>
        <item h="1" x="6"/>
        <item h="1" x="5"/>
        <item h="1" x="0"/>
        <item h="1" x="2"/>
        <item h="1" x="4"/>
        <item x="3"/>
        <item h="1" x="8"/>
        <item t="default"/>
      </items>
    </pivotField>
    <pivotField dataField="1" showAll="0"/>
    <pivotField showAll="0"/>
    <pivotField showAll="0"/>
    <pivotField axis="axisPage" showAll="0">
      <items count="7">
        <item x="1"/>
        <item x="2"/>
        <item x="0"/>
        <item x="3"/>
        <item x="4"/>
        <item x="5"/>
        <item t="default"/>
      </items>
    </pivotField>
    <pivotField showAll="0"/>
    <pivotField axis="axisRow" showAll="0">
      <items count="25">
        <item h="1" x="11"/>
        <item x="0"/>
        <item x="1"/>
        <item x="2"/>
        <item x="4"/>
        <item x="3"/>
        <item x="7"/>
        <item x="17"/>
        <item x="6"/>
        <item x="21"/>
        <item x="9"/>
        <item x="12"/>
        <item x="5"/>
        <item x="8"/>
        <item x="15"/>
        <item x="14"/>
        <item x="19"/>
        <item x="13"/>
        <item x="20"/>
        <item x="22"/>
        <item x="18"/>
        <item x="10"/>
        <item x="16"/>
        <item h="1" x="23"/>
        <item t="default"/>
      </items>
    </pivotField>
    <pivotField showAll="0"/>
    <pivotField axis="axisCol" multipleItemSelectionAllowed="1" showAll="0">
      <items count="9">
        <item x="0"/>
        <item h="1" x="1"/>
        <item x="6"/>
        <item x="5"/>
        <item x="4"/>
        <item x="2"/>
        <item x="3"/>
        <item x="7"/>
        <item t="default"/>
      </items>
    </pivotField>
    <pivotField showAll="0"/>
  </pivotFields>
  <rowFields count="1">
    <field x="11"/>
  </rowFields>
  <rowItems count="19">
    <i>
      <x v="3"/>
    </i>
    <i>
      <x v="4"/>
    </i>
    <i>
      <x v="5"/>
    </i>
    <i>
      <x v="6"/>
    </i>
    <i>
      <x v="7"/>
    </i>
    <i>
      <x v="8"/>
    </i>
    <i>
      <x v="9"/>
    </i>
    <i>
      <x v="10"/>
    </i>
    <i>
      <x v="11"/>
    </i>
    <i>
      <x v="12"/>
    </i>
    <i>
      <x v="14"/>
    </i>
    <i>
      <x v="15"/>
    </i>
    <i>
      <x v="16"/>
    </i>
    <i>
      <x v="17"/>
    </i>
    <i>
      <x v="18"/>
    </i>
    <i>
      <x v="19"/>
    </i>
    <i>
      <x v="20"/>
    </i>
    <i>
      <x v="21"/>
    </i>
    <i t="grand">
      <x/>
    </i>
  </rowItems>
  <colFields count="1">
    <field x="13"/>
  </colFields>
  <colItems count="5">
    <i>
      <x/>
    </i>
    <i>
      <x v="2"/>
    </i>
    <i>
      <x v="4"/>
    </i>
    <i>
      <x v="5"/>
    </i>
    <i t="grand">
      <x/>
    </i>
  </colItems>
  <pageFields count="2">
    <pageField fld="9" hier="-1"/>
    <pageField fld="5" hier="-1"/>
  </pageFields>
  <dataFields count="1">
    <dataField name="Count of Candidate Full Name" fld="6" subtotal="count" showDataAs="runTotal"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D08C6-5A40-4A1C-A877-4D5090B09CE8}" name="PivotTable1" cacheId="4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30" firstHeaderRow="1" firstDataRow="2" firstDataCol="1"/>
  <pivotFields count="19">
    <pivotField dataField="1" showAll="0"/>
    <pivotField showAll="0"/>
    <pivotField axis="axisRow" showAll="0" sortType="ascending">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pivotField showAll="0"/>
    <pivotField showAll="0"/>
    <pivotField showAll="0"/>
    <pivotField showAll="0"/>
    <pivotField showAll="0"/>
    <pivotField showAll="0"/>
    <pivotField axis="axisCol" showAll="0">
      <items count="13">
        <item x="5"/>
        <item x="2"/>
        <item x="7"/>
        <item x="9"/>
        <item x="10"/>
        <item x="1"/>
        <item x="4"/>
        <item x="0"/>
        <item x="6"/>
        <item x="3"/>
        <item x="8"/>
        <item x="11"/>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x="9"/>
        <item sd="0" x="10"/>
        <item sd="0" x="11"/>
        <item sd="0" x="12"/>
        <item sd="0" x="13"/>
        <item t="default"/>
      </items>
    </pivotField>
  </pivotFields>
  <rowFields count="2">
    <field x="18"/>
    <field x="2"/>
  </rowFields>
  <rowItems count="26">
    <i>
      <x/>
    </i>
    <i>
      <x v="8"/>
    </i>
    <i>
      <x v="9"/>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11"/>
  </colFields>
  <colItems count="13">
    <i>
      <x/>
    </i>
    <i>
      <x v="1"/>
    </i>
    <i>
      <x v="2"/>
    </i>
    <i>
      <x v="3"/>
    </i>
    <i>
      <x v="4"/>
    </i>
    <i>
      <x v="5"/>
    </i>
    <i>
      <x v="6"/>
    </i>
    <i>
      <x v="7"/>
    </i>
    <i>
      <x v="8"/>
    </i>
    <i>
      <x v="9"/>
    </i>
    <i>
      <x v="10"/>
    </i>
    <i>
      <x v="11"/>
    </i>
    <i t="grand">
      <x/>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9D125C-9708-4902-9BBF-EAEAF64245E8}" name="Table3" displayName="Table3" ref="A1:E6" totalsRowShown="0">
  <autoFilter ref="A1:E6" xr:uid="{649D125C-9708-4902-9BBF-EAEAF64245E8}"/>
  <tableColumns count="5">
    <tableColumn id="1" xr3:uid="{5530AC1F-FEE2-4080-86A2-BDB06E19E0BC}" name="Wave"/>
    <tableColumn id="2" xr3:uid="{65E4BC27-192B-4808-9F99-636CA5593DB4}" name="Join Date"/>
    <tableColumn id="3" xr3:uid="{A7ECD75C-B44E-4214-8833-9BF8437AE607}" name="Planned HC" dataDxfId="32"/>
    <tableColumn id="5" xr3:uid="{182D474E-7A32-423F-A615-F6C9FD3EC68E}" name="Column1" dataDxfId="31"/>
    <tableColumn id="4" xr3:uid="{FA9C24D1-BF66-4F6D-BFF9-507A01EB26FC}" name="Actual HC"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23BE5F-B4B7-4420-8801-5316988D99DB}" name="Table1" displayName="Table1" ref="A1:O28" totalsRowShown="0" headerRowDxfId="23" dataDxfId="22">
  <autoFilter ref="A1:O28" xr:uid="{00000000-0009-0000-0000-000001000000}"/>
  <tableColumns count="15">
    <tableColumn id="1" xr3:uid="{DEB57AFB-8CEC-4A1A-853E-2BAB2E285496}" name="Forecast Month" dataDxfId="21"/>
    <tableColumn id="11" xr3:uid="{4AC23261-BD9B-4161-8191-6D7AA9B027CA}" name="Date" dataDxfId="20"/>
    <tableColumn id="2" xr3:uid="{9E48004A-6335-4C95-8210-FF4443A6DAFD}" name="Account" dataDxfId="19"/>
    <tableColumn id="3" xr3:uid="{A379851A-EEB4-44FF-B78D-1E8A0DE67EEB}" name="Role" dataDxfId="18"/>
    <tableColumn id="4" xr3:uid="{05558949-674B-44CD-8D07-D6B25F351E7E}" name="Grade" dataDxfId="17"/>
    <tableColumn id="19" xr3:uid="{BD25A64A-5DBB-4B05-86B3-752FCD4FB4F8}" name="German" dataDxfId="16"/>
    <tableColumn id="5" xr3:uid="{E6D1CDD1-15E6-4847-90F1-7A9A85595517}" name="HC" dataDxfId="15"/>
    <tableColumn id="6" xr3:uid="{9EC07B91-470F-4BB0-8296-F4730F884784}" name="Status" dataDxfId="14"/>
    <tableColumn id="7" xr3:uid="{6E61F03A-7AD6-445C-845C-0CC6F5855493}" name="Sourced" dataDxfId="13"/>
    <tableColumn id="12" xr3:uid="{E3D3FD75-18C2-4A9C-A74B-875D140694B8}" name="Passed Interview" dataDxfId="12"/>
    <tableColumn id="22" xr3:uid="{0827B043-BE86-4B33-AC22-4288DD431589}" name="Offer Sent" dataDxfId="11"/>
    <tableColumn id="16" xr3:uid="{B83EFDB9-B13A-492C-9ED7-603563684F0B}" name="Offer Accepted " dataDxfId="10"/>
    <tableColumn id="13" xr3:uid="{3F3F641C-FD15-40C9-B713-86AF50F27B44}" name="Joined" dataDxfId="9"/>
    <tableColumn id="14" xr3:uid="{8FC9305E-DF6F-49C3-A71D-52D34AE35F7F}" name="Gap" dataDxfId="8">
      <calculatedColumnFormula>Table1[[#This Row],[Joined]]-Table1[[#This Row],[HC]]</calculatedColumnFormula>
    </tableColumn>
    <tableColumn id="20" xr3:uid="{2BABDDFD-9671-45D7-B456-D3B674D96F54}" name="Comment "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D94BAA-8F48-4098-9FD5-6E9E5D9EE32E}" name="Table2" displayName="Table2" ref="A1:F22" totalsRowShown="0" headerRowDxfId="6" tableBorderDxfId="5">
  <autoFilter ref="A1:F22" xr:uid="{6FD94BAA-8F48-4098-9FD5-6E9E5D9EE32E}"/>
  <tableColumns count="6">
    <tableColumn id="1" xr3:uid="{E3419FE5-8AA4-49CF-B1C5-141D090E3670}" name="Role" dataDxfId="4"/>
    <tableColumn id="2" xr3:uid="{E4B64516-791F-49B8-A2E3-11FF6DD44149}" name="Grade" dataDxfId="3"/>
    <tableColumn id="3" xr3:uid="{036F6BF5-F2FA-428F-A759-56FAE962F637}" name="Demand" dataDxfId="2"/>
    <tableColumn id="4" xr3:uid="{D3351C05-2A0B-48FF-B1F7-B8148030C9A4}" name="Total Hired "/>
    <tableColumn id="5" xr3:uid="{23D97842-FF3D-47D6-AE08-832195636354}" name="Gab"/>
    <tableColumn id="6" xr3:uid="{6F7F2075-93D5-4643-A532-14022B4B6C4A}" name="Comment  "/>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12FC5A-9124-4FCF-968C-D6C456FCB1F5}" name="Table4" displayName="Table4" ref="A1:R241" totalsRowShown="0">
  <autoFilter ref="A1:R241" xr:uid="{00000000-0009-0000-0000-000002000000}"/>
  <tableColumns count="18">
    <tableColumn id="1" xr3:uid="{0FCB3E81-1A71-40D3-BAEF-772E303CAF16}" name="Name"/>
    <tableColumn id="23" xr3:uid="{504DF0C1-7C9F-451B-AC15-127D90FC3409}" name="Email"/>
    <tableColumn id="16" xr3:uid="{A87975CD-B489-4694-8351-335F25EA20E7}" name="Date" dataDxfId="1"/>
    <tableColumn id="2" xr3:uid="{2EFF53CB-B1AC-4592-A19F-4DC19DE79AE6}" name="Project"/>
    <tableColumn id="3" xr3:uid="{516F5D27-0DC1-47EB-985A-2C5F12F4B3D7}" name="Role Applied"/>
    <tableColumn id="4" xr3:uid="{11484A06-5CC7-4B01-A59E-50DC4E0F8F7D}" name="Grade" dataDxfId="0"/>
    <tableColumn id="5" xr3:uid="{B623FE19-DD30-416C-A160-C1E7146B4D3F}" name="Recruiter"/>
    <tableColumn id="6" xr3:uid="{1F87F450-0529-4588-866C-65F782B3C4C9}" name="Source"/>
    <tableColumn id="7" xr3:uid="{16285684-7ABA-4D78-AFBC-6F5D3BE0E3AA}" name="HR Screening"/>
    <tableColumn id="8" xr3:uid="{C9A22B4C-4382-4B3B-9DC0-5A09263F4655}" name="Technical"/>
    <tableColumn id="9" xr3:uid="{F2A9CD5C-09F9-4EEA-9130-352100983C4E}" name="Ops"/>
    <tableColumn id="10" xr3:uid="{1395514B-27A4-418F-AC71-C7D34F595C29}" name="Accepted "/>
    <tableColumn id="11" xr3:uid="{AF9353C6-2043-4C8B-B972-A5F5F8140CBA}" name="Offered"/>
    <tableColumn id="12" xr3:uid="{EFBEC039-FC96-451C-8E8E-A1D9974182D0}" name="Joined"/>
    <tableColumn id="13" xr3:uid="{D39B790C-C355-43E0-80AA-B82EA67F1F1E}" name="Join Date"/>
    <tableColumn id="14" xr3:uid="{0D9F7CDE-80A3-4A47-9899-57CEFDA8DD6C}" name="Current Stage"/>
    <tableColumn id="15" xr3:uid="{8EEBB2EE-2098-497D-8E7C-7D13B58DB852}" name="Feedback "/>
    <tableColumn id="17" xr3:uid="{A79E3DA0-8F2C-43AB-B488-E955646A40F0}" name="Joining 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hyperlink" Target="mailto:daliaelsabbagh059@gmail.com" TargetMode="External"/><Relationship Id="rId2" Type="http://schemas.openxmlformats.org/officeDocument/2006/relationships/hyperlink" Target="mailto:mostafaredwan8@gmail.com" TargetMode="External"/><Relationship Id="rId1" Type="http://schemas.openxmlformats.org/officeDocument/2006/relationships/hyperlink" Target="https://login.phenom.com/email-redirection/profile?redirectId=70e5f761-433d-4897-89bb-c79e62b516ff&amp;tenant_hint=CDVCAPGB" TargetMode="Externa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showGridLines="0" workbookViewId="0">
      <selection activeCell="G14" sqref="G14"/>
    </sheetView>
  </sheetViews>
  <sheetFormatPr defaultRowHeight="14.45"/>
  <cols>
    <col min="1" max="1" width="12.7109375" customWidth="1"/>
    <col min="2" max="2" width="16.5703125" customWidth="1"/>
    <col min="3" max="4" width="14.85546875" customWidth="1"/>
    <col min="5" max="5" width="23.85546875" customWidth="1"/>
    <col min="6" max="6" width="24" customWidth="1"/>
  </cols>
  <sheetData>
    <row r="1" spans="1:7">
      <c r="A1" t="s">
        <v>0</v>
      </c>
      <c r="B1" t="s">
        <v>1</v>
      </c>
      <c r="C1" s="2" t="s">
        <v>2</v>
      </c>
      <c r="D1" s="2" t="s">
        <v>3</v>
      </c>
      <c r="E1" s="2" t="s">
        <v>4</v>
      </c>
    </row>
    <row r="2" spans="1:7">
      <c r="A2" t="s">
        <v>5</v>
      </c>
      <c r="B2" t="s">
        <v>6</v>
      </c>
      <c r="C2" s="31">
        <v>20</v>
      </c>
      <c r="D2" s="31"/>
      <c r="E2" s="32">
        <v>0</v>
      </c>
    </row>
    <row r="3" spans="1:7">
      <c r="A3" t="s">
        <v>7</v>
      </c>
      <c r="B3" t="s">
        <v>8</v>
      </c>
      <c r="C3" s="31">
        <v>40</v>
      </c>
      <c r="D3" s="31"/>
      <c r="E3" s="31">
        <v>3</v>
      </c>
    </row>
    <row r="4" spans="1:7">
      <c r="A4" t="s">
        <v>9</v>
      </c>
      <c r="B4" t="s">
        <v>10</v>
      </c>
      <c r="C4" s="31">
        <v>60</v>
      </c>
      <c r="D4" s="31"/>
      <c r="E4" s="32">
        <v>0</v>
      </c>
    </row>
    <row r="5" spans="1:7">
      <c r="A5" t="s">
        <v>11</v>
      </c>
      <c r="B5" t="s">
        <v>12</v>
      </c>
      <c r="C5" s="31">
        <v>80</v>
      </c>
      <c r="D5" s="31"/>
      <c r="E5" s="32">
        <v>0</v>
      </c>
    </row>
    <row r="6" spans="1:7">
      <c r="A6" t="s">
        <v>13</v>
      </c>
      <c r="B6" t="s">
        <v>14</v>
      </c>
      <c r="C6" s="31">
        <v>100</v>
      </c>
      <c r="D6" s="31"/>
      <c r="E6" s="32">
        <v>0</v>
      </c>
    </row>
    <row r="10" spans="1:7">
      <c r="A10" s="55" t="s">
        <v>15</v>
      </c>
      <c r="B10" s="56" t="s">
        <v>0</v>
      </c>
      <c r="C10" s="56" t="s">
        <v>1</v>
      </c>
      <c r="D10" s="56" t="s">
        <v>16</v>
      </c>
      <c r="E10" s="67" t="s">
        <v>17</v>
      </c>
      <c r="F10" s="70" t="s">
        <v>18</v>
      </c>
    </row>
    <row r="11" spans="1:7" ht="14.45" customHeight="1">
      <c r="A11" s="104" t="s">
        <v>19</v>
      </c>
      <c r="B11" s="57" t="s">
        <v>5</v>
      </c>
      <c r="C11" s="58">
        <v>46266</v>
      </c>
      <c r="D11" s="59" t="s">
        <v>20</v>
      </c>
      <c r="E11" s="68">
        <v>3</v>
      </c>
      <c r="F11" s="60">
        <v>3</v>
      </c>
    </row>
    <row r="12" spans="1:7" ht="14.45" customHeight="1">
      <c r="A12" s="104"/>
      <c r="B12" s="61" t="s">
        <v>7</v>
      </c>
      <c r="C12" s="62">
        <v>46280</v>
      </c>
      <c r="D12" s="59" t="s">
        <v>20</v>
      </c>
      <c r="E12" s="68">
        <v>20</v>
      </c>
      <c r="F12" s="60">
        <v>23</v>
      </c>
      <c r="G12">
        <v>21</v>
      </c>
    </row>
    <row r="13" spans="1:7" ht="14.45" customHeight="1">
      <c r="A13" s="104"/>
      <c r="B13" s="57" t="s">
        <v>9</v>
      </c>
      <c r="C13" s="58">
        <v>46296</v>
      </c>
      <c r="D13" s="59" t="s">
        <v>20</v>
      </c>
      <c r="E13" s="68">
        <v>25</v>
      </c>
      <c r="F13" s="60">
        <v>48</v>
      </c>
      <c r="G13">
        <v>14</v>
      </c>
    </row>
    <row r="14" spans="1:7" ht="14.45" customHeight="1">
      <c r="A14" s="104"/>
      <c r="B14" s="61" t="s">
        <v>11</v>
      </c>
      <c r="C14" s="62">
        <v>46310</v>
      </c>
      <c r="D14" s="59" t="s">
        <v>20</v>
      </c>
      <c r="E14" s="68">
        <v>25</v>
      </c>
      <c r="F14" s="60">
        <v>73</v>
      </c>
    </row>
    <row r="15" spans="1:7" ht="14.45" customHeight="1">
      <c r="A15" s="105"/>
      <c r="B15" s="63" t="s">
        <v>13</v>
      </c>
      <c r="C15" s="64">
        <v>46327</v>
      </c>
      <c r="D15" s="65" t="s">
        <v>20</v>
      </c>
      <c r="E15" s="69">
        <v>27</v>
      </c>
      <c r="F15" s="66">
        <v>100</v>
      </c>
    </row>
  </sheetData>
  <mergeCells count="1">
    <mergeCell ref="A11:A15"/>
  </mergeCells>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C866-2C32-48A2-9D29-6C0A093EAE9C}">
  <dimension ref="E4:P20"/>
  <sheetViews>
    <sheetView topLeftCell="C1" workbookViewId="0">
      <selection activeCell="J18" sqref="J18"/>
    </sheetView>
  </sheetViews>
  <sheetFormatPr defaultRowHeight="14.45"/>
  <cols>
    <col min="4" max="4" width="9.140625" bestFit="1" customWidth="1"/>
    <col min="5" max="5" width="38" customWidth="1"/>
    <col min="6" max="6" width="26.42578125" customWidth="1"/>
    <col min="7" max="7" width="20.5703125" customWidth="1"/>
    <col min="8" max="8" width="25.140625" customWidth="1"/>
    <col min="9" max="9" width="16.85546875" customWidth="1"/>
    <col min="10" max="10" width="21" customWidth="1"/>
    <col min="11" max="11" width="16.42578125" customWidth="1"/>
    <col min="12" max="12" width="16.28515625" customWidth="1"/>
    <col min="13" max="13" width="14.42578125" customWidth="1"/>
    <col min="14" max="16" width="13.28515625" customWidth="1"/>
  </cols>
  <sheetData>
    <row r="4" spans="5:16">
      <c r="F4" s="106" t="s">
        <v>21</v>
      </c>
      <c r="G4" s="106"/>
    </row>
    <row r="5" spans="5:16" ht="15" thickBot="1">
      <c r="F5" s="106"/>
      <c r="G5" s="106"/>
      <c r="K5">
        <v>20</v>
      </c>
      <c r="O5">
        <v>100</v>
      </c>
    </row>
    <row r="6" spans="5:16">
      <c r="E6" s="33" t="s">
        <v>22</v>
      </c>
      <c r="F6" s="33" t="s">
        <v>23</v>
      </c>
      <c r="G6" s="33" t="s">
        <v>24</v>
      </c>
      <c r="H6" s="33" t="s">
        <v>25</v>
      </c>
      <c r="I6" s="33" t="s">
        <v>26</v>
      </c>
      <c r="J6" s="33" t="s">
        <v>27</v>
      </c>
      <c r="K6" s="37" t="s">
        <v>28</v>
      </c>
      <c r="L6" s="37" t="s">
        <v>29</v>
      </c>
      <c r="M6" s="37" t="s">
        <v>30</v>
      </c>
      <c r="N6" s="37" t="s">
        <v>31</v>
      </c>
      <c r="O6" s="37" t="s">
        <v>32</v>
      </c>
      <c r="P6" s="12"/>
    </row>
    <row r="7" spans="5:16">
      <c r="E7" s="33" t="s">
        <v>33</v>
      </c>
      <c r="F7" s="34">
        <v>2</v>
      </c>
      <c r="G7" s="34">
        <v>2</v>
      </c>
      <c r="H7" s="34">
        <v>2</v>
      </c>
      <c r="I7" s="34">
        <v>1</v>
      </c>
      <c r="J7" s="34">
        <v>1</v>
      </c>
      <c r="K7" s="36"/>
      <c r="L7" s="36"/>
      <c r="M7" s="36"/>
      <c r="N7" s="36"/>
      <c r="O7" s="36"/>
    </row>
    <row r="8" spans="5:16">
      <c r="E8" s="33" t="s">
        <v>34</v>
      </c>
      <c r="F8" s="34">
        <v>3</v>
      </c>
      <c r="G8" s="34">
        <v>3</v>
      </c>
      <c r="H8" s="34"/>
      <c r="I8" s="34">
        <v>1</v>
      </c>
      <c r="J8" s="34">
        <v>0</v>
      </c>
      <c r="K8" s="36"/>
      <c r="L8" s="36"/>
      <c r="M8" s="36"/>
      <c r="N8" s="36"/>
      <c r="O8" s="36"/>
    </row>
    <row r="9" spans="5:16">
      <c r="E9" s="33" t="s">
        <v>35</v>
      </c>
      <c r="F9" s="34">
        <v>2</v>
      </c>
      <c r="G9" s="34">
        <v>3</v>
      </c>
      <c r="H9" s="34"/>
      <c r="I9" s="34">
        <v>1</v>
      </c>
      <c r="J9" s="34"/>
      <c r="K9" s="36"/>
      <c r="L9" s="36"/>
      <c r="M9" s="36"/>
      <c r="N9" s="36"/>
      <c r="O9" s="36"/>
    </row>
    <row r="10" spans="5:16">
      <c r="E10" s="33" t="s">
        <v>36</v>
      </c>
      <c r="F10" s="34">
        <v>40</v>
      </c>
      <c r="G10" s="34">
        <v>30</v>
      </c>
      <c r="H10" s="34">
        <v>25</v>
      </c>
      <c r="I10" s="34"/>
      <c r="J10" s="34"/>
      <c r="K10" s="36"/>
      <c r="L10" s="36"/>
      <c r="M10" s="36"/>
      <c r="N10" s="36"/>
      <c r="O10" s="36"/>
    </row>
    <row r="11" spans="5:16">
      <c r="E11" s="33" t="s">
        <v>37</v>
      </c>
      <c r="F11" s="34">
        <v>2</v>
      </c>
      <c r="G11" s="34">
        <v>2</v>
      </c>
      <c r="H11" s="34"/>
      <c r="I11" s="34"/>
      <c r="J11" s="34"/>
      <c r="K11" s="36"/>
      <c r="L11" s="36"/>
      <c r="M11" s="36"/>
      <c r="N11" s="36"/>
      <c r="O11" s="36"/>
    </row>
    <row r="12" spans="5:16">
      <c r="E12" s="33" t="s">
        <v>38</v>
      </c>
      <c r="F12" s="34">
        <v>4</v>
      </c>
      <c r="G12" s="34">
        <v>4</v>
      </c>
      <c r="H12" s="34">
        <v>2</v>
      </c>
      <c r="I12" s="34">
        <v>1</v>
      </c>
      <c r="J12" s="34"/>
      <c r="K12" s="36"/>
      <c r="L12" s="36"/>
      <c r="M12" s="36"/>
      <c r="N12" s="36"/>
      <c r="O12" s="36"/>
    </row>
    <row r="13" spans="5:16">
      <c r="E13" s="33" t="s">
        <v>39</v>
      </c>
      <c r="F13" s="34">
        <v>4</v>
      </c>
      <c r="G13" s="34">
        <v>3</v>
      </c>
      <c r="H13" s="34"/>
      <c r="I13" s="34"/>
      <c r="J13" s="34"/>
      <c r="K13" s="36"/>
      <c r="L13" s="36"/>
      <c r="M13" s="36"/>
      <c r="N13" s="36"/>
      <c r="O13" s="36"/>
    </row>
    <row r="14" spans="5:16">
      <c r="E14" s="33" t="s">
        <v>40</v>
      </c>
      <c r="F14" s="34">
        <v>1</v>
      </c>
      <c r="G14" s="34"/>
      <c r="H14" s="34"/>
      <c r="I14" s="34"/>
      <c r="J14" s="34">
        <v>1</v>
      </c>
      <c r="K14" s="36"/>
      <c r="L14" s="36"/>
      <c r="M14" s="36"/>
      <c r="N14" s="36"/>
      <c r="O14" s="36"/>
    </row>
    <row r="15" spans="5:16" ht="15" thickTop="1">
      <c r="E15" s="35"/>
    </row>
    <row r="18" spans="8:8">
      <c r="H18" t="s">
        <v>41</v>
      </c>
    </row>
    <row r="19" spans="8:8">
      <c r="H19" t="s">
        <v>42</v>
      </c>
    </row>
    <row r="20" spans="8:8">
      <c r="H20" t="s">
        <v>43</v>
      </c>
    </row>
  </sheetData>
  <mergeCells count="1">
    <mergeCell ref="F4:G5"/>
  </mergeCells>
  <pageMargins left="0.7" right="0.7" top="0.75" bottom="0.75" header="0.3" footer="0.3"/>
  <pageSetup orientation="portrait" horizontalDpi="4294967293" verticalDpi="0" copies="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8"/>
  <sheetViews>
    <sheetView showGridLines="0" workbookViewId="0">
      <selection activeCell="C10" sqref="C10"/>
    </sheetView>
  </sheetViews>
  <sheetFormatPr defaultRowHeight="14.45"/>
  <cols>
    <col min="1" max="1" width="2.28515625" customWidth="1"/>
    <col min="2" max="2" width="22.5703125" customWidth="1"/>
    <col min="3" max="3" width="14.42578125" customWidth="1"/>
    <col min="4" max="4" width="8.140625" customWidth="1"/>
    <col min="5" max="5" width="16.42578125" customWidth="1"/>
    <col min="6" max="6" width="14.5703125" customWidth="1"/>
  </cols>
  <sheetData>
    <row r="1" spans="2:5" ht="21">
      <c r="B1" s="1" t="s">
        <v>44</v>
      </c>
    </row>
    <row r="2" spans="2:5">
      <c r="D2" t="s">
        <v>45</v>
      </c>
      <c r="E2" t="s">
        <v>46</v>
      </c>
    </row>
    <row r="3" spans="2:5">
      <c r="B3" s="15" t="s">
        <v>47</v>
      </c>
      <c r="C3" s="14">
        <v>122</v>
      </c>
    </row>
    <row r="4" spans="2:5">
      <c r="B4" s="15" t="s">
        <v>48</v>
      </c>
      <c r="C4" s="14">
        <v>3</v>
      </c>
    </row>
    <row r="5" spans="2:5">
      <c r="B5" s="15" t="s">
        <v>49</v>
      </c>
      <c r="C5" s="14">
        <f>SUM('Hiring Demand'!N2:N28)</f>
        <v>-206</v>
      </c>
    </row>
    <row r="8" spans="2:5">
      <c r="B8" s="16" t="s">
        <v>50</v>
      </c>
      <c r="C8" s="16" t="s">
        <v>51</v>
      </c>
    </row>
    <row r="9" spans="2:5">
      <c r="B9" s="13" t="s">
        <v>52</v>
      </c>
      <c r="C9" s="13">
        <v>160</v>
      </c>
    </row>
    <row r="10" spans="2:5">
      <c r="B10" s="13" t="s">
        <v>53</v>
      </c>
      <c r="C10" s="13">
        <v>61</v>
      </c>
    </row>
    <row r="11" spans="2:5">
      <c r="B11" s="13" t="s">
        <v>54</v>
      </c>
      <c r="C11" s="13">
        <v>21</v>
      </c>
    </row>
    <row r="12" spans="2:5">
      <c r="B12" s="13" t="s">
        <v>55</v>
      </c>
      <c r="C12" s="13">
        <v>8</v>
      </c>
    </row>
    <row r="13" spans="2:5">
      <c r="B13" s="13" t="s">
        <v>27</v>
      </c>
      <c r="C13" s="13">
        <v>3</v>
      </c>
    </row>
    <row r="14" spans="2:5">
      <c r="B14" s="13" t="s">
        <v>56</v>
      </c>
      <c r="C14" s="13">
        <v>0</v>
      </c>
    </row>
    <row r="15" spans="2:5">
      <c r="B15" s="13" t="s">
        <v>57</v>
      </c>
      <c r="C15" s="13">
        <v>0</v>
      </c>
    </row>
    <row r="16" spans="2:5">
      <c r="B16" s="13" t="s">
        <v>58</v>
      </c>
      <c r="C16" s="13">
        <v>0</v>
      </c>
    </row>
    <row r="17" spans="2:3">
      <c r="B17" s="13" t="s">
        <v>59</v>
      </c>
      <c r="C17" s="13">
        <v>0</v>
      </c>
    </row>
    <row r="18" spans="2:3">
      <c r="C18" s="17" t="s">
        <v>60</v>
      </c>
    </row>
  </sheetData>
  <pageMargins left="0.75" right="0.75" top="1" bottom="1" header="0.5" footer="0.5"/>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A59C-98E0-468C-9DF2-BC48A2FAD14B}">
  <dimension ref="A1:I88"/>
  <sheetViews>
    <sheetView workbookViewId="0">
      <selection activeCell="F47" sqref="F47"/>
    </sheetView>
  </sheetViews>
  <sheetFormatPr defaultColWidth="6.7109375" defaultRowHeight="14.45"/>
  <cols>
    <col min="1" max="1" width="5.5703125" bestFit="1" customWidth="1"/>
    <col min="2" max="2" width="7.5703125" bestFit="1" customWidth="1"/>
    <col min="3" max="3" width="30.140625" bestFit="1" customWidth="1"/>
    <col min="4" max="4" width="29.42578125" customWidth="1"/>
    <col min="5" max="5" width="5.28515625" bestFit="1" customWidth="1"/>
    <col min="6" max="6" width="33.140625" bestFit="1" customWidth="1"/>
    <col min="7" max="7" width="12.140625" bestFit="1" customWidth="1"/>
    <col min="8" max="8" width="13.85546875" bestFit="1" customWidth="1"/>
    <col min="9" max="9" width="26" customWidth="1"/>
    <col min="10" max="10" width="5.42578125" bestFit="1" customWidth="1"/>
    <col min="11" max="11" width="33.140625" bestFit="1" customWidth="1"/>
    <col min="12" max="12" width="9.85546875" bestFit="1" customWidth="1"/>
    <col min="13" max="13" width="11.5703125" bestFit="1" customWidth="1"/>
    <col min="14" max="14" width="21.85546875" bestFit="1" customWidth="1"/>
    <col min="15" max="15" width="6.5703125" bestFit="1" customWidth="1"/>
  </cols>
  <sheetData>
    <row r="1" spans="1:9">
      <c r="A1" s="80" t="s">
        <v>61</v>
      </c>
      <c r="B1" s="81" t="s">
        <v>62</v>
      </c>
      <c r="C1" s="81" t="s">
        <v>63</v>
      </c>
      <c r="D1" s="82" t="s">
        <v>64</v>
      </c>
      <c r="E1" s="82" t="s">
        <v>65</v>
      </c>
      <c r="F1" s="82" t="s">
        <v>66</v>
      </c>
      <c r="G1" s="82" t="s">
        <v>67</v>
      </c>
      <c r="H1" s="82" t="s">
        <v>68</v>
      </c>
      <c r="I1" s="82" t="s">
        <v>69</v>
      </c>
    </row>
    <row r="2" spans="1:9">
      <c r="A2" s="83" t="s">
        <v>70</v>
      </c>
      <c r="B2" s="84" t="s">
        <v>19</v>
      </c>
      <c r="C2" s="86" t="s">
        <v>71</v>
      </c>
      <c r="D2" s="87" t="s">
        <v>72</v>
      </c>
      <c r="E2" s="86" t="s">
        <v>73</v>
      </c>
      <c r="F2" s="84" t="s">
        <v>74</v>
      </c>
      <c r="G2" s="88">
        <v>46272</v>
      </c>
      <c r="H2" s="86" t="s">
        <v>75</v>
      </c>
      <c r="I2" s="89" t="s">
        <v>76</v>
      </c>
    </row>
    <row r="3" spans="1:9">
      <c r="A3" s="90" t="s">
        <v>70</v>
      </c>
      <c r="B3" s="86" t="s">
        <v>19</v>
      </c>
      <c r="C3" s="86" t="s">
        <v>77</v>
      </c>
      <c r="D3" s="87" t="s">
        <v>78</v>
      </c>
      <c r="E3" s="86" t="s">
        <v>79</v>
      </c>
      <c r="F3" s="86" t="s">
        <v>77</v>
      </c>
      <c r="G3" s="92">
        <v>46266</v>
      </c>
      <c r="H3" s="91" t="s">
        <v>75</v>
      </c>
      <c r="I3" s="84" t="s">
        <v>76</v>
      </c>
    </row>
    <row r="4" spans="1:9">
      <c r="A4" s="93" t="s">
        <v>70</v>
      </c>
      <c r="B4" s="86" t="s">
        <v>19</v>
      </c>
      <c r="C4" s="86" t="s">
        <v>77</v>
      </c>
      <c r="D4" s="87" t="s">
        <v>80</v>
      </c>
      <c r="E4" s="91" t="s">
        <v>79</v>
      </c>
      <c r="F4" s="86" t="s">
        <v>77</v>
      </c>
      <c r="G4" s="92">
        <v>46267</v>
      </c>
      <c r="H4" s="89" t="s">
        <v>75</v>
      </c>
      <c r="I4" s="84" t="s">
        <v>27</v>
      </c>
    </row>
    <row r="5" spans="1:9">
      <c r="A5" s="93" t="s">
        <v>70</v>
      </c>
      <c r="B5" s="86" t="s">
        <v>19</v>
      </c>
      <c r="C5" s="86" t="s">
        <v>77</v>
      </c>
      <c r="D5" s="87" t="s">
        <v>81</v>
      </c>
      <c r="E5" s="91" t="s">
        <v>79</v>
      </c>
      <c r="F5" s="86" t="s">
        <v>77</v>
      </c>
      <c r="G5" s="92">
        <v>46279</v>
      </c>
      <c r="H5" s="89" t="s">
        <v>75</v>
      </c>
      <c r="I5" s="89" t="s">
        <v>27</v>
      </c>
    </row>
    <row r="6" spans="1:9">
      <c r="A6" s="93" t="s">
        <v>70</v>
      </c>
      <c r="B6" s="86" t="s">
        <v>19</v>
      </c>
      <c r="C6" s="86" t="s">
        <v>77</v>
      </c>
      <c r="D6" s="87" t="s">
        <v>82</v>
      </c>
      <c r="E6" s="91" t="s">
        <v>79</v>
      </c>
      <c r="F6" s="86" t="s">
        <v>77</v>
      </c>
      <c r="G6" s="92">
        <v>46272</v>
      </c>
      <c r="H6" s="89" t="s">
        <v>75</v>
      </c>
      <c r="I6" s="89" t="s">
        <v>27</v>
      </c>
    </row>
    <row r="7" spans="1:9">
      <c r="A7" s="93" t="s">
        <v>70</v>
      </c>
      <c r="B7" s="86" t="s">
        <v>19</v>
      </c>
      <c r="C7" s="86" t="s">
        <v>83</v>
      </c>
      <c r="D7" s="87" t="s">
        <v>84</v>
      </c>
      <c r="E7" s="86" t="s">
        <v>85</v>
      </c>
      <c r="F7" s="86" t="s">
        <v>77</v>
      </c>
      <c r="G7" s="92">
        <v>46300</v>
      </c>
      <c r="H7" s="84" t="s">
        <v>86</v>
      </c>
      <c r="I7" s="86" t="s">
        <v>87</v>
      </c>
    </row>
    <row r="8" spans="1:9">
      <c r="A8" s="93" t="s">
        <v>70</v>
      </c>
      <c r="B8" s="86" t="s">
        <v>19</v>
      </c>
      <c r="C8" s="86" t="s">
        <v>88</v>
      </c>
      <c r="D8" s="87" t="s">
        <v>89</v>
      </c>
      <c r="E8" s="86" t="s">
        <v>85</v>
      </c>
      <c r="F8" s="86" t="s">
        <v>77</v>
      </c>
      <c r="G8" s="92">
        <v>46300</v>
      </c>
      <c r="H8" s="91" t="s">
        <v>86</v>
      </c>
      <c r="I8" s="86" t="s">
        <v>87</v>
      </c>
    </row>
    <row r="9" spans="1:9">
      <c r="A9" s="93" t="s">
        <v>70</v>
      </c>
      <c r="B9" s="86" t="s">
        <v>19</v>
      </c>
      <c r="C9" s="86" t="s">
        <v>90</v>
      </c>
      <c r="D9" s="87" t="s">
        <v>91</v>
      </c>
      <c r="E9" s="86" t="s">
        <v>92</v>
      </c>
      <c r="F9" s="86" t="s">
        <v>88</v>
      </c>
      <c r="G9" s="92">
        <v>46300</v>
      </c>
      <c r="H9" s="91" t="s">
        <v>86</v>
      </c>
      <c r="I9" s="86" t="s">
        <v>87</v>
      </c>
    </row>
    <row r="10" spans="1:9">
      <c r="A10" s="93" t="s">
        <v>70</v>
      </c>
      <c r="B10" s="86" t="s">
        <v>19</v>
      </c>
      <c r="C10" s="86" t="s">
        <v>77</v>
      </c>
      <c r="D10" s="87" t="s">
        <v>93</v>
      </c>
      <c r="E10" s="86" t="s">
        <v>79</v>
      </c>
      <c r="F10" s="86" t="s">
        <v>77</v>
      </c>
      <c r="G10" s="92">
        <v>46286</v>
      </c>
      <c r="H10" s="91" t="s">
        <v>75</v>
      </c>
      <c r="I10" s="86" t="s">
        <v>27</v>
      </c>
    </row>
    <row r="11" spans="1:9">
      <c r="A11" s="93" t="s">
        <v>70</v>
      </c>
      <c r="B11" s="86" t="s">
        <v>19</v>
      </c>
      <c r="C11" s="86" t="s">
        <v>77</v>
      </c>
      <c r="D11" s="87" t="s">
        <v>94</v>
      </c>
      <c r="E11" s="86" t="s">
        <v>79</v>
      </c>
      <c r="F11" s="86" t="s">
        <v>77</v>
      </c>
      <c r="G11" s="92">
        <v>46300</v>
      </c>
      <c r="H11" s="91" t="s">
        <v>86</v>
      </c>
      <c r="I11" s="86" t="s">
        <v>87</v>
      </c>
    </row>
    <row r="12" spans="1:9">
      <c r="A12" s="93" t="s">
        <v>70</v>
      </c>
      <c r="B12" s="86" t="s">
        <v>19</v>
      </c>
      <c r="C12" s="86" t="s">
        <v>77</v>
      </c>
      <c r="D12" s="87" t="s">
        <v>95</v>
      </c>
      <c r="E12" s="86" t="s">
        <v>79</v>
      </c>
      <c r="F12" s="86" t="s">
        <v>77</v>
      </c>
      <c r="G12" s="92">
        <v>46280</v>
      </c>
      <c r="H12" s="91" t="s">
        <v>75</v>
      </c>
      <c r="I12" s="89" t="s">
        <v>27</v>
      </c>
    </row>
    <row r="13" spans="1:9">
      <c r="A13" s="93" t="s">
        <v>70</v>
      </c>
      <c r="B13" s="86" t="s">
        <v>19</v>
      </c>
      <c r="C13" s="86" t="s">
        <v>77</v>
      </c>
      <c r="D13" s="94" t="s">
        <v>96</v>
      </c>
      <c r="E13" s="95" t="s">
        <v>79</v>
      </c>
      <c r="F13" s="86" t="s">
        <v>77</v>
      </c>
      <c r="G13" s="92">
        <v>46280</v>
      </c>
      <c r="H13" s="91" t="s">
        <v>75</v>
      </c>
      <c r="I13" s="89" t="s">
        <v>27</v>
      </c>
    </row>
    <row r="14" spans="1:9">
      <c r="A14" s="93" t="s">
        <v>70</v>
      </c>
      <c r="B14" s="86" t="s">
        <v>19</v>
      </c>
      <c r="C14" s="96" t="s">
        <v>77</v>
      </c>
      <c r="D14" s="97" t="s">
        <v>97</v>
      </c>
      <c r="E14" s="98" t="s">
        <v>79</v>
      </c>
      <c r="F14" s="86" t="s">
        <v>77</v>
      </c>
      <c r="G14" s="92">
        <v>46300</v>
      </c>
      <c r="H14" s="91" t="s">
        <v>86</v>
      </c>
      <c r="I14" s="86" t="s">
        <v>87</v>
      </c>
    </row>
    <row r="15" spans="1:9">
      <c r="A15" s="93" t="s">
        <v>70</v>
      </c>
      <c r="B15" s="86" t="s">
        <v>19</v>
      </c>
      <c r="C15" s="96" t="s">
        <v>98</v>
      </c>
      <c r="D15" s="99" t="s">
        <v>99</v>
      </c>
      <c r="E15" s="86" t="s">
        <v>100</v>
      </c>
      <c r="F15" s="86" t="s">
        <v>101</v>
      </c>
      <c r="G15" s="92">
        <v>46301</v>
      </c>
      <c r="H15" s="91" t="s">
        <v>86</v>
      </c>
      <c r="I15" s="86" t="s">
        <v>87</v>
      </c>
    </row>
    <row r="16" spans="1:9">
      <c r="A16" s="93" t="s">
        <v>70</v>
      </c>
      <c r="B16" s="86" t="s">
        <v>19</v>
      </c>
      <c r="C16" s="96" t="s">
        <v>77</v>
      </c>
      <c r="D16" s="83" t="s">
        <v>102</v>
      </c>
      <c r="E16" s="86" t="s">
        <v>79</v>
      </c>
      <c r="F16" s="86" t="s">
        <v>77</v>
      </c>
      <c r="G16" s="92">
        <v>46293</v>
      </c>
      <c r="H16" s="86" t="s">
        <v>75</v>
      </c>
      <c r="I16" s="86" t="s">
        <v>27</v>
      </c>
    </row>
    <row r="17" spans="1:9">
      <c r="A17" s="93" t="s">
        <v>70</v>
      </c>
      <c r="B17" s="86" t="s">
        <v>19</v>
      </c>
      <c r="C17" s="96" t="s">
        <v>77</v>
      </c>
      <c r="D17" s="83" t="s">
        <v>103</v>
      </c>
      <c r="E17" s="86" t="s">
        <v>79</v>
      </c>
      <c r="F17" s="86" t="s">
        <v>77</v>
      </c>
      <c r="G17" s="92">
        <v>46328</v>
      </c>
      <c r="H17" s="86" t="s">
        <v>104</v>
      </c>
      <c r="I17" s="86" t="s">
        <v>87</v>
      </c>
    </row>
    <row r="18" spans="1:9">
      <c r="A18" s="93" t="s">
        <v>70</v>
      </c>
      <c r="B18" s="86" t="s">
        <v>19</v>
      </c>
      <c r="C18" s="96" t="s">
        <v>77</v>
      </c>
      <c r="D18" s="83" t="s">
        <v>105</v>
      </c>
      <c r="E18" s="86" t="s">
        <v>79</v>
      </c>
      <c r="F18" s="86" t="s">
        <v>77</v>
      </c>
      <c r="G18" s="92">
        <v>46279</v>
      </c>
      <c r="H18" s="86" t="s">
        <v>75</v>
      </c>
      <c r="I18" s="86" t="s">
        <v>27</v>
      </c>
    </row>
    <row r="19" spans="1:9">
      <c r="A19" s="93" t="s">
        <v>70</v>
      </c>
      <c r="B19" s="86" t="s">
        <v>19</v>
      </c>
      <c r="C19" s="86" t="s">
        <v>77</v>
      </c>
      <c r="D19" s="84" t="s">
        <v>106</v>
      </c>
      <c r="E19" s="86" t="s">
        <v>79</v>
      </c>
      <c r="F19" s="86" t="s">
        <v>77</v>
      </c>
      <c r="G19" s="91" t="s">
        <v>107</v>
      </c>
      <c r="H19" s="86" t="s">
        <v>107</v>
      </c>
      <c r="I19" s="86" t="s">
        <v>108</v>
      </c>
    </row>
    <row r="20" spans="1:9">
      <c r="A20" s="93" t="s">
        <v>70</v>
      </c>
      <c r="B20" s="86" t="s">
        <v>19</v>
      </c>
      <c r="C20" s="86" t="s">
        <v>77</v>
      </c>
      <c r="D20" s="84" t="s">
        <v>109</v>
      </c>
      <c r="E20" s="86" t="s">
        <v>79</v>
      </c>
      <c r="F20" s="86" t="s">
        <v>77</v>
      </c>
      <c r="G20" s="92">
        <v>46295</v>
      </c>
      <c r="H20" s="86" t="s">
        <v>75</v>
      </c>
      <c r="I20" s="86" t="s">
        <v>87</v>
      </c>
    </row>
    <row r="21" spans="1:9">
      <c r="A21" s="93" t="s">
        <v>70</v>
      </c>
      <c r="B21" s="86" t="s">
        <v>19</v>
      </c>
      <c r="C21" s="86" t="s">
        <v>77</v>
      </c>
      <c r="D21" s="84" t="s">
        <v>110</v>
      </c>
      <c r="E21" s="86" t="s">
        <v>79</v>
      </c>
      <c r="F21" s="86" t="s">
        <v>77</v>
      </c>
      <c r="G21" s="92">
        <v>46300</v>
      </c>
      <c r="H21" s="86" t="s">
        <v>86</v>
      </c>
      <c r="I21" s="86" t="s">
        <v>87</v>
      </c>
    </row>
    <row r="22" spans="1:9">
      <c r="A22" s="93" t="s">
        <v>70</v>
      </c>
      <c r="B22" s="86" t="s">
        <v>19</v>
      </c>
      <c r="C22" s="86" t="s">
        <v>77</v>
      </c>
      <c r="D22" s="84" t="s">
        <v>111</v>
      </c>
      <c r="E22" s="86" t="s">
        <v>85</v>
      </c>
      <c r="F22" s="86" t="s">
        <v>77</v>
      </c>
      <c r="G22" s="92">
        <v>46300</v>
      </c>
      <c r="H22" s="86" t="s">
        <v>86</v>
      </c>
      <c r="I22" s="86" t="s">
        <v>87</v>
      </c>
    </row>
    <row r="23" spans="1:9">
      <c r="A23" s="93" t="s">
        <v>70</v>
      </c>
      <c r="B23" s="86" t="s">
        <v>19</v>
      </c>
      <c r="C23" s="86" t="s">
        <v>83</v>
      </c>
      <c r="D23" s="84" t="s">
        <v>112</v>
      </c>
      <c r="E23" s="86" t="s">
        <v>85</v>
      </c>
      <c r="F23" s="86" t="s">
        <v>77</v>
      </c>
      <c r="G23" s="92">
        <v>46279</v>
      </c>
      <c r="H23" s="86" t="s">
        <v>75</v>
      </c>
      <c r="I23" s="86" t="s">
        <v>27</v>
      </c>
    </row>
    <row r="24" spans="1:9">
      <c r="A24" s="93" t="s">
        <v>70</v>
      </c>
      <c r="B24" s="86" t="s">
        <v>19</v>
      </c>
      <c r="C24" s="86" t="s">
        <v>90</v>
      </c>
      <c r="D24" s="84" t="s">
        <v>113</v>
      </c>
      <c r="E24" s="86" t="s">
        <v>92</v>
      </c>
      <c r="F24" s="86" t="s">
        <v>114</v>
      </c>
      <c r="G24" s="92">
        <v>46314</v>
      </c>
      <c r="H24" s="86" t="s">
        <v>86</v>
      </c>
      <c r="I24" s="86" t="s">
        <v>87</v>
      </c>
    </row>
    <row r="25" spans="1:9">
      <c r="A25" s="93" t="s">
        <v>70</v>
      </c>
      <c r="B25" s="86" t="s">
        <v>19</v>
      </c>
      <c r="C25" s="86" t="s">
        <v>98</v>
      </c>
      <c r="D25" s="84" t="s">
        <v>115</v>
      </c>
      <c r="E25" s="86" t="s">
        <v>100</v>
      </c>
      <c r="F25" s="86" t="s">
        <v>101</v>
      </c>
      <c r="G25" s="92">
        <v>46286</v>
      </c>
      <c r="H25" s="84" t="s">
        <v>75</v>
      </c>
      <c r="I25" s="86" t="s">
        <v>27</v>
      </c>
    </row>
    <row r="26" spans="1:9">
      <c r="A26" s="93" t="s">
        <v>70</v>
      </c>
      <c r="B26" s="86" t="s">
        <v>19</v>
      </c>
      <c r="C26" s="86" t="s">
        <v>98</v>
      </c>
      <c r="D26" s="84" t="s">
        <v>116</v>
      </c>
      <c r="E26" s="86" t="s">
        <v>100</v>
      </c>
      <c r="F26" s="86" t="s">
        <v>101</v>
      </c>
      <c r="G26" s="92">
        <v>46307</v>
      </c>
      <c r="H26" s="86" t="s">
        <v>86</v>
      </c>
      <c r="I26" s="86" t="s">
        <v>87</v>
      </c>
    </row>
    <row r="27" spans="1:9">
      <c r="A27" s="93" t="s">
        <v>70</v>
      </c>
      <c r="B27" s="86" t="s">
        <v>19</v>
      </c>
      <c r="C27" s="86" t="s">
        <v>117</v>
      </c>
      <c r="D27" s="87" t="s">
        <v>118</v>
      </c>
      <c r="E27" s="100" t="s">
        <v>85</v>
      </c>
      <c r="F27" s="86" t="s">
        <v>77</v>
      </c>
      <c r="G27" s="92">
        <v>46286</v>
      </c>
      <c r="H27" s="86" t="s">
        <v>75</v>
      </c>
      <c r="I27" s="86" t="s">
        <v>27</v>
      </c>
    </row>
    <row r="28" spans="1:9">
      <c r="A28" s="93" t="s">
        <v>70</v>
      </c>
      <c r="B28" s="86" t="s">
        <v>19</v>
      </c>
      <c r="C28" s="86" t="s">
        <v>83</v>
      </c>
      <c r="D28" s="87" t="s">
        <v>119</v>
      </c>
      <c r="E28" s="100" t="s">
        <v>85</v>
      </c>
      <c r="F28" s="86" t="s">
        <v>77</v>
      </c>
      <c r="G28" s="92">
        <v>46286</v>
      </c>
      <c r="H28" s="86" t="s">
        <v>75</v>
      </c>
      <c r="I28" s="86" t="s">
        <v>27</v>
      </c>
    </row>
    <row r="29" spans="1:9">
      <c r="A29" s="93" t="s">
        <v>70</v>
      </c>
      <c r="B29" s="86" t="s">
        <v>19</v>
      </c>
      <c r="C29" s="86" t="s">
        <v>77</v>
      </c>
      <c r="D29" s="87" t="s">
        <v>120</v>
      </c>
      <c r="E29" s="100" t="s">
        <v>79</v>
      </c>
      <c r="F29" s="86" t="s">
        <v>77</v>
      </c>
      <c r="G29" s="92">
        <v>46279</v>
      </c>
      <c r="H29" s="86" t="s">
        <v>75</v>
      </c>
      <c r="I29" s="86" t="s">
        <v>27</v>
      </c>
    </row>
    <row r="30" spans="1:9">
      <c r="A30" s="93" t="s">
        <v>70</v>
      </c>
      <c r="B30" s="86" t="s">
        <v>19</v>
      </c>
      <c r="C30" s="86" t="s">
        <v>77</v>
      </c>
      <c r="D30" s="87" t="s">
        <v>121</v>
      </c>
      <c r="E30" s="100" t="s">
        <v>79</v>
      </c>
      <c r="F30" s="86" t="s">
        <v>77</v>
      </c>
      <c r="G30" s="92">
        <v>46293</v>
      </c>
      <c r="H30" s="86" t="s">
        <v>75</v>
      </c>
      <c r="I30" s="86" t="s">
        <v>27</v>
      </c>
    </row>
    <row r="31" spans="1:9">
      <c r="A31" s="93" t="s">
        <v>70</v>
      </c>
      <c r="B31" s="86" t="s">
        <v>19</v>
      </c>
      <c r="C31" s="86" t="s">
        <v>77</v>
      </c>
      <c r="D31" s="87" t="s">
        <v>122</v>
      </c>
      <c r="E31" s="100" t="s">
        <v>79</v>
      </c>
      <c r="F31" s="86" t="s">
        <v>77</v>
      </c>
      <c r="G31" s="92">
        <v>46300</v>
      </c>
      <c r="H31" s="86" t="s">
        <v>86</v>
      </c>
      <c r="I31" s="86" t="s">
        <v>87</v>
      </c>
    </row>
    <row r="32" spans="1:9">
      <c r="A32" s="93" t="s">
        <v>70</v>
      </c>
      <c r="B32" s="86" t="s">
        <v>19</v>
      </c>
      <c r="C32" s="86" t="s">
        <v>77</v>
      </c>
      <c r="D32" s="87" t="s">
        <v>123</v>
      </c>
      <c r="E32" s="100" t="s">
        <v>79</v>
      </c>
      <c r="F32" s="86" t="s">
        <v>77</v>
      </c>
      <c r="G32" s="92">
        <v>46302</v>
      </c>
      <c r="H32" s="86" t="s">
        <v>86</v>
      </c>
      <c r="I32" s="86" t="s">
        <v>87</v>
      </c>
    </row>
    <row r="33" spans="1:9">
      <c r="A33" s="93" t="s">
        <v>70</v>
      </c>
      <c r="B33" s="86" t="s">
        <v>19</v>
      </c>
      <c r="C33" s="86" t="s">
        <v>77</v>
      </c>
      <c r="D33" s="87" t="s">
        <v>124</v>
      </c>
      <c r="E33" s="100" t="s">
        <v>79</v>
      </c>
      <c r="F33" s="86" t="s">
        <v>77</v>
      </c>
      <c r="G33" s="92">
        <v>46314</v>
      </c>
      <c r="H33" s="86" t="s">
        <v>86</v>
      </c>
      <c r="I33" s="86" t="s">
        <v>87</v>
      </c>
    </row>
    <row r="34" spans="1:9">
      <c r="A34" s="93" t="s">
        <v>70</v>
      </c>
      <c r="B34" s="86" t="s">
        <v>19</v>
      </c>
      <c r="C34" s="86" t="s">
        <v>125</v>
      </c>
      <c r="D34" s="87" t="s">
        <v>126</v>
      </c>
      <c r="E34" s="100" t="s">
        <v>85</v>
      </c>
      <c r="F34" s="86" t="s">
        <v>77</v>
      </c>
      <c r="G34" s="92">
        <v>46314</v>
      </c>
      <c r="H34" s="86" t="s">
        <v>86</v>
      </c>
      <c r="I34" s="86" t="s">
        <v>87</v>
      </c>
    </row>
    <row r="35" spans="1:9">
      <c r="A35" s="93" t="s">
        <v>70</v>
      </c>
      <c r="B35" s="86" t="s">
        <v>19</v>
      </c>
      <c r="C35" s="86" t="s">
        <v>125</v>
      </c>
      <c r="D35" s="87" t="s">
        <v>127</v>
      </c>
      <c r="E35" s="100" t="s">
        <v>85</v>
      </c>
      <c r="F35" s="86" t="s">
        <v>77</v>
      </c>
      <c r="G35" s="92">
        <v>46335</v>
      </c>
      <c r="H35" s="86" t="s">
        <v>104</v>
      </c>
      <c r="I35" s="86" t="s">
        <v>87</v>
      </c>
    </row>
    <row r="36" spans="1:9">
      <c r="A36" s="93" t="s">
        <v>70</v>
      </c>
      <c r="B36" s="86" t="s">
        <v>19</v>
      </c>
      <c r="C36" s="86" t="s">
        <v>125</v>
      </c>
      <c r="D36" s="87" t="s">
        <v>128</v>
      </c>
      <c r="E36" s="100" t="s">
        <v>85</v>
      </c>
      <c r="F36" s="86" t="s">
        <v>77</v>
      </c>
      <c r="G36" s="92">
        <v>46300</v>
      </c>
      <c r="H36" s="86" t="s">
        <v>86</v>
      </c>
      <c r="I36" s="86" t="s">
        <v>87</v>
      </c>
    </row>
    <row r="37" spans="1:9">
      <c r="A37" s="93" t="s">
        <v>70</v>
      </c>
      <c r="B37" s="86" t="s">
        <v>19</v>
      </c>
      <c r="C37" s="86" t="s">
        <v>77</v>
      </c>
      <c r="D37" s="87" t="s">
        <v>129</v>
      </c>
      <c r="E37" s="86" t="s">
        <v>79</v>
      </c>
      <c r="F37" s="86" t="s">
        <v>77</v>
      </c>
      <c r="G37" s="92">
        <v>46286</v>
      </c>
      <c r="H37" s="86" t="s">
        <v>75</v>
      </c>
      <c r="I37" s="84" t="s">
        <v>27</v>
      </c>
    </row>
    <row r="38" spans="1:9">
      <c r="A38" s="93" t="s">
        <v>70</v>
      </c>
      <c r="B38" s="86" t="s">
        <v>19</v>
      </c>
      <c r="C38" s="86" t="s">
        <v>77</v>
      </c>
      <c r="D38" s="87" t="s">
        <v>130</v>
      </c>
      <c r="E38" s="86" t="s">
        <v>79</v>
      </c>
      <c r="F38" s="86" t="s">
        <v>77</v>
      </c>
      <c r="G38" s="92">
        <v>46286</v>
      </c>
      <c r="H38" s="86" t="s">
        <v>75</v>
      </c>
      <c r="I38" s="86" t="s">
        <v>27</v>
      </c>
    </row>
    <row r="39" spans="1:9">
      <c r="A39" s="93" t="s">
        <v>70</v>
      </c>
      <c r="B39" s="86" t="s">
        <v>19</v>
      </c>
      <c r="C39" s="86" t="s">
        <v>77</v>
      </c>
      <c r="D39" s="87" t="s">
        <v>131</v>
      </c>
      <c r="E39" s="86" t="s">
        <v>79</v>
      </c>
      <c r="F39" s="86" t="s">
        <v>77</v>
      </c>
      <c r="G39" s="92">
        <v>46286</v>
      </c>
      <c r="H39" s="86" t="s">
        <v>75</v>
      </c>
      <c r="I39" s="84" t="s">
        <v>27</v>
      </c>
    </row>
    <row r="40" spans="1:9">
      <c r="A40" s="93" t="s">
        <v>70</v>
      </c>
      <c r="B40" s="86" t="s">
        <v>19</v>
      </c>
      <c r="C40" s="86" t="s">
        <v>77</v>
      </c>
      <c r="D40" s="87" t="s">
        <v>132</v>
      </c>
      <c r="E40" s="86" t="s">
        <v>79</v>
      </c>
      <c r="F40" s="86" t="s">
        <v>77</v>
      </c>
      <c r="G40" s="92">
        <v>46281</v>
      </c>
      <c r="H40" s="86" t="s">
        <v>75</v>
      </c>
      <c r="I40" s="84" t="s">
        <v>27</v>
      </c>
    </row>
    <row r="41" spans="1:9">
      <c r="A41" s="93" t="s">
        <v>70</v>
      </c>
      <c r="B41" s="86" t="s">
        <v>19</v>
      </c>
      <c r="C41" s="86" t="s">
        <v>77</v>
      </c>
      <c r="D41" s="87" t="s">
        <v>133</v>
      </c>
      <c r="E41" s="86" t="s">
        <v>79</v>
      </c>
      <c r="F41" s="86" t="s">
        <v>77</v>
      </c>
      <c r="G41" s="92">
        <v>46293</v>
      </c>
      <c r="H41" s="86" t="s">
        <v>75</v>
      </c>
      <c r="I41" s="86" t="s">
        <v>27</v>
      </c>
    </row>
    <row r="42" spans="1:9">
      <c r="A42" s="93" t="s">
        <v>70</v>
      </c>
      <c r="B42" s="86" t="s">
        <v>19</v>
      </c>
      <c r="C42" s="86" t="s">
        <v>77</v>
      </c>
      <c r="D42" s="87" t="s">
        <v>134</v>
      </c>
      <c r="E42" s="86" t="s">
        <v>79</v>
      </c>
      <c r="F42" s="86" t="s">
        <v>77</v>
      </c>
      <c r="G42" s="92">
        <v>46307</v>
      </c>
      <c r="H42" s="86" t="s">
        <v>86</v>
      </c>
      <c r="I42" s="84" t="s">
        <v>87</v>
      </c>
    </row>
    <row r="43" spans="1:9">
      <c r="A43" s="93" t="s">
        <v>70</v>
      </c>
      <c r="B43" s="86" t="s">
        <v>19</v>
      </c>
      <c r="C43" s="86" t="s">
        <v>83</v>
      </c>
      <c r="D43" s="87" t="s">
        <v>135</v>
      </c>
      <c r="E43" s="86" t="s">
        <v>85</v>
      </c>
      <c r="F43" s="86" t="s">
        <v>77</v>
      </c>
      <c r="G43" s="92">
        <v>46307</v>
      </c>
      <c r="H43" s="86" t="s">
        <v>86</v>
      </c>
      <c r="I43" s="84" t="s">
        <v>87</v>
      </c>
    </row>
    <row r="44" spans="1:9">
      <c r="A44" s="93" t="s">
        <v>70</v>
      </c>
      <c r="B44" s="86" t="s">
        <v>19</v>
      </c>
      <c r="C44" s="86" t="s">
        <v>77</v>
      </c>
      <c r="D44" s="87" t="s">
        <v>136</v>
      </c>
      <c r="E44" s="86" t="s">
        <v>79</v>
      </c>
      <c r="F44" s="86" t="s">
        <v>77</v>
      </c>
      <c r="G44" s="92">
        <v>46307</v>
      </c>
      <c r="H44" s="86" t="s">
        <v>86</v>
      </c>
      <c r="I44" s="87" t="s">
        <v>87</v>
      </c>
    </row>
    <row r="45" spans="1:9">
      <c r="A45" s="93" t="s">
        <v>70</v>
      </c>
      <c r="B45" s="86" t="s">
        <v>19</v>
      </c>
      <c r="C45" s="86" t="s">
        <v>77</v>
      </c>
      <c r="D45" s="87" t="s">
        <v>137</v>
      </c>
      <c r="E45" s="86" t="s">
        <v>79</v>
      </c>
      <c r="F45" s="86" t="s">
        <v>77</v>
      </c>
      <c r="G45" s="92">
        <v>46286</v>
      </c>
      <c r="H45" s="91" t="s">
        <v>75</v>
      </c>
      <c r="I45" s="89" t="s">
        <v>27</v>
      </c>
    </row>
    <row r="46" spans="1:9">
      <c r="A46" s="93" t="s">
        <v>70</v>
      </c>
      <c r="B46" s="86" t="s">
        <v>19</v>
      </c>
      <c r="C46" s="86" t="s">
        <v>77</v>
      </c>
      <c r="D46" s="87" t="s">
        <v>138</v>
      </c>
      <c r="E46" s="86" t="s">
        <v>79</v>
      </c>
      <c r="F46" s="86" t="s">
        <v>77</v>
      </c>
      <c r="G46" s="92">
        <v>46279</v>
      </c>
      <c r="H46" s="86" t="s">
        <v>75</v>
      </c>
      <c r="I46" s="89" t="s">
        <v>27</v>
      </c>
    </row>
    <row r="47" spans="1:9">
      <c r="A47" s="90" t="s">
        <v>70</v>
      </c>
      <c r="B47" s="86" t="s">
        <v>19</v>
      </c>
      <c r="C47" s="86" t="s">
        <v>77</v>
      </c>
      <c r="D47" s="87" t="s">
        <v>139</v>
      </c>
      <c r="E47" s="86" t="s">
        <v>85</v>
      </c>
      <c r="F47" s="86" t="s">
        <v>77</v>
      </c>
      <c r="G47" s="92">
        <v>46307</v>
      </c>
      <c r="H47" s="91" t="s">
        <v>86</v>
      </c>
      <c r="I47" s="89" t="s">
        <v>87</v>
      </c>
    </row>
    <row r="48" spans="1:9">
      <c r="A48" s="90" t="s">
        <v>70</v>
      </c>
      <c r="B48" s="86" t="s">
        <v>19</v>
      </c>
      <c r="C48" s="86" t="s">
        <v>77</v>
      </c>
      <c r="D48" s="87" t="s">
        <v>140</v>
      </c>
      <c r="E48" s="86" t="s">
        <v>85</v>
      </c>
      <c r="F48" s="86" t="s">
        <v>77</v>
      </c>
      <c r="G48" s="92">
        <v>46328</v>
      </c>
      <c r="H48" s="91" t="s">
        <v>104</v>
      </c>
      <c r="I48" s="89" t="s">
        <v>87</v>
      </c>
    </row>
    <row r="49" spans="1:9">
      <c r="A49" s="90" t="s">
        <v>70</v>
      </c>
      <c r="B49" s="86" t="s">
        <v>19</v>
      </c>
      <c r="C49" s="86" t="s">
        <v>77</v>
      </c>
      <c r="D49" s="84" t="s">
        <v>141</v>
      </c>
      <c r="E49" s="89" t="s">
        <v>79</v>
      </c>
      <c r="F49" s="89" t="s">
        <v>77</v>
      </c>
      <c r="G49" s="92">
        <v>46281</v>
      </c>
      <c r="H49" s="89" t="s">
        <v>75</v>
      </c>
      <c r="I49" s="89" t="s">
        <v>27</v>
      </c>
    </row>
    <row r="50" spans="1:9">
      <c r="A50" s="90" t="s">
        <v>70</v>
      </c>
      <c r="B50" s="84" t="s">
        <v>19</v>
      </c>
      <c r="C50" s="86" t="s">
        <v>77</v>
      </c>
      <c r="D50" s="84" t="s">
        <v>142</v>
      </c>
      <c r="E50" s="86" t="s">
        <v>79</v>
      </c>
      <c r="F50" s="86" t="s">
        <v>77</v>
      </c>
      <c r="G50" s="92">
        <v>46293</v>
      </c>
      <c r="H50" s="91" t="s">
        <v>75</v>
      </c>
      <c r="I50" s="86" t="s">
        <v>27</v>
      </c>
    </row>
    <row r="51" spans="1:9">
      <c r="A51" s="83" t="s">
        <v>70</v>
      </c>
      <c r="B51" s="84" t="s">
        <v>19</v>
      </c>
      <c r="C51" s="84" t="s">
        <v>77</v>
      </c>
      <c r="D51" s="84" t="s">
        <v>143</v>
      </c>
      <c r="E51" s="84" t="s">
        <v>79</v>
      </c>
      <c r="F51" s="84" t="s">
        <v>77</v>
      </c>
      <c r="G51" s="92">
        <v>46286</v>
      </c>
      <c r="H51" s="84" t="s">
        <v>75</v>
      </c>
      <c r="I51" s="84" t="s">
        <v>76</v>
      </c>
    </row>
    <row r="52" spans="1:9">
      <c r="A52" s="90" t="s">
        <v>70</v>
      </c>
      <c r="B52" s="89" t="s">
        <v>19</v>
      </c>
      <c r="C52" s="89" t="s">
        <v>77</v>
      </c>
      <c r="D52" s="84" t="s">
        <v>144</v>
      </c>
      <c r="E52" s="89" t="s">
        <v>79</v>
      </c>
      <c r="F52" s="89" t="s">
        <v>77</v>
      </c>
      <c r="G52" s="92">
        <v>46307</v>
      </c>
      <c r="H52" s="89" t="s">
        <v>86</v>
      </c>
      <c r="I52" s="84" t="s">
        <v>145</v>
      </c>
    </row>
    <row r="53" spans="1:9">
      <c r="A53" s="90" t="s">
        <v>70</v>
      </c>
      <c r="B53" s="89" t="s">
        <v>19</v>
      </c>
      <c r="C53" s="89" t="s">
        <v>77</v>
      </c>
      <c r="D53" s="84" t="s">
        <v>146</v>
      </c>
      <c r="E53" s="89" t="s">
        <v>79</v>
      </c>
      <c r="F53" s="89" t="s">
        <v>77</v>
      </c>
      <c r="G53" s="92">
        <v>46321</v>
      </c>
      <c r="H53" s="89" t="s">
        <v>86</v>
      </c>
      <c r="I53" s="84" t="s">
        <v>145</v>
      </c>
    </row>
    <row r="54" spans="1:9">
      <c r="A54" s="90" t="s">
        <v>70</v>
      </c>
      <c r="B54" s="89" t="s">
        <v>19</v>
      </c>
      <c r="C54" s="89" t="s">
        <v>77</v>
      </c>
      <c r="D54" s="84" t="s">
        <v>147</v>
      </c>
      <c r="E54" s="89" t="s">
        <v>79</v>
      </c>
      <c r="F54" s="89" t="s">
        <v>77</v>
      </c>
      <c r="G54" s="92">
        <v>46286</v>
      </c>
      <c r="H54" s="84" t="s">
        <v>75</v>
      </c>
      <c r="I54" s="84" t="s">
        <v>27</v>
      </c>
    </row>
    <row r="55" spans="1:9">
      <c r="A55" s="83" t="s">
        <v>70</v>
      </c>
      <c r="B55" s="84" t="s">
        <v>19</v>
      </c>
      <c r="C55" s="84" t="s">
        <v>77</v>
      </c>
      <c r="D55" s="84" t="s">
        <v>148</v>
      </c>
      <c r="E55" s="84" t="s">
        <v>79</v>
      </c>
      <c r="F55" s="84" t="s">
        <v>77</v>
      </c>
      <c r="G55" s="91" t="s">
        <v>107</v>
      </c>
      <c r="H55" s="91" t="s">
        <v>107</v>
      </c>
      <c r="I55" s="89" t="s">
        <v>149</v>
      </c>
    </row>
    <row r="56" spans="1:9">
      <c r="A56" s="83" t="s">
        <v>70</v>
      </c>
      <c r="B56" s="84" t="s">
        <v>19</v>
      </c>
      <c r="C56" s="84" t="s">
        <v>77</v>
      </c>
      <c r="D56" s="84" t="s">
        <v>150</v>
      </c>
      <c r="E56" s="84" t="s">
        <v>79</v>
      </c>
      <c r="F56" s="84" t="s">
        <v>77</v>
      </c>
      <c r="G56" s="92">
        <v>46293</v>
      </c>
      <c r="H56" s="89" t="s">
        <v>75</v>
      </c>
      <c r="I56" s="86" t="s">
        <v>27</v>
      </c>
    </row>
    <row r="57" spans="1:9">
      <c r="A57" s="83" t="s">
        <v>70</v>
      </c>
      <c r="B57" s="84" t="s">
        <v>19</v>
      </c>
      <c r="C57" s="84" t="s">
        <v>77</v>
      </c>
      <c r="D57" s="84" t="s">
        <v>151</v>
      </c>
      <c r="E57" s="84" t="s">
        <v>79</v>
      </c>
      <c r="F57" s="84" t="s">
        <v>77</v>
      </c>
      <c r="G57" s="92">
        <v>46293</v>
      </c>
      <c r="H57" s="84" t="s">
        <v>75</v>
      </c>
      <c r="I57" s="86" t="s">
        <v>27</v>
      </c>
    </row>
    <row r="58" spans="1:9">
      <c r="A58" s="83" t="s">
        <v>70</v>
      </c>
      <c r="B58" s="84" t="s">
        <v>19</v>
      </c>
      <c r="C58" s="84" t="s">
        <v>152</v>
      </c>
      <c r="D58" s="84" t="s">
        <v>153</v>
      </c>
      <c r="E58" s="84" t="s">
        <v>154</v>
      </c>
      <c r="F58" s="85" t="s">
        <v>155</v>
      </c>
      <c r="G58" s="91" t="s">
        <v>107</v>
      </c>
      <c r="H58" s="91" t="s">
        <v>107</v>
      </c>
      <c r="I58" s="89" t="s">
        <v>156</v>
      </c>
    </row>
    <row r="59" spans="1:9">
      <c r="A59" s="90" t="s">
        <v>70</v>
      </c>
      <c r="B59" s="84" t="s">
        <v>19</v>
      </c>
      <c r="C59" s="84" t="s">
        <v>77</v>
      </c>
      <c r="D59" s="101" t="s">
        <v>157</v>
      </c>
      <c r="E59" s="84" t="s">
        <v>79</v>
      </c>
      <c r="F59" s="84" t="s">
        <v>77</v>
      </c>
      <c r="G59" s="92">
        <v>46286</v>
      </c>
      <c r="H59" s="84" t="s">
        <v>75</v>
      </c>
      <c r="I59" s="89" t="s">
        <v>76</v>
      </c>
    </row>
    <row r="60" spans="1:9">
      <c r="A60" s="90" t="s">
        <v>70</v>
      </c>
      <c r="B60" s="84" t="s">
        <v>19</v>
      </c>
      <c r="C60" s="84" t="s">
        <v>77</v>
      </c>
      <c r="D60" s="101" t="s">
        <v>158</v>
      </c>
      <c r="E60" s="84" t="s">
        <v>79</v>
      </c>
      <c r="F60" s="84" t="s">
        <v>77</v>
      </c>
      <c r="G60" s="92">
        <v>46328</v>
      </c>
      <c r="H60" s="84" t="s">
        <v>104</v>
      </c>
      <c r="I60" s="89" t="s">
        <v>87</v>
      </c>
    </row>
    <row r="61" spans="1:9">
      <c r="A61" s="90" t="s">
        <v>70</v>
      </c>
      <c r="B61" s="84" t="s">
        <v>19</v>
      </c>
      <c r="C61" s="84" t="s">
        <v>77</v>
      </c>
      <c r="D61" s="101" t="s">
        <v>159</v>
      </c>
      <c r="E61" s="84" t="s">
        <v>79</v>
      </c>
      <c r="F61" s="84" t="s">
        <v>77</v>
      </c>
      <c r="G61" s="92">
        <v>46309</v>
      </c>
      <c r="H61" s="84" t="s">
        <v>86</v>
      </c>
      <c r="I61" s="89" t="s">
        <v>87</v>
      </c>
    </row>
    <row r="62" spans="1:9">
      <c r="A62" s="90" t="s">
        <v>70</v>
      </c>
      <c r="B62" s="84" t="s">
        <v>19</v>
      </c>
      <c r="C62" s="84" t="s">
        <v>77</v>
      </c>
      <c r="D62" s="101" t="s">
        <v>160</v>
      </c>
      <c r="E62" s="84" t="s">
        <v>79</v>
      </c>
      <c r="F62" s="84" t="s">
        <v>77</v>
      </c>
      <c r="G62" s="92">
        <v>46286</v>
      </c>
      <c r="H62" s="84" t="s">
        <v>75</v>
      </c>
      <c r="I62" s="89" t="s">
        <v>76</v>
      </c>
    </row>
    <row r="63" spans="1:9">
      <c r="A63" s="90" t="s">
        <v>70</v>
      </c>
      <c r="B63" s="84" t="s">
        <v>19</v>
      </c>
      <c r="C63" s="84" t="s">
        <v>77</v>
      </c>
      <c r="D63" s="101" t="s">
        <v>161</v>
      </c>
      <c r="E63" s="84" t="s">
        <v>79</v>
      </c>
      <c r="F63" s="84" t="s">
        <v>77</v>
      </c>
      <c r="G63" s="92">
        <v>46293</v>
      </c>
      <c r="H63" s="84" t="s">
        <v>75</v>
      </c>
      <c r="I63" s="86" t="s">
        <v>27</v>
      </c>
    </row>
    <row r="64" spans="1:9">
      <c r="A64" s="90" t="s">
        <v>70</v>
      </c>
      <c r="B64" s="84" t="s">
        <v>19</v>
      </c>
      <c r="C64" s="84" t="s">
        <v>77</v>
      </c>
      <c r="D64" s="101" t="s">
        <v>162</v>
      </c>
      <c r="E64" s="84" t="s">
        <v>79</v>
      </c>
      <c r="F64" s="84" t="s">
        <v>77</v>
      </c>
      <c r="G64" s="92">
        <v>46328</v>
      </c>
      <c r="H64" s="84" t="s">
        <v>104</v>
      </c>
      <c r="I64" s="89" t="s">
        <v>87</v>
      </c>
    </row>
    <row r="65" spans="1:9">
      <c r="A65" s="90" t="s">
        <v>70</v>
      </c>
      <c r="B65" s="84" t="s">
        <v>19</v>
      </c>
      <c r="C65" s="84" t="s">
        <v>77</v>
      </c>
      <c r="D65" s="101" t="s">
        <v>163</v>
      </c>
      <c r="E65" s="84" t="s">
        <v>79</v>
      </c>
      <c r="F65" s="84" t="s">
        <v>77</v>
      </c>
      <c r="G65" s="92">
        <v>46286</v>
      </c>
      <c r="H65" s="84" t="s">
        <v>75</v>
      </c>
      <c r="I65" s="89" t="s">
        <v>27</v>
      </c>
    </row>
    <row r="66" spans="1:9">
      <c r="A66" s="90" t="s">
        <v>70</v>
      </c>
      <c r="B66" s="84" t="s">
        <v>19</v>
      </c>
      <c r="C66" s="84" t="s">
        <v>77</v>
      </c>
      <c r="D66" s="101" t="s">
        <v>164</v>
      </c>
      <c r="E66" s="84" t="s">
        <v>79</v>
      </c>
      <c r="F66" s="84" t="s">
        <v>77</v>
      </c>
      <c r="G66" s="92">
        <v>46286</v>
      </c>
      <c r="H66" s="84" t="s">
        <v>75</v>
      </c>
      <c r="I66" s="89" t="s">
        <v>27</v>
      </c>
    </row>
    <row r="67" spans="1:9">
      <c r="A67" s="90" t="s">
        <v>70</v>
      </c>
      <c r="B67" s="84" t="s">
        <v>19</v>
      </c>
      <c r="C67" s="84" t="s">
        <v>77</v>
      </c>
      <c r="D67" s="84" t="s">
        <v>165</v>
      </c>
      <c r="E67" s="84" t="s">
        <v>79</v>
      </c>
      <c r="F67" s="84" t="s">
        <v>77</v>
      </c>
      <c r="G67" s="92">
        <v>46286</v>
      </c>
      <c r="H67" s="91" t="s">
        <v>75</v>
      </c>
      <c r="I67" s="89" t="s">
        <v>27</v>
      </c>
    </row>
    <row r="68" spans="1:9">
      <c r="A68" s="90" t="s">
        <v>70</v>
      </c>
      <c r="B68" s="84" t="s">
        <v>19</v>
      </c>
      <c r="C68" s="84" t="s">
        <v>77</v>
      </c>
      <c r="D68" s="84" t="s">
        <v>166</v>
      </c>
      <c r="E68" s="84" t="s">
        <v>79</v>
      </c>
      <c r="F68" s="84" t="s">
        <v>77</v>
      </c>
      <c r="G68" s="92">
        <v>46293</v>
      </c>
      <c r="H68" s="91" t="s">
        <v>75</v>
      </c>
      <c r="I68" s="86" t="s">
        <v>27</v>
      </c>
    </row>
    <row r="69" spans="1:9">
      <c r="A69" s="90" t="s">
        <v>70</v>
      </c>
      <c r="B69" s="84" t="s">
        <v>19</v>
      </c>
      <c r="C69" s="84" t="s">
        <v>77</v>
      </c>
      <c r="D69" s="84" t="s">
        <v>167</v>
      </c>
      <c r="E69" s="84" t="s">
        <v>79</v>
      </c>
      <c r="F69" s="84" t="s">
        <v>77</v>
      </c>
      <c r="G69" s="92">
        <v>46300</v>
      </c>
      <c r="H69" s="91" t="s">
        <v>86</v>
      </c>
      <c r="I69" s="89" t="s">
        <v>87</v>
      </c>
    </row>
    <row r="70" spans="1:9">
      <c r="A70" s="90" t="s">
        <v>70</v>
      </c>
      <c r="B70" s="84" t="s">
        <v>19</v>
      </c>
      <c r="C70" s="84" t="s">
        <v>77</v>
      </c>
      <c r="D70" s="84" t="s">
        <v>168</v>
      </c>
      <c r="E70" s="84" t="s">
        <v>79</v>
      </c>
      <c r="F70" s="84" t="s">
        <v>77</v>
      </c>
      <c r="G70" s="92">
        <v>46300</v>
      </c>
      <c r="H70" s="91" t="s">
        <v>86</v>
      </c>
      <c r="I70" s="89" t="s">
        <v>87</v>
      </c>
    </row>
    <row r="71" spans="1:9">
      <c r="A71" s="90" t="s">
        <v>70</v>
      </c>
      <c r="B71" s="84" t="s">
        <v>19</v>
      </c>
      <c r="C71" s="84" t="s">
        <v>77</v>
      </c>
      <c r="D71" s="84" t="s">
        <v>169</v>
      </c>
      <c r="E71" s="84" t="s">
        <v>79</v>
      </c>
      <c r="F71" s="84" t="s">
        <v>77</v>
      </c>
      <c r="G71" s="92">
        <v>46286</v>
      </c>
      <c r="H71" s="91" t="s">
        <v>75</v>
      </c>
      <c r="I71" s="89" t="s">
        <v>27</v>
      </c>
    </row>
    <row r="72" spans="1:9">
      <c r="A72" s="90" t="s">
        <v>70</v>
      </c>
      <c r="B72" s="84" t="s">
        <v>19</v>
      </c>
      <c r="C72" s="84" t="s">
        <v>77</v>
      </c>
      <c r="D72" s="84" t="s">
        <v>170</v>
      </c>
      <c r="E72" s="84" t="s">
        <v>79</v>
      </c>
      <c r="F72" s="84" t="s">
        <v>77</v>
      </c>
      <c r="G72" s="92">
        <v>46293</v>
      </c>
      <c r="H72" s="91" t="s">
        <v>75</v>
      </c>
      <c r="I72" s="86" t="s">
        <v>27</v>
      </c>
    </row>
    <row r="73" spans="1:9">
      <c r="A73" s="90" t="s">
        <v>70</v>
      </c>
      <c r="B73" s="84" t="s">
        <v>19</v>
      </c>
      <c r="C73" s="84" t="s">
        <v>77</v>
      </c>
      <c r="D73" s="84" t="s">
        <v>171</v>
      </c>
      <c r="E73" s="84" t="s">
        <v>79</v>
      </c>
      <c r="F73" s="84" t="s">
        <v>77</v>
      </c>
      <c r="G73" s="92">
        <v>46286</v>
      </c>
      <c r="H73" s="91" t="s">
        <v>75</v>
      </c>
      <c r="I73" s="89" t="s">
        <v>76</v>
      </c>
    </row>
    <row r="74" spans="1:9">
      <c r="A74" s="90" t="s">
        <v>70</v>
      </c>
      <c r="B74" s="86" t="s">
        <v>19</v>
      </c>
      <c r="C74" s="86" t="s">
        <v>83</v>
      </c>
      <c r="D74" s="87" t="s">
        <v>172</v>
      </c>
      <c r="E74" s="86" t="s">
        <v>85</v>
      </c>
      <c r="F74" s="86" t="s">
        <v>77</v>
      </c>
      <c r="G74" s="92">
        <v>46314</v>
      </c>
      <c r="H74" s="86" t="s">
        <v>86</v>
      </c>
      <c r="I74" s="89" t="s">
        <v>87</v>
      </c>
    </row>
    <row r="75" spans="1:9">
      <c r="A75" s="90" t="s">
        <v>70</v>
      </c>
      <c r="B75" s="86" t="s">
        <v>19</v>
      </c>
      <c r="C75" s="84" t="s">
        <v>77</v>
      </c>
      <c r="D75" s="102" t="s">
        <v>173</v>
      </c>
      <c r="E75" s="83" t="s">
        <v>79</v>
      </c>
      <c r="F75" s="84" t="s">
        <v>77</v>
      </c>
      <c r="G75" s="92">
        <v>46315</v>
      </c>
      <c r="H75" s="89" t="s">
        <v>86</v>
      </c>
      <c r="I75" s="89" t="s">
        <v>87</v>
      </c>
    </row>
    <row r="76" spans="1:9">
      <c r="A76" s="90" t="s">
        <v>70</v>
      </c>
      <c r="B76" s="86" t="s">
        <v>19</v>
      </c>
      <c r="C76" s="84" t="s">
        <v>77</v>
      </c>
      <c r="D76" s="102" t="s">
        <v>174</v>
      </c>
      <c r="E76" s="83" t="s">
        <v>79</v>
      </c>
      <c r="F76" s="84" t="s">
        <v>77</v>
      </c>
      <c r="G76" s="92">
        <v>46307</v>
      </c>
      <c r="H76" s="89" t="s">
        <v>86</v>
      </c>
      <c r="I76" s="89" t="s">
        <v>87</v>
      </c>
    </row>
    <row r="77" spans="1:9">
      <c r="A77" s="90" t="s">
        <v>70</v>
      </c>
      <c r="B77" s="86" t="s">
        <v>19</v>
      </c>
      <c r="C77" s="84" t="s">
        <v>77</v>
      </c>
      <c r="D77" s="102" t="s">
        <v>175</v>
      </c>
      <c r="E77" s="83" t="s">
        <v>79</v>
      </c>
      <c r="F77" s="84" t="s">
        <v>77</v>
      </c>
      <c r="G77" s="92">
        <v>46288</v>
      </c>
      <c r="H77" s="89" t="s">
        <v>75</v>
      </c>
      <c r="I77" s="89" t="s">
        <v>27</v>
      </c>
    </row>
    <row r="78" spans="1:9">
      <c r="A78" s="90" t="s">
        <v>70</v>
      </c>
      <c r="B78" s="86" t="s">
        <v>19</v>
      </c>
      <c r="C78" s="84" t="s">
        <v>77</v>
      </c>
      <c r="D78" s="102" t="s">
        <v>176</v>
      </c>
      <c r="E78" s="83" t="s">
        <v>79</v>
      </c>
      <c r="F78" s="84" t="s">
        <v>77</v>
      </c>
      <c r="G78" s="92">
        <v>46302</v>
      </c>
      <c r="H78" s="89" t="s">
        <v>86</v>
      </c>
      <c r="I78" s="89" t="s">
        <v>87</v>
      </c>
    </row>
    <row r="79" spans="1:9">
      <c r="A79" s="90" t="s">
        <v>70</v>
      </c>
      <c r="B79" s="86" t="s">
        <v>19</v>
      </c>
      <c r="C79" s="84" t="s">
        <v>77</v>
      </c>
      <c r="D79" s="102" t="s">
        <v>177</v>
      </c>
      <c r="E79" s="83" t="s">
        <v>79</v>
      </c>
      <c r="F79" s="84" t="s">
        <v>77</v>
      </c>
      <c r="G79" s="92">
        <v>46295</v>
      </c>
      <c r="H79" s="89" t="s">
        <v>75</v>
      </c>
      <c r="I79" s="89" t="s">
        <v>87</v>
      </c>
    </row>
    <row r="80" spans="1:9">
      <c r="A80" s="90" t="s">
        <v>70</v>
      </c>
      <c r="B80" s="86" t="s">
        <v>19</v>
      </c>
      <c r="C80" s="84" t="s">
        <v>77</v>
      </c>
      <c r="D80" s="102" t="s">
        <v>178</v>
      </c>
      <c r="E80" s="83" t="s">
        <v>79</v>
      </c>
      <c r="F80" s="84" t="s">
        <v>77</v>
      </c>
      <c r="G80" s="92">
        <v>46300</v>
      </c>
      <c r="H80" s="89" t="s">
        <v>86</v>
      </c>
      <c r="I80" s="89" t="s">
        <v>87</v>
      </c>
    </row>
    <row r="81" spans="1:9">
      <c r="A81" s="90" t="s">
        <v>70</v>
      </c>
      <c r="B81" s="86" t="s">
        <v>19</v>
      </c>
      <c r="C81" s="84" t="s">
        <v>77</v>
      </c>
      <c r="D81" s="102" t="s">
        <v>179</v>
      </c>
      <c r="E81" s="83" t="s">
        <v>79</v>
      </c>
      <c r="F81" s="84" t="s">
        <v>77</v>
      </c>
      <c r="G81" s="92">
        <v>46321</v>
      </c>
      <c r="H81" s="91" t="s">
        <v>86</v>
      </c>
      <c r="I81" s="89" t="s">
        <v>76</v>
      </c>
    </row>
    <row r="82" spans="1:9">
      <c r="A82" s="90" t="s">
        <v>70</v>
      </c>
      <c r="B82" s="86" t="s">
        <v>19</v>
      </c>
      <c r="C82" s="84" t="s">
        <v>77</v>
      </c>
      <c r="D82" s="102" t="s">
        <v>180</v>
      </c>
      <c r="E82" s="83" t="s">
        <v>79</v>
      </c>
      <c r="F82" s="84" t="s">
        <v>77</v>
      </c>
      <c r="G82" s="92">
        <v>46300</v>
      </c>
      <c r="H82" s="91" t="s">
        <v>86</v>
      </c>
      <c r="I82" s="89" t="s">
        <v>87</v>
      </c>
    </row>
    <row r="83" spans="1:9">
      <c r="A83" s="90" t="s">
        <v>70</v>
      </c>
      <c r="B83" s="86" t="s">
        <v>19</v>
      </c>
      <c r="C83" s="84" t="s">
        <v>77</v>
      </c>
      <c r="D83" s="87" t="s">
        <v>181</v>
      </c>
      <c r="E83" s="84" t="s">
        <v>79</v>
      </c>
      <c r="F83" s="84" t="s">
        <v>77</v>
      </c>
      <c r="G83" s="92">
        <v>46293</v>
      </c>
      <c r="H83" s="91" t="s">
        <v>75</v>
      </c>
      <c r="I83" s="86" t="s">
        <v>27</v>
      </c>
    </row>
    <row r="84" spans="1:9">
      <c r="A84" s="90" t="s">
        <v>70</v>
      </c>
      <c r="B84" s="86" t="s">
        <v>19</v>
      </c>
      <c r="C84" s="102" t="s">
        <v>77</v>
      </c>
      <c r="D84" s="99" t="s">
        <v>182</v>
      </c>
      <c r="E84" s="86" t="s">
        <v>79</v>
      </c>
      <c r="F84" s="84" t="s">
        <v>77</v>
      </c>
      <c r="G84" s="92">
        <v>46293</v>
      </c>
      <c r="H84" s="91" t="s">
        <v>75</v>
      </c>
      <c r="I84" s="86" t="s">
        <v>27</v>
      </c>
    </row>
    <row r="85" spans="1:9">
      <c r="A85" s="83" t="s">
        <v>70</v>
      </c>
      <c r="B85" s="84" t="s">
        <v>19</v>
      </c>
      <c r="C85" s="84" t="s">
        <v>77</v>
      </c>
      <c r="D85" s="101" t="s">
        <v>183</v>
      </c>
      <c r="E85" s="101" t="s">
        <v>79</v>
      </c>
      <c r="F85" s="101" t="s">
        <v>77</v>
      </c>
      <c r="G85" s="92">
        <v>46300</v>
      </c>
      <c r="H85" s="91" t="s">
        <v>86</v>
      </c>
      <c r="I85" s="89" t="s">
        <v>87</v>
      </c>
    </row>
    <row r="86" spans="1:9">
      <c r="A86" s="83" t="s">
        <v>70</v>
      </c>
      <c r="B86" s="84" t="s">
        <v>19</v>
      </c>
      <c r="C86" s="84" t="s">
        <v>77</v>
      </c>
      <c r="D86" s="87" t="s">
        <v>184</v>
      </c>
      <c r="E86" s="84" t="s">
        <v>79</v>
      </c>
      <c r="F86" s="86" t="s">
        <v>77</v>
      </c>
      <c r="G86" s="92">
        <v>46314</v>
      </c>
      <c r="H86" s="86" t="s">
        <v>86</v>
      </c>
      <c r="I86" s="89" t="s">
        <v>87</v>
      </c>
    </row>
    <row r="87" spans="1:9">
      <c r="A87" s="83" t="s">
        <v>70</v>
      </c>
      <c r="B87" s="84" t="s">
        <v>19</v>
      </c>
      <c r="C87" s="84" t="s">
        <v>77</v>
      </c>
      <c r="D87" s="87" t="s">
        <v>185</v>
      </c>
      <c r="E87" s="84" t="s">
        <v>79</v>
      </c>
      <c r="F87" s="86" t="s">
        <v>77</v>
      </c>
      <c r="G87" s="92">
        <v>46307</v>
      </c>
      <c r="H87" s="86" t="s">
        <v>86</v>
      </c>
      <c r="I87" s="89" t="s">
        <v>87</v>
      </c>
    </row>
    <row r="88" spans="1:9">
      <c r="A88" s="83" t="s">
        <v>70</v>
      </c>
      <c r="B88" s="84" t="s">
        <v>19</v>
      </c>
      <c r="C88" s="84" t="s">
        <v>77</v>
      </c>
      <c r="D88" s="87" t="s">
        <v>186</v>
      </c>
      <c r="E88" s="84" t="s">
        <v>79</v>
      </c>
      <c r="F88" s="86" t="s">
        <v>77</v>
      </c>
      <c r="G88" s="92">
        <v>46307</v>
      </c>
      <c r="H88" s="86" t="s">
        <v>86</v>
      </c>
      <c r="I88" s="89" t="s">
        <v>87</v>
      </c>
    </row>
  </sheetData>
  <autoFilter ref="A1:I88" xr:uid="{816AA59C-98E0-468C-9DF2-BC48A2FAD14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2"/>
  <sheetViews>
    <sheetView showGridLines="0" zoomScaleNormal="100" workbookViewId="0">
      <pane xSplit="8" topLeftCell="I1" activePane="topRight" state="frozen"/>
      <selection pane="topRight" activeCell="J36" sqref="J36"/>
    </sheetView>
  </sheetViews>
  <sheetFormatPr defaultRowHeight="15" customHeight="1"/>
  <cols>
    <col min="1" max="2" width="15" customWidth="1"/>
    <col min="3" max="3" width="7.42578125" customWidth="1"/>
    <col min="4" max="4" width="39.85546875" customWidth="1"/>
    <col min="5" max="5" width="11.140625" customWidth="1"/>
    <col min="6" max="6" width="13.42578125" customWidth="1"/>
    <col min="8" max="8" width="13.42578125" customWidth="1"/>
    <col min="9" max="9" width="16.5703125" customWidth="1"/>
    <col min="10" max="10" width="18.28515625" customWidth="1"/>
    <col min="11" max="11" width="21.28515625" customWidth="1"/>
    <col min="12" max="12" width="19.28515625" customWidth="1"/>
    <col min="13" max="13" width="14.5703125" customWidth="1"/>
    <col min="15" max="15" width="123.140625" customWidth="1"/>
  </cols>
  <sheetData>
    <row r="1" spans="1:15" ht="14.45">
      <c r="A1" s="2" t="s">
        <v>187</v>
      </c>
      <c r="B1" s="2" t="s">
        <v>188</v>
      </c>
      <c r="C1" s="2" t="s">
        <v>189</v>
      </c>
      <c r="D1" s="2" t="s">
        <v>190</v>
      </c>
      <c r="E1" s="2" t="s">
        <v>65</v>
      </c>
      <c r="F1" s="2" t="s">
        <v>191</v>
      </c>
      <c r="G1" s="2" t="s">
        <v>192</v>
      </c>
      <c r="H1" s="2" t="s">
        <v>193</v>
      </c>
      <c r="I1" s="2" t="s">
        <v>52</v>
      </c>
      <c r="J1" s="2" t="s">
        <v>194</v>
      </c>
      <c r="K1" s="2" t="s">
        <v>195</v>
      </c>
      <c r="L1" s="2" t="s">
        <v>26</v>
      </c>
      <c r="M1" s="2" t="s">
        <v>27</v>
      </c>
      <c r="N1" s="2" t="s">
        <v>196</v>
      </c>
      <c r="O1" s="2" t="s">
        <v>197</v>
      </c>
    </row>
    <row r="2" spans="1:15" ht="14.45">
      <c r="A2" s="2" t="s">
        <v>198</v>
      </c>
      <c r="B2" s="2"/>
      <c r="C2" s="2" t="s">
        <v>19</v>
      </c>
      <c r="D2" s="2" t="s">
        <v>199</v>
      </c>
      <c r="E2" s="2" t="s">
        <v>92</v>
      </c>
      <c r="F2" s="2" t="s">
        <v>200</v>
      </c>
      <c r="G2" s="2">
        <v>2</v>
      </c>
      <c r="H2" s="2" t="s">
        <v>201</v>
      </c>
      <c r="I2" s="2"/>
      <c r="J2" s="2">
        <v>2</v>
      </c>
      <c r="K2" s="2"/>
      <c r="L2" s="2"/>
      <c r="M2" s="2">
        <v>2</v>
      </c>
      <c r="N2" s="2">
        <f>Table1[[#This Row],[Joined]]-Table1[[#This Row],[HC]]</f>
        <v>0</v>
      </c>
      <c r="O2" s="2" t="s">
        <v>202</v>
      </c>
    </row>
    <row r="3" spans="1:15" ht="14.45">
      <c r="A3" s="2" t="s">
        <v>203</v>
      </c>
      <c r="B3" s="2"/>
      <c r="C3" s="2" t="s">
        <v>19</v>
      </c>
      <c r="D3" s="2" t="s">
        <v>37</v>
      </c>
      <c r="E3" s="2" t="s">
        <v>85</v>
      </c>
      <c r="F3" s="2" t="s">
        <v>200</v>
      </c>
      <c r="G3" s="2">
        <v>2</v>
      </c>
      <c r="H3" s="2" t="s">
        <v>201</v>
      </c>
      <c r="I3" s="2"/>
      <c r="J3" s="2">
        <v>2</v>
      </c>
      <c r="K3" s="2"/>
      <c r="L3" s="2"/>
      <c r="M3" s="2">
        <v>2</v>
      </c>
      <c r="N3" s="2">
        <f>Table1[[#This Row],[Joined]]-Table1[[#This Row],[HC]]</f>
        <v>0</v>
      </c>
      <c r="O3" s="2"/>
    </row>
    <row r="4" spans="1:15" ht="14.45">
      <c r="A4" s="2" t="s">
        <v>203</v>
      </c>
      <c r="B4" s="2"/>
      <c r="C4" s="2" t="s">
        <v>19</v>
      </c>
      <c r="D4" s="19" t="s">
        <v>204</v>
      </c>
      <c r="E4" s="2" t="s">
        <v>154</v>
      </c>
      <c r="F4" s="2"/>
      <c r="G4" s="2">
        <v>0</v>
      </c>
      <c r="H4" s="2"/>
      <c r="I4" s="2"/>
      <c r="J4" s="2"/>
      <c r="K4" s="2"/>
      <c r="L4" s="2"/>
      <c r="M4" s="2"/>
      <c r="N4" s="2">
        <v>0</v>
      </c>
      <c r="O4" s="2" t="s">
        <v>205</v>
      </c>
    </row>
    <row r="5" spans="1:15" ht="14.45">
      <c r="A5" s="2" t="s">
        <v>203</v>
      </c>
      <c r="B5" s="2"/>
      <c r="C5" s="2" t="s">
        <v>19</v>
      </c>
      <c r="D5" s="19" t="s">
        <v>206</v>
      </c>
      <c r="E5" s="2" t="s">
        <v>100</v>
      </c>
      <c r="F5" s="2"/>
      <c r="G5" s="2">
        <v>0</v>
      </c>
      <c r="H5" s="2"/>
      <c r="I5" s="2"/>
      <c r="J5" s="2"/>
      <c r="K5" s="2"/>
      <c r="L5" s="2"/>
      <c r="M5" s="2"/>
      <c r="N5" s="2">
        <v>0</v>
      </c>
      <c r="O5" s="2" t="s">
        <v>205</v>
      </c>
    </row>
    <row r="6" spans="1:15" ht="14.45">
      <c r="A6" s="2" t="s">
        <v>75</v>
      </c>
      <c r="B6" s="2"/>
      <c r="C6" s="2" t="s">
        <v>19</v>
      </c>
      <c r="D6" s="19" t="s">
        <v>207</v>
      </c>
      <c r="E6" s="2" t="s">
        <v>154</v>
      </c>
      <c r="F6" s="2"/>
      <c r="G6" s="2">
        <v>0</v>
      </c>
      <c r="H6" s="2"/>
      <c r="I6" s="2"/>
      <c r="J6" s="2"/>
      <c r="K6" s="2"/>
      <c r="L6" s="2"/>
      <c r="M6" s="2"/>
      <c r="N6" s="2">
        <v>0</v>
      </c>
      <c r="O6" s="2" t="s">
        <v>205</v>
      </c>
    </row>
    <row r="7" spans="1:15" ht="14.45">
      <c r="A7" s="2" t="s">
        <v>75</v>
      </c>
      <c r="B7" s="2"/>
      <c r="C7" s="2" t="s">
        <v>19</v>
      </c>
      <c r="D7" s="30" t="s">
        <v>39</v>
      </c>
      <c r="E7" s="2" t="s">
        <v>85</v>
      </c>
      <c r="F7" s="2"/>
      <c r="G7" s="2">
        <v>4</v>
      </c>
      <c r="H7" s="2" t="s">
        <v>201</v>
      </c>
      <c r="I7" s="2"/>
      <c r="J7" s="2">
        <v>4</v>
      </c>
      <c r="K7" s="2"/>
      <c r="L7" s="2"/>
      <c r="M7" s="2">
        <v>4</v>
      </c>
      <c r="N7" s="2">
        <f>Table1[[#This Row],[Joined]]-Table1[[#This Row],[HC]]</f>
        <v>0</v>
      </c>
      <c r="O7" s="2" t="s">
        <v>208</v>
      </c>
    </row>
    <row r="8" spans="1:15" ht="14.45">
      <c r="A8" s="2" t="s">
        <v>75</v>
      </c>
      <c r="B8" s="2"/>
      <c r="C8" s="2" t="s">
        <v>19</v>
      </c>
      <c r="D8" s="20" t="s">
        <v>209</v>
      </c>
      <c r="E8" s="2" t="s">
        <v>85</v>
      </c>
      <c r="F8" s="2" t="s">
        <v>200</v>
      </c>
      <c r="G8" s="2">
        <v>4</v>
      </c>
      <c r="H8" s="2" t="s">
        <v>210</v>
      </c>
      <c r="I8" s="2"/>
      <c r="J8" s="2">
        <v>3</v>
      </c>
      <c r="K8" s="2"/>
      <c r="L8" s="2"/>
      <c r="M8" s="2">
        <v>3</v>
      </c>
      <c r="N8" s="2">
        <f>Table1[[#This Row],[Joined]]-Table1[[#This Row],[HC]]</f>
        <v>-1</v>
      </c>
      <c r="O8" s="2"/>
    </row>
    <row r="9" spans="1:15" ht="14.45">
      <c r="A9" s="2" t="s">
        <v>75</v>
      </c>
      <c r="B9" s="2"/>
      <c r="C9" s="2" t="s">
        <v>19</v>
      </c>
      <c r="D9" s="2" t="s">
        <v>211</v>
      </c>
      <c r="E9" s="2" t="s">
        <v>85</v>
      </c>
      <c r="F9" s="2"/>
      <c r="G9" s="2">
        <v>1</v>
      </c>
      <c r="H9" s="2" t="s">
        <v>201</v>
      </c>
      <c r="I9" s="2"/>
      <c r="J9" s="2">
        <v>1</v>
      </c>
      <c r="K9" s="2"/>
      <c r="L9" s="2"/>
      <c r="M9" s="2">
        <v>1</v>
      </c>
      <c r="N9" s="2">
        <f>Table1[[#This Row],[Joined]]-Table1[[#This Row],[HC]]</f>
        <v>0</v>
      </c>
      <c r="O9" s="2"/>
    </row>
    <row r="10" spans="1:15" ht="14.45">
      <c r="A10" s="2" t="s">
        <v>75</v>
      </c>
      <c r="B10" s="2"/>
      <c r="C10" s="2" t="s">
        <v>19</v>
      </c>
      <c r="D10" s="18" t="s">
        <v>212</v>
      </c>
      <c r="E10" s="2" t="s">
        <v>154</v>
      </c>
      <c r="F10" s="2" t="s">
        <v>200</v>
      </c>
      <c r="G10" s="2">
        <v>1</v>
      </c>
      <c r="H10" s="2" t="s">
        <v>210</v>
      </c>
      <c r="I10" s="2"/>
      <c r="J10" s="2">
        <v>1</v>
      </c>
      <c r="K10" s="2"/>
      <c r="L10" s="2"/>
      <c r="M10" s="2"/>
      <c r="N10" s="2">
        <f>Table1[[#This Row],[Joined]]-Table1[[#This Row],[HC]]</f>
        <v>-1</v>
      </c>
      <c r="O10" s="2" t="s">
        <v>213</v>
      </c>
    </row>
    <row r="11" spans="1:15" ht="14.45">
      <c r="A11" s="2" t="s">
        <v>75</v>
      </c>
      <c r="B11" s="2"/>
      <c r="C11" s="2" t="s">
        <v>19</v>
      </c>
      <c r="D11" s="18" t="s">
        <v>214</v>
      </c>
      <c r="E11" s="2" t="s">
        <v>73</v>
      </c>
      <c r="F11" s="2" t="s">
        <v>200</v>
      </c>
      <c r="G11" s="2">
        <v>1</v>
      </c>
      <c r="H11" s="2" t="s">
        <v>201</v>
      </c>
      <c r="I11" s="2"/>
      <c r="J11" s="2">
        <v>1</v>
      </c>
      <c r="K11" s="2"/>
      <c r="L11" s="2"/>
      <c r="M11" s="2">
        <v>1</v>
      </c>
      <c r="N11" s="2">
        <f>Table1[[#This Row],[Joined]]-Table1[[#This Row],[HC]]</f>
        <v>0</v>
      </c>
      <c r="O11" s="2" t="s">
        <v>215</v>
      </c>
    </row>
    <row r="12" spans="1:15" ht="14.45">
      <c r="A12" s="2" t="s">
        <v>75</v>
      </c>
      <c r="B12" s="2"/>
      <c r="C12" s="2" t="s">
        <v>19</v>
      </c>
      <c r="D12" s="2" t="s">
        <v>216</v>
      </c>
      <c r="E12" s="2" t="s">
        <v>85</v>
      </c>
      <c r="F12" s="2" t="s">
        <v>200</v>
      </c>
      <c r="G12" s="2">
        <v>4</v>
      </c>
      <c r="H12" s="2" t="s">
        <v>201</v>
      </c>
      <c r="I12" s="2"/>
      <c r="J12" s="2">
        <v>4</v>
      </c>
      <c r="K12" s="2"/>
      <c r="L12" s="2"/>
      <c r="M12" s="2">
        <v>4</v>
      </c>
      <c r="N12" s="2">
        <f>Table1[[#This Row],[Joined]]-Table1[[#This Row],[HC]]</f>
        <v>0</v>
      </c>
      <c r="O12" s="2"/>
    </row>
    <row r="13" spans="1:15" ht="14.45">
      <c r="A13" s="2" t="s">
        <v>75</v>
      </c>
      <c r="B13" s="25">
        <v>46266</v>
      </c>
      <c r="C13" s="2" t="s">
        <v>19</v>
      </c>
      <c r="D13" s="2" t="s">
        <v>217</v>
      </c>
      <c r="E13" s="2" t="s">
        <v>79</v>
      </c>
      <c r="F13" s="2" t="s">
        <v>200</v>
      </c>
      <c r="G13" s="2">
        <v>20</v>
      </c>
      <c r="H13" s="2" t="s">
        <v>210</v>
      </c>
      <c r="I13" s="2">
        <v>60</v>
      </c>
      <c r="J13" s="2">
        <v>19</v>
      </c>
      <c r="K13" s="18">
        <v>8</v>
      </c>
      <c r="L13" s="18">
        <v>3</v>
      </c>
      <c r="M13" s="2"/>
      <c r="N13" s="2">
        <f>Table1[[#This Row],[Joined]]-Table1[[#This Row],[HC]]</f>
        <v>-20</v>
      </c>
      <c r="O13" s="2"/>
    </row>
    <row r="14" spans="1:15" ht="14.45">
      <c r="A14" s="2" t="s">
        <v>75</v>
      </c>
      <c r="B14" s="25">
        <v>46280</v>
      </c>
      <c r="C14" s="2" t="s">
        <v>19</v>
      </c>
      <c r="D14" s="2" t="s">
        <v>217</v>
      </c>
      <c r="E14" s="2" t="s">
        <v>79</v>
      </c>
      <c r="F14" s="2" t="s">
        <v>200</v>
      </c>
      <c r="G14" s="2">
        <v>20</v>
      </c>
      <c r="H14" s="2" t="s">
        <v>210</v>
      </c>
      <c r="I14" s="2"/>
      <c r="J14" s="2"/>
      <c r="K14" s="2"/>
      <c r="L14" s="2"/>
      <c r="M14" s="2"/>
      <c r="N14" s="2">
        <f>Table1[[#This Row],[Joined]]-Table1[[#This Row],[HC]]</f>
        <v>-20</v>
      </c>
      <c r="O14" s="2"/>
    </row>
    <row r="15" spans="1:15" ht="14.45">
      <c r="A15" s="2" t="s">
        <v>86</v>
      </c>
      <c r="B15" s="25">
        <v>46301</v>
      </c>
      <c r="C15" s="2" t="s">
        <v>19</v>
      </c>
      <c r="D15" s="2" t="s">
        <v>217</v>
      </c>
      <c r="E15" s="2" t="s">
        <v>79</v>
      </c>
      <c r="F15" s="2" t="s">
        <v>200</v>
      </c>
      <c r="G15" s="2">
        <v>20</v>
      </c>
      <c r="H15" s="2" t="s">
        <v>218</v>
      </c>
      <c r="I15" s="2"/>
      <c r="J15" s="2"/>
      <c r="K15" s="2"/>
      <c r="L15" s="2"/>
      <c r="M15" s="2"/>
      <c r="N15" s="2">
        <f>Table1[[#This Row],[Joined]]-Table1[[#This Row],[HC]]</f>
        <v>-20</v>
      </c>
      <c r="O15" s="2"/>
    </row>
    <row r="16" spans="1:15" ht="14.45">
      <c r="A16" s="2" t="s">
        <v>86</v>
      </c>
      <c r="B16" s="25">
        <v>46315</v>
      </c>
      <c r="C16" s="2" t="s">
        <v>19</v>
      </c>
      <c r="D16" s="2" t="s">
        <v>217</v>
      </c>
      <c r="E16" s="2" t="s">
        <v>79</v>
      </c>
      <c r="F16" s="2" t="s">
        <v>200</v>
      </c>
      <c r="G16" s="2">
        <v>20</v>
      </c>
      <c r="H16" s="2" t="s">
        <v>218</v>
      </c>
      <c r="I16" s="2"/>
      <c r="J16" s="2"/>
      <c r="K16" s="2"/>
      <c r="L16" s="2"/>
      <c r="M16" s="2"/>
      <c r="N16" s="2">
        <f>Table1[[#This Row],[Joined]]-Table1[[#This Row],[HC]]</f>
        <v>-20</v>
      </c>
      <c r="O16" s="2"/>
    </row>
    <row r="17" spans="1:15" ht="14.45">
      <c r="A17" s="2" t="s">
        <v>104</v>
      </c>
      <c r="B17" s="2"/>
      <c r="C17" s="2" t="s">
        <v>19</v>
      </c>
      <c r="D17" s="2" t="s">
        <v>217</v>
      </c>
      <c r="E17" s="2" t="s">
        <v>79</v>
      </c>
      <c r="F17" s="2" t="s">
        <v>200</v>
      </c>
      <c r="G17" s="2">
        <v>20</v>
      </c>
      <c r="H17" s="2" t="s">
        <v>218</v>
      </c>
      <c r="I17" s="2"/>
      <c r="J17" s="2"/>
      <c r="K17" s="2"/>
      <c r="L17" s="2"/>
      <c r="M17" s="2"/>
      <c r="N17" s="2">
        <f>Table1[[#This Row],[Joined]]-Table1[[#This Row],[HC]]</f>
        <v>-20</v>
      </c>
      <c r="O17" s="2"/>
    </row>
    <row r="18" spans="1:15" ht="14.45">
      <c r="A18" s="2" t="s">
        <v>86</v>
      </c>
      <c r="B18" s="2"/>
      <c r="C18" s="2" t="s">
        <v>19</v>
      </c>
      <c r="D18" s="19" t="s">
        <v>219</v>
      </c>
      <c r="E18" s="2" t="s">
        <v>100</v>
      </c>
      <c r="F18" s="2"/>
      <c r="G18" s="2">
        <v>0</v>
      </c>
      <c r="H18" s="2"/>
      <c r="I18" s="2"/>
      <c r="J18" s="2"/>
      <c r="K18" s="2"/>
      <c r="L18" s="2"/>
      <c r="M18" s="2"/>
      <c r="N18" s="2">
        <v>0</v>
      </c>
      <c r="O18" s="2" t="s">
        <v>205</v>
      </c>
    </row>
    <row r="19" spans="1:15" ht="14.45">
      <c r="A19" s="2" t="s">
        <v>86</v>
      </c>
      <c r="B19" s="2"/>
      <c r="C19" s="2" t="s">
        <v>19</v>
      </c>
      <c r="D19" s="19" t="s">
        <v>220</v>
      </c>
      <c r="E19" s="2" t="s">
        <v>100</v>
      </c>
      <c r="F19" s="2"/>
      <c r="G19" s="2">
        <v>0</v>
      </c>
      <c r="H19" s="2"/>
      <c r="I19" s="2"/>
      <c r="J19" s="2"/>
      <c r="K19" s="2"/>
      <c r="L19" s="2"/>
      <c r="M19" s="2"/>
      <c r="N19" s="2">
        <v>0</v>
      </c>
      <c r="O19" s="2" t="s">
        <v>205</v>
      </c>
    </row>
    <row r="20" spans="1:15" ht="14.45">
      <c r="A20" s="2" t="s">
        <v>86</v>
      </c>
      <c r="B20" s="2"/>
      <c r="C20" s="2" t="s">
        <v>19</v>
      </c>
      <c r="D20" s="19" t="s">
        <v>221</v>
      </c>
      <c r="E20" s="2" t="s">
        <v>100</v>
      </c>
      <c r="F20" s="2"/>
      <c r="G20" s="2">
        <v>0</v>
      </c>
      <c r="H20" s="2"/>
      <c r="I20" s="2"/>
      <c r="J20" s="2"/>
      <c r="K20" s="2"/>
      <c r="L20" s="2"/>
      <c r="M20" s="2"/>
      <c r="N20" s="2">
        <v>0</v>
      </c>
      <c r="O20" s="2" t="s">
        <v>205</v>
      </c>
    </row>
    <row r="21" spans="1:15" ht="14.45">
      <c r="A21" s="2" t="s">
        <v>86</v>
      </c>
      <c r="B21" s="2"/>
      <c r="C21" s="2" t="s">
        <v>19</v>
      </c>
      <c r="D21" s="19" t="s">
        <v>222</v>
      </c>
      <c r="E21" s="2" t="s">
        <v>100</v>
      </c>
      <c r="F21" s="2"/>
      <c r="G21" s="2">
        <v>0</v>
      </c>
      <c r="H21" s="2"/>
      <c r="I21" s="2"/>
      <c r="J21" s="2"/>
      <c r="K21" s="2"/>
      <c r="L21" s="2"/>
      <c r="M21" s="2"/>
      <c r="N21" s="2">
        <v>0</v>
      </c>
      <c r="O21" s="2" t="s">
        <v>205</v>
      </c>
    </row>
    <row r="22" spans="1:15" ht="14.45">
      <c r="A22" s="2" t="s">
        <v>86</v>
      </c>
      <c r="B22" s="2"/>
      <c r="C22" s="2" t="s">
        <v>19</v>
      </c>
      <c r="D22" s="19" t="s">
        <v>223</v>
      </c>
      <c r="E22" s="2" t="s">
        <v>100</v>
      </c>
      <c r="F22" s="2"/>
      <c r="G22" s="2">
        <v>0</v>
      </c>
      <c r="H22" s="2"/>
      <c r="I22" s="2"/>
      <c r="J22" s="2"/>
      <c r="K22" s="2"/>
      <c r="L22" s="2"/>
      <c r="M22" s="2"/>
      <c r="N22" s="2">
        <v>0</v>
      </c>
      <c r="O22" s="2" t="s">
        <v>205</v>
      </c>
    </row>
    <row r="23" spans="1:15" ht="14.45">
      <c r="A23" s="2" t="s">
        <v>86</v>
      </c>
      <c r="B23" s="2"/>
      <c r="C23" s="2" t="s">
        <v>19</v>
      </c>
      <c r="D23" s="19" t="s">
        <v>224</v>
      </c>
      <c r="E23" s="2" t="s">
        <v>73</v>
      </c>
      <c r="F23" s="2"/>
      <c r="G23" s="2">
        <v>0</v>
      </c>
      <c r="H23" s="2"/>
      <c r="I23" s="2"/>
      <c r="J23" s="2"/>
      <c r="K23" s="2"/>
      <c r="L23" s="2"/>
      <c r="M23" s="2"/>
      <c r="N23" s="2">
        <v>0</v>
      </c>
      <c r="O23" s="2" t="s">
        <v>205</v>
      </c>
    </row>
    <row r="24" spans="1:15" ht="14.45">
      <c r="A24" s="2" t="s">
        <v>86</v>
      </c>
      <c r="B24" s="2"/>
      <c r="C24" s="2" t="s">
        <v>19</v>
      </c>
      <c r="D24" s="19" t="s">
        <v>225</v>
      </c>
      <c r="E24" s="2" t="s">
        <v>226</v>
      </c>
      <c r="F24" s="2"/>
      <c r="G24" s="2">
        <v>0</v>
      </c>
      <c r="H24" s="2"/>
      <c r="I24" s="2"/>
      <c r="J24" s="2"/>
      <c r="K24" s="2"/>
      <c r="L24" s="2"/>
      <c r="M24" s="2"/>
      <c r="N24" s="2">
        <v>0</v>
      </c>
      <c r="O24" s="2" t="s">
        <v>205</v>
      </c>
    </row>
    <row r="25" spans="1:15" ht="14.45">
      <c r="A25" s="2" t="s">
        <v>86</v>
      </c>
      <c r="B25" s="2"/>
      <c r="C25" s="2" t="s">
        <v>19</v>
      </c>
      <c r="D25" s="20" t="s">
        <v>227</v>
      </c>
      <c r="E25" s="2" t="s">
        <v>73</v>
      </c>
      <c r="F25" s="2" t="s">
        <v>200</v>
      </c>
      <c r="G25" s="2">
        <v>1</v>
      </c>
      <c r="H25" s="2" t="s">
        <v>228</v>
      </c>
      <c r="I25" s="2"/>
      <c r="J25" s="2"/>
      <c r="K25" s="2"/>
      <c r="L25" s="2"/>
      <c r="M25" s="2"/>
      <c r="N25" s="2">
        <v>1</v>
      </c>
      <c r="O25" s="2" t="s">
        <v>229</v>
      </c>
    </row>
    <row r="26" spans="1:15" ht="14.45">
      <c r="A26" s="2" t="s">
        <v>75</v>
      </c>
      <c r="B26" s="2"/>
      <c r="C26" s="2" t="s">
        <v>19</v>
      </c>
      <c r="D26" s="2" t="s">
        <v>230</v>
      </c>
      <c r="E26" s="2" t="s">
        <v>100</v>
      </c>
      <c r="F26" s="2" t="s">
        <v>200</v>
      </c>
      <c r="G26" s="2">
        <v>2</v>
      </c>
      <c r="H26" s="2" t="s">
        <v>201</v>
      </c>
      <c r="I26" s="2"/>
      <c r="J26" s="2">
        <v>2</v>
      </c>
      <c r="K26" s="2"/>
      <c r="L26" s="2"/>
      <c r="M26" s="2">
        <v>2</v>
      </c>
      <c r="N26" s="2">
        <f>Table1[[#This Row],[Joined]]-Table1[[#This Row],[HC]]</f>
        <v>0</v>
      </c>
      <c r="O26" s="2"/>
    </row>
    <row r="27" spans="1:15" ht="14.45">
      <c r="A27" s="2" t="s">
        <v>86</v>
      </c>
      <c r="B27" s="2"/>
      <c r="C27" s="2" t="s">
        <v>19</v>
      </c>
      <c r="D27" s="2" t="s">
        <v>230</v>
      </c>
      <c r="E27" s="2" t="s">
        <v>100</v>
      </c>
      <c r="F27" s="2" t="s">
        <v>200</v>
      </c>
      <c r="G27" s="2">
        <v>3</v>
      </c>
      <c r="H27" s="2" t="s">
        <v>210</v>
      </c>
      <c r="I27" s="2"/>
      <c r="J27" s="2">
        <v>1</v>
      </c>
      <c r="K27" s="2"/>
      <c r="L27" s="2"/>
      <c r="M27" s="2">
        <v>1</v>
      </c>
      <c r="N27" s="2">
        <f>Table1[[#This Row],[Joined]]-Table1[[#This Row],[HC]]</f>
        <v>-2</v>
      </c>
      <c r="O27" s="2"/>
    </row>
    <row r="28" spans="1:15" ht="14.45">
      <c r="A28" s="12" t="s">
        <v>231</v>
      </c>
      <c r="B28" s="12"/>
      <c r="C28" s="12"/>
      <c r="D28" s="12"/>
      <c r="E28" s="12"/>
      <c r="F28" s="12"/>
      <c r="G28" s="12">
        <f>SUM(G2:G27)</f>
        <v>125</v>
      </c>
      <c r="H28" s="12"/>
      <c r="I28" s="12">
        <f t="shared" ref="I28:N28" si="0">SUM(I2:I27)</f>
        <v>60</v>
      </c>
      <c r="J28" s="12">
        <f t="shared" si="0"/>
        <v>40</v>
      </c>
      <c r="K28" s="12">
        <f t="shared" si="0"/>
        <v>8</v>
      </c>
      <c r="L28" s="12">
        <f>SUM(L2:L27)</f>
        <v>3</v>
      </c>
      <c r="M28" s="12">
        <f t="shared" si="0"/>
        <v>20</v>
      </c>
      <c r="N28" s="12">
        <f t="shared" si="0"/>
        <v>-103</v>
      </c>
      <c r="O28" s="2"/>
    </row>
    <row r="30" spans="1:15" ht="15" customHeight="1">
      <c r="I30" t="s">
        <v>232</v>
      </c>
      <c r="J30">
        <v>160</v>
      </c>
    </row>
    <row r="32" spans="1:15" ht="15" customHeight="1">
      <c r="I32" t="s">
        <v>233</v>
      </c>
    </row>
  </sheetData>
  <conditionalFormatting sqref="H2:H27 H29:H1048576">
    <cfRule type="containsText" dxfId="29" priority="1" operator="containsText" text="pending">
      <formula>NOT(ISERROR(SEARCH("pending",H2)))</formula>
    </cfRule>
    <cfRule type="containsText" dxfId="28" priority="2" stopIfTrue="1" operator="containsText" text="internal">
      <formula>NOT(ISERROR(SEARCH("internal",H2)))</formula>
    </cfRule>
    <cfRule type="containsText" dxfId="27" priority="3" operator="containsText" text="closed">
      <formula>NOT(ISERROR(SEARCH("closed",H2)))</formula>
    </cfRule>
    <cfRule type="containsText" dxfId="26" priority="4" operator="containsText" text="New">
      <formula>NOT(ISERROR(SEARCH("New",H2)))</formula>
    </cfRule>
    <cfRule type="containsText" dxfId="25" priority="5" stopIfTrue="1" operator="containsText" text="in progress">
      <formula>NOT(ISERROR(SEARCH("in progress",H2)))</formula>
    </cfRule>
    <cfRule type="containsText" dxfId="24" priority="6" operator="containsText" text="open">
      <formula>NOT(ISERROR(SEARCH("open",H2)))</formula>
    </cfRule>
  </conditionalFormatting>
  <pageMargins left="0.75" right="0.75" top="1" bottom="1" header="0.5" footer="0.5"/>
  <pageSetup paperSize="9" orientation="portrait" r:id="rId1"/>
  <ignoredErrors>
    <ignoredError sqref="N25 N18:N24 N4:N6" calculatedColumn="1"/>
  </ignoredError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CB2A040-4227-4A35-831B-03C2076EBB61}">
          <x14:formula1>
            <xm:f>'Status List'!$A$2:$A$7</xm:f>
          </x14:formula1>
          <xm:sqref>H29:H1048576 H1:H27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A36D0-F9BA-40B9-9270-0D6EF6438139}">
  <dimension ref="A1:A7"/>
  <sheetViews>
    <sheetView workbookViewId="0">
      <selection activeCell="C9" sqref="C9"/>
    </sheetView>
  </sheetViews>
  <sheetFormatPr defaultRowHeight="14.45"/>
  <sheetData>
    <row r="1" spans="1:1">
      <c r="A1" t="s">
        <v>193</v>
      </c>
    </row>
    <row r="2" spans="1:1">
      <c r="A2" t="s">
        <v>234</v>
      </c>
    </row>
    <row r="3" spans="1:1">
      <c r="A3" t="s">
        <v>218</v>
      </c>
    </row>
    <row r="4" spans="1:1">
      <c r="A4" t="s">
        <v>210</v>
      </c>
    </row>
    <row r="5" spans="1:1">
      <c r="A5" t="s">
        <v>235</v>
      </c>
    </row>
    <row r="6" spans="1:1">
      <c r="A6" t="s">
        <v>236</v>
      </c>
    </row>
    <row r="7" spans="1:1">
      <c r="A7"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pane ySplit="1" topLeftCell="A2" activePane="bottomLeft" state="frozen"/>
      <selection pane="bottomLeft"/>
    </sheetView>
  </sheetViews>
  <sheetFormatPr defaultRowHeight="14.45"/>
  <cols>
    <col min="3" max="3" width="10.7109375" customWidth="1"/>
    <col min="4" max="4" width="13.42578125" customWidth="1"/>
    <col min="5" max="5" width="13.28515625" customWidth="1"/>
    <col min="6" max="6" width="11.140625" customWidth="1"/>
    <col min="7" max="7" width="10.85546875" customWidth="1"/>
  </cols>
  <sheetData>
    <row r="1" spans="1:7">
      <c r="A1" t="s">
        <v>237</v>
      </c>
      <c r="B1" t="s">
        <v>238</v>
      </c>
      <c r="C1" t="s">
        <v>239</v>
      </c>
      <c r="D1" t="s">
        <v>240</v>
      </c>
      <c r="E1" t="s">
        <v>241</v>
      </c>
      <c r="F1" t="s">
        <v>242</v>
      </c>
      <c r="G1" t="s">
        <v>243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showGridLines="0" workbookViewId="0">
      <selection activeCell="B14" sqref="B14"/>
    </sheetView>
  </sheetViews>
  <sheetFormatPr defaultRowHeight="14.45"/>
  <cols>
    <col min="1" max="1" width="36.5703125" customWidth="1"/>
    <col min="2" max="2" width="10.28515625" customWidth="1"/>
    <col min="3" max="3" width="12.42578125" customWidth="1"/>
    <col min="4" max="4" width="21.7109375" customWidth="1"/>
    <col min="5" max="5" width="14.42578125" customWidth="1"/>
    <col min="6" max="6" width="26.140625" customWidth="1"/>
  </cols>
  <sheetData>
    <row r="1" spans="1:6" ht="15" thickBot="1">
      <c r="A1" s="8" t="s">
        <v>190</v>
      </c>
      <c r="B1" s="3" t="s">
        <v>65</v>
      </c>
      <c r="C1" s="3" t="s">
        <v>244</v>
      </c>
      <c r="D1" s="7" t="s">
        <v>245</v>
      </c>
      <c r="E1" s="7" t="s">
        <v>246</v>
      </c>
      <c r="F1" s="7" t="s">
        <v>247</v>
      </c>
    </row>
    <row r="2" spans="1:6" ht="15" thickTop="1">
      <c r="A2" s="9" t="s">
        <v>199</v>
      </c>
      <c r="B2" s="4" t="s">
        <v>85</v>
      </c>
      <c r="C2" s="4">
        <v>2</v>
      </c>
    </row>
    <row r="3" spans="1:6">
      <c r="A3" s="10" t="s">
        <v>204</v>
      </c>
      <c r="B3" s="5" t="s">
        <v>154</v>
      </c>
      <c r="C3" s="5">
        <v>1</v>
      </c>
    </row>
    <row r="4" spans="1:6">
      <c r="A4" s="9" t="s">
        <v>206</v>
      </c>
      <c r="B4" s="4" t="s">
        <v>100</v>
      </c>
      <c r="C4" s="4">
        <v>1</v>
      </c>
    </row>
    <row r="5" spans="1:6">
      <c r="A5" s="10" t="s">
        <v>207</v>
      </c>
      <c r="B5" s="5" t="s">
        <v>154</v>
      </c>
      <c r="C5" s="5">
        <v>1</v>
      </c>
    </row>
    <row r="6" spans="1:6">
      <c r="A6" s="9" t="s">
        <v>39</v>
      </c>
      <c r="B6" s="4" t="s">
        <v>85</v>
      </c>
      <c r="C6" s="4">
        <v>4</v>
      </c>
    </row>
    <row r="7" spans="1:6">
      <c r="A7" s="10" t="s">
        <v>209</v>
      </c>
      <c r="B7" s="5" t="s">
        <v>85</v>
      </c>
      <c r="C7" s="5">
        <v>1</v>
      </c>
    </row>
    <row r="8" spans="1:6">
      <c r="A8" s="9" t="s">
        <v>248</v>
      </c>
      <c r="B8" s="4" t="s">
        <v>85</v>
      </c>
      <c r="C8" s="4">
        <v>1</v>
      </c>
    </row>
    <row r="9" spans="1:6">
      <c r="A9" s="10" t="s">
        <v>249</v>
      </c>
      <c r="B9" s="5" t="s">
        <v>154</v>
      </c>
      <c r="C9" s="5">
        <v>1</v>
      </c>
    </row>
    <row r="10" spans="1:6">
      <c r="A10" s="9" t="s">
        <v>214</v>
      </c>
      <c r="B10" s="4" t="s">
        <v>73</v>
      </c>
      <c r="C10" s="4">
        <v>1</v>
      </c>
    </row>
    <row r="11" spans="1:6">
      <c r="A11" s="10" t="s">
        <v>216</v>
      </c>
      <c r="B11" s="5" t="s">
        <v>85</v>
      </c>
      <c r="C11" s="5">
        <v>2</v>
      </c>
    </row>
    <row r="12" spans="1:6">
      <c r="A12" s="9" t="s">
        <v>217</v>
      </c>
      <c r="B12" s="4" t="s">
        <v>79</v>
      </c>
      <c r="C12" s="4">
        <v>100</v>
      </c>
    </row>
    <row r="13" spans="1:6">
      <c r="A13" s="10" t="s">
        <v>219</v>
      </c>
      <c r="B13" s="5" t="s">
        <v>100</v>
      </c>
      <c r="C13" s="5">
        <v>1</v>
      </c>
    </row>
    <row r="14" spans="1:6">
      <c r="A14" s="9" t="s">
        <v>220</v>
      </c>
      <c r="B14" s="4" t="s">
        <v>100</v>
      </c>
      <c r="C14" s="4">
        <v>1</v>
      </c>
    </row>
    <row r="15" spans="1:6">
      <c r="A15" s="10" t="s">
        <v>221</v>
      </c>
      <c r="B15" s="5" t="s">
        <v>100</v>
      </c>
      <c r="C15" s="5">
        <v>2</v>
      </c>
    </row>
    <row r="16" spans="1:6">
      <c r="A16" s="9" t="s">
        <v>222</v>
      </c>
      <c r="B16" s="4" t="s">
        <v>100</v>
      </c>
      <c r="C16" s="4">
        <v>2</v>
      </c>
    </row>
    <row r="17" spans="1:3">
      <c r="A17" s="10" t="s">
        <v>223</v>
      </c>
      <c r="B17" s="5" t="s">
        <v>100</v>
      </c>
      <c r="C17" s="5">
        <v>1</v>
      </c>
    </row>
    <row r="18" spans="1:3">
      <c r="A18" s="9" t="s">
        <v>224</v>
      </c>
      <c r="B18" s="4" t="s">
        <v>73</v>
      </c>
      <c r="C18" s="4">
        <v>1</v>
      </c>
    </row>
    <row r="19" spans="1:3">
      <c r="A19" s="10" t="s">
        <v>225</v>
      </c>
      <c r="B19" s="5" t="s">
        <v>226</v>
      </c>
      <c r="C19" s="5">
        <v>1</v>
      </c>
    </row>
    <row r="20" spans="1:3">
      <c r="A20" s="9" t="s">
        <v>227</v>
      </c>
      <c r="B20" s="4" t="s">
        <v>73</v>
      </c>
      <c r="C20" s="4">
        <v>1</v>
      </c>
    </row>
    <row r="21" spans="1:3">
      <c r="A21" s="10" t="s">
        <v>230</v>
      </c>
      <c r="B21" s="5" t="s">
        <v>100</v>
      </c>
      <c r="C21" s="5">
        <v>2</v>
      </c>
    </row>
    <row r="22" spans="1:3">
      <c r="A22" s="11" t="s">
        <v>230</v>
      </c>
      <c r="B22" s="6" t="s">
        <v>100</v>
      </c>
      <c r="C22" s="6">
        <v>3</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41"/>
  <sheetViews>
    <sheetView showGridLines="0" tabSelected="1" workbookViewId="0">
      <pane ySplit="1" topLeftCell="L221" activePane="bottomLeft" state="frozen"/>
      <selection pane="bottomLeft" activeCell="K227" sqref="K227"/>
      <selection activeCell="G1" sqref="G1"/>
    </sheetView>
  </sheetViews>
  <sheetFormatPr defaultRowHeight="38.25" customHeight="1"/>
  <cols>
    <col min="1" max="1" width="34" customWidth="1"/>
    <col min="2" max="2" width="36.85546875" customWidth="1"/>
    <col min="3" max="3" width="26.85546875" customWidth="1"/>
    <col min="4" max="4" width="15.5703125" customWidth="1"/>
    <col min="5" max="5" width="32" customWidth="1"/>
    <col min="6" max="6" width="13" style="2" customWidth="1"/>
    <col min="7" max="7" width="17.85546875" customWidth="1"/>
    <col min="8" max="8" width="12.42578125" customWidth="1"/>
    <col min="9" max="9" width="18.140625" customWidth="1"/>
    <col min="10" max="10" width="13" customWidth="1"/>
    <col min="11" max="11" width="12.5703125" customWidth="1"/>
    <col min="12" max="12" width="18.5703125" customWidth="1"/>
    <col min="13" max="13" width="21.5703125" hidden="1" customWidth="1"/>
    <col min="14" max="14" width="13.28515625" hidden="1" customWidth="1"/>
    <col min="15" max="15" width="18.5703125" hidden="1" customWidth="1"/>
    <col min="16" max="16" width="21.42578125" hidden="1" customWidth="1"/>
    <col min="17" max="17" width="255.7109375" bestFit="1" customWidth="1"/>
    <col min="18" max="18" width="9.140625" bestFit="1" customWidth="1"/>
    <col min="19" max="19" width="9.140625" customWidth="1"/>
  </cols>
  <sheetData>
    <row r="1" spans="1:19" ht="38.25" customHeight="1">
      <c r="A1" s="2" t="s">
        <v>250</v>
      </c>
      <c r="B1" s="2" t="s">
        <v>251</v>
      </c>
      <c r="C1" t="s">
        <v>188</v>
      </c>
      <c r="D1" s="2" t="s">
        <v>252</v>
      </c>
      <c r="E1" s="2" t="s">
        <v>253</v>
      </c>
      <c r="F1" s="2" t="s">
        <v>65</v>
      </c>
      <c r="G1" s="2" t="s">
        <v>237</v>
      </c>
      <c r="H1" s="2" t="s">
        <v>254</v>
      </c>
      <c r="I1" s="2" t="s">
        <v>255</v>
      </c>
      <c r="J1" s="2" t="s">
        <v>256</v>
      </c>
      <c r="K1" s="2" t="s">
        <v>257</v>
      </c>
      <c r="L1" s="2" t="s">
        <v>258</v>
      </c>
      <c r="M1" s="2" t="s">
        <v>55</v>
      </c>
      <c r="N1" s="2" t="s">
        <v>27</v>
      </c>
      <c r="O1" s="2" t="s">
        <v>1</v>
      </c>
      <c r="P1" s="2" t="s">
        <v>259</v>
      </c>
      <c r="Q1" s="2" t="s">
        <v>260</v>
      </c>
      <c r="R1" t="s">
        <v>67</v>
      </c>
    </row>
    <row r="2" spans="1:19" ht="38.25" customHeight="1">
      <c r="A2" t="s">
        <v>261</v>
      </c>
      <c r="B2" t="s">
        <v>262</v>
      </c>
      <c r="C2" s="77">
        <v>46244</v>
      </c>
      <c r="D2" t="s">
        <v>263</v>
      </c>
      <c r="E2" t="s">
        <v>264</v>
      </c>
      <c r="F2" s="2" t="s">
        <v>100</v>
      </c>
      <c r="G2" t="s">
        <v>265</v>
      </c>
      <c r="I2" s="2" t="s">
        <v>266</v>
      </c>
      <c r="J2" s="21" t="s">
        <v>267</v>
      </c>
      <c r="K2" s="21" t="s">
        <v>268</v>
      </c>
      <c r="L2" s="21" t="s">
        <v>269</v>
      </c>
      <c r="Q2" s="22" t="s">
        <v>270</v>
      </c>
    </row>
    <row r="3" spans="1:19" ht="38.25" customHeight="1">
      <c r="A3" t="s">
        <v>271</v>
      </c>
      <c r="B3" t="s">
        <v>272</v>
      </c>
      <c r="C3" s="77">
        <v>46244</v>
      </c>
      <c r="D3" t="s">
        <v>263</v>
      </c>
      <c r="E3" t="s">
        <v>273</v>
      </c>
      <c r="F3" s="2" t="s">
        <v>79</v>
      </c>
      <c r="G3" t="s">
        <v>265</v>
      </c>
      <c r="I3" s="2" t="s">
        <v>266</v>
      </c>
      <c r="J3" s="21" t="s">
        <v>267</v>
      </c>
      <c r="K3" s="21" t="s">
        <v>268</v>
      </c>
      <c r="L3" s="21" t="s">
        <v>269</v>
      </c>
      <c r="Q3" s="22" t="s">
        <v>274</v>
      </c>
    </row>
    <row r="4" spans="1:19" ht="38.25" customHeight="1">
      <c r="A4" t="s">
        <v>275</v>
      </c>
      <c r="B4" t="s">
        <v>276</v>
      </c>
      <c r="C4" s="77">
        <v>46244</v>
      </c>
      <c r="D4" t="s">
        <v>263</v>
      </c>
      <c r="E4" t="s">
        <v>273</v>
      </c>
      <c r="F4" s="2" t="s">
        <v>79</v>
      </c>
      <c r="G4" t="s">
        <v>265</v>
      </c>
      <c r="I4" s="2"/>
      <c r="J4" s="2" t="s">
        <v>277</v>
      </c>
      <c r="K4" s="2" t="s">
        <v>277</v>
      </c>
      <c r="L4" s="2" t="s">
        <v>277</v>
      </c>
      <c r="Q4" t="s">
        <v>278</v>
      </c>
    </row>
    <row r="5" spans="1:19" ht="38.25" customHeight="1">
      <c r="A5" t="s">
        <v>279</v>
      </c>
      <c r="B5" t="s">
        <v>280</v>
      </c>
      <c r="C5" s="77">
        <v>46245</v>
      </c>
      <c r="D5" t="s">
        <v>263</v>
      </c>
      <c r="E5" t="s">
        <v>281</v>
      </c>
      <c r="F5" s="2" t="s">
        <v>100</v>
      </c>
      <c r="G5" t="s">
        <v>265</v>
      </c>
      <c r="I5" s="2" t="s">
        <v>266</v>
      </c>
      <c r="J5" s="2" t="s">
        <v>282</v>
      </c>
      <c r="K5" s="21" t="s">
        <v>268</v>
      </c>
      <c r="L5" s="21" t="s">
        <v>269</v>
      </c>
      <c r="Q5" s="22" t="s">
        <v>283</v>
      </c>
    </row>
    <row r="6" spans="1:19" ht="38.25" customHeight="1">
      <c r="A6" t="s">
        <v>284</v>
      </c>
      <c r="B6" t="s">
        <v>285</v>
      </c>
      <c r="C6" s="77">
        <v>46245</v>
      </c>
      <c r="D6" t="s">
        <v>263</v>
      </c>
      <c r="E6" t="s">
        <v>273</v>
      </c>
      <c r="F6" s="2" t="s">
        <v>79</v>
      </c>
      <c r="G6" t="s">
        <v>265</v>
      </c>
      <c r="I6" s="2"/>
      <c r="J6" s="2" t="s">
        <v>277</v>
      </c>
      <c r="K6" s="2" t="s">
        <v>277</v>
      </c>
      <c r="L6" s="2" t="s">
        <v>277</v>
      </c>
      <c r="Q6" t="s">
        <v>278</v>
      </c>
    </row>
    <row r="7" spans="1:19" ht="38.25" customHeight="1">
      <c r="A7" t="s">
        <v>286</v>
      </c>
      <c r="B7" t="s">
        <v>287</v>
      </c>
      <c r="C7" s="77">
        <v>46246</v>
      </c>
      <c r="D7" t="s">
        <v>263</v>
      </c>
      <c r="E7" t="s">
        <v>273</v>
      </c>
      <c r="F7" s="2" t="s">
        <v>79</v>
      </c>
      <c r="G7" t="s">
        <v>265</v>
      </c>
      <c r="I7" s="2"/>
      <c r="J7" s="2" t="s">
        <v>277</v>
      </c>
      <c r="K7" s="2" t="s">
        <v>277</v>
      </c>
      <c r="L7" s="2" t="s">
        <v>277</v>
      </c>
      <c r="Q7" t="s">
        <v>278</v>
      </c>
    </row>
    <row r="8" spans="1:19" ht="38.25" customHeight="1">
      <c r="A8" t="s">
        <v>288</v>
      </c>
      <c r="B8" t="s">
        <v>289</v>
      </c>
      <c r="C8" s="77">
        <v>46246</v>
      </c>
      <c r="D8" t="s">
        <v>263</v>
      </c>
      <c r="E8" t="s">
        <v>273</v>
      </c>
      <c r="F8" s="2" t="s">
        <v>79</v>
      </c>
      <c r="G8" t="s">
        <v>265</v>
      </c>
      <c r="I8" s="2"/>
      <c r="J8" s="2" t="s">
        <v>277</v>
      </c>
      <c r="K8" s="2" t="s">
        <v>277</v>
      </c>
      <c r="L8" s="2" t="s">
        <v>277</v>
      </c>
      <c r="Q8" t="s">
        <v>290</v>
      </c>
    </row>
    <row r="9" spans="1:19" ht="38.25" customHeight="1">
      <c r="A9" t="s">
        <v>291</v>
      </c>
      <c r="B9" t="s">
        <v>292</v>
      </c>
      <c r="C9" s="77">
        <v>46247</v>
      </c>
      <c r="D9" t="s">
        <v>263</v>
      </c>
      <c r="E9" t="s">
        <v>273</v>
      </c>
      <c r="F9" s="2" t="s">
        <v>79</v>
      </c>
      <c r="G9" t="s">
        <v>265</v>
      </c>
      <c r="I9" s="2" t="s">
        <v>266</v>
      </c>
      <c r="J9" s="23" t="s">
        <v>282</v>
      </c>
      <c r="K9" s="23" t="s">
        <v>293</v>
      </c>
      <c r="L9" s="23" t="s">
        <v>258</v>
      </c>
      <c r="Q9" s="22" t="s">
        <v>294</v>
      </c>
      <c r="R9" t="s">
        <v>86</v>
      </c>
    </row>
    <row r="10" spans="1:19" ht="38.25" customHeight="1">
      <c r="A10" t="s">
        <v>295</v>
      </c>
      <c r="B10" t="s">
        <v>296</v>
      </c>
      <c r="C10" s="77">
        <v>46247</v>
      </c>
      <c r="D10" t="s">
        <v>263</v>
      </c>
      <c r="E10" t="s">
        <v>209</v>
      </c>
      <c r="F10" s="2" t="s">
        <v>85</v>
      </c>
      <c r="G10" t="s">
        <v>265</v>
      </c>
      <c r="I10" s="72" t="s">
        <v>266</v>
      </c>
      <c r="J10" s="23" t="s">
        <v>282</v>
      </c>
      <c r="K10" s="23" t="s">
        <v>293</v>
      </c>
      <c r="L10" s="23" t="s">
        <v>258</v>
      </c>
      <c r="Q10" t="s">
        <v>297</v>
      </c>
    </row>
    <row r="11" spans="1:19" ht="38.25" customHeight="1">
      <c r="A11" t="s">
        <v>298</v>
      </c>
      <c r="B11" t="s">
        <v>299</v>
      </c>
      <c r="C11" s="77">
        <v>46248</v>
      </c>
      <c r="D11" t="s">
        <v>263</v>
      </c>
      <c r="E11" t="s">
        <v>273</v>
      </c>
      <c r="F11" s="2" t="s">
        <v>79</v>
      </c>
      <c r="G11" t="s">
        <v>265</v>
      </c>
      <c r="I11" s="2"/>
      <c r="J11" s="2" t="s">
        <v>277</v>
      </c>
      <c r="K11" s="2" t="s">
        <v>277</v>
      </c>
      <c r="L11" s="2" t="s">
        <v>277</v>
      </c>
      <c r="Q11" t="s">
        <v>278</v>
      </c>
    </row>
    <row r="12" spans="1:19" ht="38.25" customHeight="1">
      <c r="A12" t="s">
        <v>300</v>
      </c>
      <c r="B12" t="s">
        <v>301</v>
      </c>
      <c r="C12" s="77">
        <v>46248</v>
      </c>
      <c r="D12" t="s">
        <v>263</v>
      </c>
      <c r="E12" t="s">
        <v>273</v>
      </c>
      <c r="F12" s="2" t="s">
        <v>79</v>
      </c>
      <c r="G12" t="s">
        <v>265</v>
      </c>
      <c r="I12" s="2" t="s">
        <v>266</v>
      </c>
      <c r="J12" s="23" t="s">
        <v>282</v>
      </c>
      <c r="K12" s="23" t="s">
        <v>293</v>
      </c>
      <c r="L12" s="23" t="s">
        <v>258</v>
      </c>
      <c r="Q12" s="22" t="s">
        <v>302</v>
      </c>
      <c r="R12" s="28">
        <v>46266</v>
      </c>
      <c r="S12" s="28"/>
    </row>
    <row r="13" spans="1:19" ht="38.25" customHeight="1">
      <c r="A13" t="s">
        <v>303</v>
      </c>
      <c r="B13" t="s">
        <v>304</v>
      </c>
      <c r="C13" s="77">
        <v>46248</v>
      </c>
      <c r="D13" t="s">
        <v>263</v>
      </c>
      <c r="E13" t="s">
        <v>273</v>
      </c>
      <c r="F13" s="2" t="s">
        <v>79</v>
      </c>
      <c r="G13" t="s">
        <v>265</v>
      </c>
      <c r="I13" s="2" t="s">
        <v>266</v>
      </c>
      <c r="J13" s="21" t="s">
        <v>267</v>
      </c>
      <c r="K13" s="21" t="s">
        <v>268</v>
      </c>
      <c r="L13" s="21" t="s">
        <v>269</v>
      </c>
      <c r="Q13" s="22" t="s">
        <v>305</v>
      </c>
    </row>
    <row r="14" spans="1:19" ht="38.25" customHeight="1">
      <c r="A14" s="27" t="s">
        <v>306</v>
      </c>
      <c r="B14" t="s">
        <v>307</v>
      </c>
      <c r="C14" s="78">
        <v>46248</v>
      </c>
      <c r="D14" s="27" t="s">
        <v>263</v>
      </c>
      <c r="E14" s="27" t="s">
        <v>273</v>
      </c>
      <c r="F14" s="18" t="s">
        <v>79</v>
      </c>
      <c r="G14" s="27" t="s">
        <v>265</v>
      </c>
      <c r="H14" s="27"/>
      <c r="I14" s="18" t="s">
        <v>266</v>
      </c>
      <c r="J14" s="29" t="s">
        <v>282</v>
      </c>
      <c r="K14" s="29" t="s">
        <v>293</v>
      </c>
      <c r="L14" s="29" t="s">
        <v>258</v>
      </c>
      <c r="Q14" s="22" t="s">
        <v>308</v>
      </c>
    </row>
    <row r="15" spans="1:19" ht="38.25" customHeight="1">
      <c r="A15" t="s">
        <v>309</v>
      </c>
      <c r="B15" t="s">
        <v>310</v>
      </c>
      <c r="C15" s="77">
        <v>46251</v>
      </c>
      <c r="D15" t="s">
        <v>263</v>
      </c>
      <c r="E15" t="s">
        <v>273</v>
      </c>
      <c r="F15" s="2" t="s">
        <v>79</v>
      </c>
      <c r="G15" t="s">
        <v>265</v>
      </c>
      <c r="I15" s="18" t="s">
        <v>266</v>
      </c>
      <c r="J15" s="21" t="s">
        <v>267</v>
      </c>
      <c r="K15" s="21" t="s">
        <v>268</v>
      </c>
      <c r="L15" s="21" t="s">
        <v>269</v>
      </c>
      <c r="Q15" s="24" t="s">
        <v>311</v>
      </c>
    </row>
    <row r="16" spans="1:19" ht="38.25" customHeight="1">
      <c r="A16" t="s">
        <v>312</v>
      </c>
      <c r="C16" s="77">
        <v>46252</v>
      </c>
      <c r="D16" t="s">
        <v>263</v>
      </c>
      <c r="E16" t="s">
        <v>273</v>
      </c>
      <c r="F16" s="2" t="s">
        <v>79</v>
      </c>
      <c r="G16" t="s">
        <v>313</v>
      </c>
      <c r="J16" s="2" t="s">
        <v>314</v>
      </c>
      <c r="K16" s="2" t="s">
        <v>314</v>
      </c>
      <c r="L16" s="2" t="s">
        <v>314</v>
      </c>
      <c r="Q16" t="s">
        <v>278</v>
      </c>
    </row>
    <row r="17" spans="1:20" ht="38.25" customHeight="1">
      <c r="A17" t="s">
        <v>315</v>
      </c>
      <c r="B17" t="s">
        <v>316</v>
      </c>
      <c r="C17" s="77">
        <v>46252</v>
      </c>
      <c r="D17" t="s">
        <v>263</v>
      </c>
      <c r="E17" t="s">
        <v>273</v>
      </c>
      <c r="F17" s="2" t="s">
        <v>79</v>
      </c>
      <c r="G17" t="s">
        <v>313</v>
      </c>
      <c r="I17" s="18" t="s">
        <v>266</v>
      </c>
      <c r="J17" s="23" t="s">
        <v>282</v>
      </c>
      <c r="K17" s="23" t="s">
        <v>293</v>
      </c>
      <c r="L17" s="23" t="s">
        <v>258</v>
      </c>
      <c r="Q17" s="24" t="s">
        <v>317</v>
      </c>
      <c r="R17" s="28">
        <v>46280</v>
      </c>
      <c r="S17" s="28"/>
      <c r="T17" s="22"/>
    </row>
    <row r="18" spans="1:20" ht="38.25" customHeight="1">
      <c r="A18" t="s">
        <v>318</v>
      </c>
      <c r="B18" t="s">
        <v>319</v>
      </c>
      <c r="C18" s="77">
        <v>46252</v>
      </c>
      <c r="D18" t="s">
        <v>263</v>
      </c>
      <c r="E18" t="s">
        <v>273</v>
      </c>
      <c r="F18" s="2" t="s">
        <v>79</v>
      </c>
      <c r="G18" t="s">
        <v>313</v>
      </c>
      <c r="I18" s="18" t="s">
        <v>266</v>
      </c>
      <c r="J18" s="21" t="s">
        <v>267</v>
      </c>
      <c r="K18" s="21" t="s">
        <v>268</v>
      </c>
      <c r="L18" s="21" t="s">
        <v>269</v>
      </c>
      <c r="Q18" s="24" t="s">
        <v>320</v>
      </c>
    </row>
    <row r="19" spans="1:20" ht="38.25" customHeight="1">
      <c r="A19" t="s">
        <v>321</v>
      </c>
      <c r="B19" t="s">
        <v>322</v>
      </c>
      <c r="C19" s="77">
        <v>46253</v>
      </c>
      <c r="D19" t="s">
        <v>263</v>
      </c>
      <c r="E19" t="s">
        <v>33</v>
      </c>
      <c r="F19" s="2" t="s">
        <v>92</v>
      </c>
      <c r="G19" t="s">
        <v>265</v>
      </c>
      <c r="I19" s="18" t="s">
        <v>266</v>
      </c>
      <c r="J19" s="23" t="s">
        <v>282</v>
      </c>
      <c r="K19" s="23" t="s">
        <v>293</v>
      </c>
      <c r="L19" s="23" t="s">
        <v>258</v>
      </c>
      <c r="Q19" t="s">
        <v>323</v>
      </c>
    </row>
    <row r="20" spans="1:20" ht="38.25" customHeight="1">
      <c r="A20" t="s">
        <v>324</v>
      </c>
      <c r="B20" t="s">
        <v>325</v>
      </c>
      <c r="C20" s="77">
        <v>46253</v>
      </c>
      <c r="D20" t="s">
        <v>263</v>
      </c>
      <c r="E20" t="s">
        <v>273</v>
      </c>
      <c r="F20" s="2" t="s">
        <v>79</v>
      </c>
      <c r="G20" t="s">
        <v>313</v>
      </c>
      <c r="I20" s="18" t="s">
        <v>266</v>
      </c>
      <c r="J20" s="23" t="s">
        <v>282</v>
      </c>
      <c r="K20" s="21" t="s">
        <v>268</v>
      </c>
      <c r="L20" s="21" t="s">
        <v>269</v>
      </c>
      <c r="Q20" s="24" t="s">
        <v>326</v>
      </c>
    </row>
    <row r="21" spans="1:20" ht="38.25" customHeight="1">
      <c r="A21" t="s">
        <v>327</v>
      </c>
      <c r="B21" t="s">
        <v>328</v>
      </c>
      <c r="C21" s="77">
        <v>46253</v>
      </c>
      <c r="D21" t="s">
        <v>263</v>
      </c>
      <c r="E21" t="s">
        <v>273</v>
      </c>
      <c r="F21" s="2" t="s">
        <v>79</v>
      </c>
      <c r="G21" t="s">
        <v>313</v>
      </c>
      <c r="I21" s="18" t="s">
        <v>266</v>
      </c>
      <c r="J21" s="21" t="s">
        <v>267</v>
      </c>
      <c r="K21" s="21" t="s">
        <v>268</v>
      </c>
      <c r="L21" s="21" t="s">
        <v>269</v>
      </c>
      <c r="Q21" s="24" t="s">
        <v>329</v>
      </c>
    </row>
    <row r="22" spans="1:20" ht="38.25" customHeight="1">
      <c r="A22" t="s">
        <v>330</v>
      </c>
      <c r="B22" t="s">
        <v>331</v>
      </c>
      <c r="C22" s="77">
        <v>46254</v>
      </c>
      <c r="D22" t="s">
        <v>263</v>
      </c>
      <c r="E22" t="s">
        <v>264</v>
      </c>
      <c r="F22" s="2" t="s">
        <v>100</v>
      </c>
      <c r="G22" t="s">
        <v>265</v>
      </c>
      <c r="I22" s="18" t="s">
        <v>266</v>
      </c>
      <c r="J22" s="23" t="s">
        <v>282</v>
      </c>
      <c r="K22" s="23" t="s">
        <v>293</v>
      </c>
      <c r="L22" s="23" t="s">
        <v>258</v>
      </c>
      <c r="Q22" s="24" t="s">
        <v>332</v>
      </c>
    </row>
    <row r="23" spans="1:20" ht="38.25" customHeight="1">
      <c r="A23" t="s">
        <v>333</v>
      </c>
      <c r="B23" t="s">
        <v>334</v>
      </c>
      <c r="C23" s="77">
        <v>46254</v>
      </c>
      <c r="D23" t="s">
        <v>263</v>
      </c>
      <c r="E23" t="s">
        <v>273</v>
      </c>
      <c r="F23" s="2" t="s">
        <v>79</v>
      </c>
      <c r="G23" t="s">
        <v>313</v>
      </c>
      <c r="I23" s="18" t="s">
        <v>266</v>
      </c>
      <c r="J23" s="23" t="s">
        <v>282</v>
      </c>
      <c r="K23" s="21" t="s">
        <v>268</v>
      </c>
      <c r="L23" s="21" t="s">
        <v>269</v>
      </c>
      <c r="Q23" s="24" t="s">
        <v>335</v>
      </c>
    </row>
    <row r="24" spans="1:20" ht="38.25" customHeight="1">
      <c r="A24" t="s">
        <v>336</v>
      </c>
      <c r="B24" t="s">
        <v>337</v>
      </c>
      <c r="C24" s="77">
        <v>46254</v>
      </c>
      <c r="D24" t="s">
        <v>263</v>
      </c>
      <c r="E24" t="s">
        <v>273</v>
      </c>
      <c r="F24" s="2" t="s">
        <v>79</v>
      </c>
      <c r="G24" t="s">
        <v>313</v>
      </c>
      <c r="I24" s="18" t="s">
        <v>266</v>
      </c>
      <c r="J24" s="23" t="s">
        <v>282</v>
      </c>
      <c r="K24" s="23" t="s">
        <v>293</v>
      </c>
      <c r="L24" s="23" t="s">
        <v>258</v>
      </c>
      <c r="Q24" s="24" t="s">
        <v>338</v>
      </c>
      <c r="R24" s="28">
        <v>46280</v>
      </c>
      <c r="S24" s="28"/>
    </row>
    <row r="25" spans="1:20" ht="38.25" customHeight="1">
      <c r="A25" t="s">
        <v>339</v>
      </c>
      <c r="B25" t="s">
        <v>340</v>
      </c>
      <c r="C25" s="77">
        <v>46254</v>
      </c>
      <c r="D25" t="s">
        <v>263</v>
      </c>
      <c r="E25" t="s">
        <v>33</v>
      </c>
      <c r="F25" s="2" t="s">
        <v>92</v>
      </c>
      <c r="G25" t="s">
        <v>265</v>
      </c>
      <c r="I25" s="18" t="s">
        <v>266</v>
      </c>
      <c r="J25" s="23" t="s">
        <v>282</v>
      </c>
      <c r="K25" s="23" t="s">
        <v>293</v>
      </c>
      <c r="L25" s="23" t="s">
        <v>258</v>
      </c>
      <c r="Q25" s="24" t="s">
        <v>341</v>
      </c>
    </row>
    <row r="26" spans="1:20" ht="38.25" customHeight="1">
      <c r="A26" t="s">
        <v>342</v>
      </c>
      <c r="B26" t="s">
        <v>343</v>
      </c>
      <c r="C26" s="77">
        <v>46255</v>
      </c>
      <c r="D26" t="s">
        <v>263</v>
      </c>
      <c r="E26" t="s">
        <v>273</v>
      </c>
      <c r="F26" s="2" t="s">
        <v>79</v>
      </c>
      <c r="G26" t="s">
        <v>265</v>
      </c>
      <c r="I26" s="18" t="s">
        <v>266</v>
      </c>
      <c r="J26" s="23" t="s">
        <v>282</v>
      </c>
      <c r="K26" s="23" t="s">
        <v>293</v>
      </c>
      <c r="L26" s="23" t="s">
        <v>258</v>
      </c>
      <c r="Q26" s="24" t="s">
        <v>344</v>
      </c>
      <c r="R26" s="28">
        <v>46280</v>
      </c>
      <c r="S26" s="28"/>
    </row>
    <row r="27" spans="1:20" ht="38.25" customHeight="1">
      <c r="A27" t="s">
        <v>345</v>
      </c>
      <c r="B27" t="s">
        <v>346</v>
      </c>
      <c r="C27" s="77">
        <v>46255</v>
      </c>
      <c r="D27" t="s">
        <v>263</v>
      </c>
      <c r="E27" s="26" t="s">
        <v>347</v>
      </c>
      <c r="F27" s="2" t="s">
        <v>85</v>
      </c>
      <c r="G27" t="s">
        <v>313</v>
      </c>
      <c r="I27" s="18" t="s">
        <v>266</v>
      </c>
      <c r="J27" s="23" t="s">
        <v>282</v>
      </c>
      <c r="K27" s="23" t="s">
        <v>293</v>
      </c>
      <c r="L27" s="23" t="s">
        <v>258</v>
      </c>
      <c r="Q27" s="24" t="s">
        <v>348</v>
      </c>
    </row>
    <row r="28" spans="1:20" ht="38.25" customHeight="1">
      <c r="A28" t="s">
        <v>349</v>
      </c>
      <c r="B28" t="s">
        <v>350</v>
      </c>
      <c r="C28" s="77">
        <v>46258</v>
      </c>
      <c r="D28" t="s">
        <v>263</v>
      </c>
      <c r="E28" t="s">
        <v>264</v>
      </c>
      <c r="F28" s="2" t="s">
        <v>100</v>
      </c>
      <c r="G28" t="s">
        <v>265</v>
      </c>
      <c r="I28" s="18" t="s">
        <v>266</v>
      </c>
      <c r="J28" s="23" t="s">
        <v>282</v>
      </c>
      <c r="K28" s="21" t="s">
        <v>268</v>
      </c>
      <c r="L28" s="21" t="s">
        <v>269</v>
      </c>
      <c r="Q28" s="24" t="s">
        <v>351</v>
      </c>
    </row>
    <row r="29" spans="1:20" ht="38.25" customHeight="1">
      <c r="A29" t="s">
        <v>352</v>
      </c>
      <c r="B29" t="s">
        <v>353</v>
      </c>
      <c r="C29" s="77">
        <v>46258</v>
      </c>
      <c r="D29" t="s">
        <v>263</v>
      </c>
      <c r="E29" t="s">
        <v>264</v>
      </c>
      <c r="F29" s="2" t="s">
        <v>100</v>
      </c>
      <c r="G29" t="s">
        <v>265</v>
      </c>
      <c r="I29" s="18" t="s">
        <v>266</v>
      </c>
      <c r="J29" s="23" t="s">
        <v>282</v>
      </c>
      <c r="K29" s="23" t="s">
        <v>293</v>
      </c>
      <c r="L29" s="23" t="s">
        <v>258</v>
      </c>
      <c r="Q29" s="24" t="s">
        <v>354</v>
      </c>
    </row>
    <row r="30" spans="1:20" ht="38.25" customHeight="1">
      <c r="A30" t="s">
        <v>355</v>
      </c>
      <c r="B30" t="s">
        <v>356</v>
      </c>
      <c r="C30" s="77">
        <v>46258</v>
      </c>
      <c r="D30" t="s">
        <v>263</v>
      </c>
      <c r="E30" t="s">
        <v>273</v>
      </c>
      <c r="F30" s="2" t="s">
        <v>79</v>
      </c>
      <c r="G30" t="s">
        <v>313</v>
      </c>
      <c r="I30" s="18" t="s">
        <v>266</v>
      </c>
      <c r="J30" s="21" t="s">
        <v>267</v>
      </c>
      <c r="K30" s="21" t="s">
        <v>268</v>
      </c>
      <c r="L30" s="21" t="s">
        <v>269</v>
      </c>
      <c r="Q30" s="24" t="s">
        <v>357</v>
      </c>
    </row>
    <row r="31" spans="1:20" ht="38.25" customHeight="1">
      <c r="A31" t="s">
        <v>358</v>
      </c>
      <c r="B31" t="s">
        <v>359</v>
      </c>
      <c r="C31" s="77">
        <v>46258</v>
      </c>
      <c r="D31" t="s">
        <v>263</v>
      </c>
      <c r="E31" t="s">
        <v>360</v>
      </c>
      <c r="F31" s="2" t="s">
        <v>85</v>
      </c>
      <c r="G31" t="s">
        <v>265</v>
      </c>
      <c r="I31" s="18" t="s">
        <v>266</v>
      </c>
      <c r="J31" s="23" t="s">
        <v>282</v>
      </c>
      <c r="K31" s="23" t="s">
        <v>293</v>
      </c>
      <c r="L31" s="23" t="s">
        <v>258</v>
      </c>
      <c r="Q31" s="24" t="s">
        <v>361</v>
      </c>
    </row>
    <row r="32" spans="1:20" ht="38.25" customHeight="1">
      <c r="A32" t="s">
        <v>362</v>
      </c>
      <c r="B32" t="s">
        <v>363</v>
      </c>
      <c r="C32" s="77">
        <v>46258</v>
      </c>
      <c r="D32" t="s">
        <v>263</v>
      </c>
      <c r="E32" t="s">
        <v>347</v>
      </c>
      <c r="F32" s="2" t="s">
        <v>85</v>
      </c>
      <c r="G32" t="s">
        <v>313</v>
      </c>
      <c r="I32" s="18" t="s">
        <v>266</v>
      </c>
      <c r="J32" s="23" t="s">
        <v>282</v>
      </c>
      <c r="K32" s="23" t="s">
        <v>293</v>
      </c>
      <c r="L32" s="23" t="s">
        <v>258</v>
      </c>
      <c r="Q32" s="24" t="s">
        <v>364</v>
      </c>
    </row>
    <row r="33" spans="1:19" ht="38.25" customHeight="1">
      <c r="A33" t="s">
        <v>365</v>
      </c>
      <c r="C33" s="77">
        <v>46258</v>
      </c>
      <c r="D33" t="s">
        <v>263</v>
      </c>
      <c r="E33" t="s">
        <v>209</v>
      </c>
      <c r="F33" s="2" t="s">
        <v>85</v>
      </c>
      <c r="G33" t="s">
        <v>313</v>
      </c>
      <c r="I33" s="72" t="s">
        <v>266</v>
      </c>
      <c r="J33" s="21"/>
      <c r="K33" s="21"/>
      <c r="L33" s="21" t="s">
        <v>228</v>
      </c>
      <c r="Q33" t="s">
        <v>366</v>
      </c>
    </row>
    <row r="34" spans="1:19" ht="38.25" customHeight="1">
      <c r="A34" t="s">
        <v>367</v>
      </c>
      <c r="B34" t="s">
        <v>368</v>
      </c>
      <c r="C34" s="77">
        <v>46259</v>
      </c>
      <c r="D34" t="s">
        <v>263</v>
      </c>
      <c r="E34" t="s">
        <v>273</v>
      </c>
      <c r="F34" s="2" t="s">
        <v>79</v>
      </c>
      <c r="G34" t="s">
        <v>313</v>
      </c>
      <c r="I34" s="18" t="s">
        <v>266</v>
      </c>
      <c r="J34" s="21" t="s">
        <v>267</v>
      </c>
      <c r="K34" s="21" t="s">
        <v>268</v>
      </c>
      <c r="L34" s="21" t="s">
        <v>269</v>
      </c>
      <c r="Q34" s="24" t="s">
        <v>369</v>
      </c>
    </row>
    <row r="35" spans="1:19" ht="38.25" customHeight="1">
      <c r="A35" t="s">
        <v>370</v>
      </c>
      <c r="B35" t="s">
        <v>371</v>
      </c>
      <c r="C35" s="77">
        <v>46259</v>
      </c>
      <c r="D35" t="s">
        <v>263</v>
      </c>
      <c r="E35" t="s">
        <v>347</v>
      </c>
      <c r="F35" s="2" t="s">
        <v>85</v>
      </c>
      <c r="G35" t="s">
        <v>313</v>
      </c>
      <c r="I35" s="18" t="s">
        <v>266</v>
      </c>
      <c r="J35" s="23" t="s">
        <v>282</v>
      </c>
      <c r="K35" s="23" t="s">
        <v>293</v>
      </c>
      <c r="L35" s="23" t="s">
        <v>258</v>
      </c>
      <c r="Q35" s="24" t="s">
        <v>372</v>
      </c>
    </row>
    <row r="36" spans="1:19" ht="38.25" customHeight="1">
      <c r="A36" t="s">
        <v>373</v>
      </c>
      <c r="B36" t="s">
        <v>374</v>
      </c>
      <c r="C36" s="77">
        <v>46259</v>
      </c>
      <c r="D36" t="s">
        <v>263</v>
      </c>
      <c r="E36" t="s">
        <v>273</v>
      </c>
      <c r="F36" s="2" t="s">
        <v>79</v>
      </c>
      <c r="G36" t="s">
        <v>313</v>
      </c>
      <c r="I36" s="18" t="s">
        <v>266</v>
      </c>
      <c r="J36" s="21" t="s">
        <v>267</v>
      </c>
      <c r="K36" s="21" t="s">
        <v>268</v>
      </c>
      <c r="L36" s="21" t="s">
        <v>269</v>
      </c>
      <c r="Q36" s="24" t="s">
        <v>375</v>
      </c>
    </row>
    <row r="37" spans="1:19" ht="38.25" customHeight="1">
      <c r="A37" t="s">
        <v>376</v>
      </c>
      <c r="B37" t="s">
        <v>377</v>
      </c>
      <c r="C37" s="77">
        <v>46259</v>
      </c>
      <c r="D37" t="s">
        <v>263</v>
      </c>
      <c r="E37" t="s">
        <v>273</v>
      </c>
      <c r="F37" s="2" t="s">
        <v>79</v>
      </c>
      <c r="G37" t="s">
        <v>313</v>
      </c>
      <c r="I37" s="18" t="s">
        <v>266</v>
      </c>
      <c r="J37" s="21" t="s">
        <v>267</v>
      </c>
      <c r="K37" s="21" t="s">
        <v>268</v>
      </c>
      <c r="L37" s="21" t="s">
        <v>269</v>
      </c>
      <c r="Q37" s="24" t="s">
        <v>378</v>
      </c>
    </row>
    <row r="38" spans="1:19" ht="38.25" customHeight="1">
      <c r="A38" t="s">
        <v>379</v>
      </c>
      <c r="B38" t="s">
        <v>380</v>
      </c>
      <c r="C38" s="77">
        <v>46259</v>
      </c>
      <c r="D38" t="s">
        <v>263</v>
      </c>
      <c r="E38" t="s">
        <v>273</v>
      </c>
      <c r="F38" s="2" t="s">
        <v>79</v>
      </c>
      <c r="G38" t="s">
        <v>313</v>
      </c>
      <c r="I38" s="18" t="s">
        <v>266</v>
      </c>
      <c r="J38" s="23" t="s">
        <v>282</v>
      </c>
      <c r="K38" s="23" t="s">
        <v>293</v>
      </c>
      <c r="L38" s="23" t="s">
        <v>258</v>
      </c>
      <c r="Q38" s="24" t="s">
        <v>381</v>
      </c>
      <c r="R38" t="s">
        <v>382</v>
      </c>
    </row>
    <row r="39" spans="1:19" ht="38.25" customHeight="1">
      <c r="A39" t="s">
        <v>383</v>
      </c>
      <c r="B39" t="s">
        <v>384</v>
      </c>
      <c r="C39" s="77">
        <v>46259</v>
      </c>
      <c r="D39" t="s">
        <v>263</v>
      </c>
      <c r="E39" t="s">
        <v>273</v>
      </c>
      <c r="F39" s="2" t="s">
        <v>79</v>
      </c>
      <c r="G39" t="s">
        <v>313</v>
      </c>
      <c r="I39" s="18" t="s">
        <v>266</v>
      </c>
      <c r="J39" s="21" t="s">
        <v>267</v>
      </c>
      <c r="K39" s="21" t="s">
        <v>268</v>
      </c>
      <c r="L39" s="21" t="s">
        <v>269</v>
      </c>
      <c r="Q39" s="24" t="s">
        <v>385</v>
      </c>
    </row>
    <row r="40" spans="1:19" ht="38.25" customHeight="1">
      <c r="A40" t="s">
        <v>386</v>
      </c>
      <c r="B40" t="s">
        <v>387</v>
      </c>
      <c r="C40" s="77">
        <v>46259</v>
      </c>
      <c r="D40" t="s">
        <v>263</v>
      </c>
      <c r="E40" t="s">
        <v>273</v>
      </c>
      <c r="F40" s="2" t="s">
        <v>79</v>
      </c>
      <c r="G40" t="s">
        <v>313</v>
      </c>
      <c r="I40" s="18" t="s">
        <v>266</v>
      </c>
      <c r="J40" s="21" t="s">
        <v>267</v>
      </c>
      <c r="K40" s="21" t="s">
        <v>268</v>
      </c>
      <c r="L40" s="21" t="s">
        <v>269</v>
      </c>
      <c r="Q40" s="24" t="s">
        <v>388</v>
      </c>
    </row>
    <row r="41" spans="1:19" ht="38.25" customHeight="1">
      <c r="A41" t="s">
        <v>389</v>
      </c>
      <c r="B41" t="s">
        <v>390</v>
      </c>
      <c r="C41" s="77">
        <v>46259</v>
      </c>
      <c r="D41" t="s">
        <v>263</v>
      </c>
      <c r="E41" t="s">
        <v>273</v>
      </c>
      <c r="F41" s="2" t="s">
        <v>79</v>
      </c>
      <c r="G41" t="s">
        <v>313</v>
      </c>
      <c r="I41" s="18" t="s">
        <v>266</v>
      </c>
      <c r="J41" s="23" t="s">
        <v>282</v>
      </c>
      <c r="K41" s="23" t="s">
        <v>293</v>
      </c>
      <c r="L41" s="23" t="s">
        <v>258</v>
      </c>
      <c r="Q41" s="24" t="s">
        <v>391</v>
      </c>
      <c r="R41" s="28">
        <v>46280</v>
      </c>
      <c r="S41" s="28"/>
    </row>
    <row r="42" spans="1:19" ht="38.25" customHeight="1">
      <c r="A42" t="s">
        <v>392</v>
      </c>
      <c r="B42" t="s">
        <v>393</v>
      </c>
      <c r="C42" s="77">
        <v>46259</v>
      </c>
      <c r="D42" t="s">
        <v>263</v>
      </c>
      <c r="E42" t="s">
        <v>273</v>
      </c>
      <c r="F42" s="2" t="s">
        <v>79</v>
      </c>
      <c r="G42" t="s">
        <v>313</v>
      </c>
      <c r="I42" s="18" t="s">
        <v>266</v>
      </c>
      <c r="J42" s="21" t="s">
        <v>267</v>
      </c>
      <c r="K42" s="23" t="s">
        <v>293</v>
      </c>
      <c r="L42" s="23" t="s">
        <v>258</v>
      </c>
      <c r="Q42" s="24" t="s">
        <v>394</v>
      </c>
    </row>
    <row r="43" spans="1:19" ht="38.25" customHeight="1">
      <c r="A43" t="s">
        <v>395</v>
      </c>
      <c r="C43" s="77">
        <v>46259</v>
      </c>
      <c r="D43" t="s">
        <v>263</v>
      </c>
      <c r="E43" t="s">
        <v>273</v>
      </c>
      <c r="F43" s="2" t="s">
        <v>79</v>
      </c>
      <c r="G43" t="s">
        <v>265</v>
      </c>
      <c r="I43" s="18" t="s">
        <v>266</v>
      </c>
      <c r="J43" s="21" t="s">
        <v>267</v>
      </c>
      <c r="K43" s="21" t="s">
        <v>268</v>
      </c>
      <c r="L43" s="21" t="s">
        <v>269</v>
      </c>
      <c r="Q43" s="24" t="s">
        <v>396</v>
      </c>
    </row>
    <row r="44" spans="1:19" ht="38.25" customHeight="1">
      <c r="A44" s="41" t="s">
        <v>397</v>
      </c>
      <c r="B44" t="s">
        <v>398</v>
      </c>
      <c r="C44" s="77">
        <v>46260</v>
      </c>
      <c r="D44" t="s">
        <v>263</v>
      </c>
      <c r="E44" t="s">
        <v>273</v>
      </c>
      <c r="F44" s="2" t="s">
        <v>79</v>
      </c>
      <c r="G44" t="s">
        <v>313</v>
      </c>
      <c r="I44" s="18" t="s">
        <v>266</v>
      </c>
      <c r="J44" s="23" t="s">
        <v>282</v>
      </c>
      <c r="K44" s="23" t="s">
        <v>293</v>
      </c>
      <c r="L44" s="23" t="s">
        <v>258</v>
      </c>
      <c r="Q44" s="24" t="s">
        <v>399</v>
      </c>
    </row>
    <row r="45" spans="1:19" ht="38.25" customHeight="1">
      <c r="A45" t="s">
        <v>400</v>
      </c>
      <c r="C45" s="77">
        <v>46260</v>
      </c>
      <c r="D45" t="s">
        <v>263</v>
      </c>
      <c r="E45" t="s">
        <v>273</v>
      </c>
      <c r="F45" s="2" t="s">
        <v>79</v>
      </c>
      <c r="G45" t="s">
        <v>313</v>
      </c>
      <c r="I45" s="18" t="s">
        <v>266</v>
      </c>
      <c r="J45" s="21" t="s">
        <v>267</v>
      </c>
      <c r="K45" s="21" t="s">
        <v>268</v>
      </c>
      <c r="L45" s="21" t="s">
        <v>269</v>
      </c>
      <c r="Q45" s="24" t="s">
        <v>401</v>
      </c>
    </row>
    <row r="46" spans="1:19" ht="38.25" customHeight="1">
      <c r="A46" t="s">
        <v>402</v>
      </c>
      <c r="B46" t="s">
        <v>403</v>
      </c>
      <c r="C46" s="77">
        <v>46260</v>
      </c>
      <c r="D46" t="s">
        <v>263</v>
      </c>
      <c r="E46" t="s">
        <v>273</v>
      </c>
      <c r="F46" s="2" t="s">
        <v>79</v>
      </c>
      <c r="G46" t="s">
        <v>313</v>
      </c>
      <c r="I46" s="18" t="s">
        <v>266</v>
      </c>
      <c r="J46" s="23" t="s">
        <v>282</v>
      </c>
      <c r="K46" s="23" t="s">
        <v>282</v>
      </c>
      <c r="L46" s="23" t="s">
        <v>404</v>
      </c>
      <c r="Q46" s="24" t="s">
        <v>405</v>
      </c>
    </row>
    <row r="47" spans="1:19" ht="38.25" customHeight="1">
      <c r="A47" s="18" t="s">
        <v>406</v>
      </c>
      <c r="B47" t="s">
        <v>407</v>
      </c>
      <c r="C47" s="79">
        <v>46260</v>
      </c>
      <c r="D47" s="18" t="s">
        <v>263</v>
      </c>
      <c r="E47" s="76" t="s">
        <v>273</v>
      </c>
      <c r="F47" s="18" t="s">
        <v>79</v>
      </c>
      <c r="G47" s="18" t="s">
        <v>313</v>
      </c>
      <c r="H47" s="18"/>
      <c r="I47" s="18" t="s">
        <v>266</v>
      </c>
      <c r="J47" s="29" t="s">
        <v>282</v>
      </c>
      <c r="K47" s="29" t="s">
        <v>293</v>
      </c>
      <c r="L47" s="29" t="s">
        <v>258</v>
      </c>
      <c r="Q47" s="24" t="s">
        <v>408</v>
      </c>
    </row>
    <row r="48" spans="1:19" ht="38.25" customHeight="1">
      <c r="A48" t="s">
        <v>409</v>
      </c>
      <c r="B48" t="s">
        <v>410</v>
      </c>
      <c r="C48" s="77">
        <v>46260</v>
      </c>
      <c r="D48" t="s">
        <v>263</v>
      </c>
      <c r="E48" t="s">
        <v>273</v>
      </c>
      <c r="F48" s="2" t="s">
        <v>79</v>
      </c>
      <c r="G48" t="s">
        <v>313</v>
      </c>
      <c r="I48" s="18" t="s">
        <v>266</v>
      </c>
      <c r="J48" s="23" t="s">
        <v>282</v>
      </c>
      <c r="K48" s="23" t="s">
        <v>282</v>
      </c>
      <c r="L48" s="23" t="s">
        <v>404</v>
      </c>
      <c r="Q48" s="24" t="s">
        <v>411</v>
      </c>
    </row>
    <row r="49" spans="1:17" ht="38.25" customHeight="1">
      <c r="A49" t="s">
        <v>80</v>
      </c>
      <c r="B49" t="s">
        <v>412</v>
      </c>
      <c r="C49" s="77">
        <v>46260</v>
      </c>
      <c r="D49" t="s">
        <v>263</v>
      </c>
      <c r="E49" t="s">
        <v>273</v>
      </c>
      <c r="F49" s="2" t="s">
        <v>79</v>
      </c>
      <c r="G49" t="s">
        <v>313</v>
      </c>
      <c r="I49" s="18" t="s">
        <v>266</v>
      </c>
      <c r="J49" s="23" t="s">
        <v>282</v>
      </c>
      <c r="K49" s="23" t="s">
        <v>282</v>
      </c>
      <c r="L49" s="23" t="s">
        <v>404</v>
      </c>
      <c r="Q49" s="24" t="s">
        <v>413</v>
      </c>
    </row>
    <row r="50" spans="1:17" ht="38.25" customHeight="1">
      <c r="A50" t="s">
        <v>414</v>
      </c>
      <c r="B50" t="s">
        <v>415</v>
      </c>
      <c r="C50" s="77">
        <v>46261</v>
      </c>
      <c r="D50" t="s">
        <v>263</v>
      </c>
      <c r="E50" t="s">
        <v>273</v>
      </c>
      <c r="F50" s="2" t="s">
        <v>79</v>
      </c>
      <c r="G50" t="s">
        <v>313</v>
      </c>
      <c r="I50" s="18" t="s">
        <v>266</v>
      </c>
      <c r="J50" s="23" t="s">
        <v>282</v>
      </c>
      <c r="K50" s="23" t="s">
        <v>293</v>
      </c>
      <c r="L50" s="23" t="s">
        <v>258</v>
      </c>
      <c r="Q50" s="24" t="s">
        <v>416</v>
      </c>
    </row>
    <row r="51" spans="1:17" ht="38.25" customHeight="1">
      <c r="A51" t="s">
        <v>417</v>
      </c>
      <c r="B51" t="s">
        <v>418</v>
      </c>
      <c r="C51" s="77">
        <v>46261</v>
      </c>
      <c r="D51" t="s">
        <v>263</v>
      </c>
      <c r="E51" t="s">
        <v>209</v>
      </c>
      <c r="F51" s="2" t="s">
        <v>85</v>
      </c>
      <c r="G51" t="s">
        <v>313</v>
      </c>
      <c r="I51" s="72" t="s">
        <v>266</v>
      </c>
      <c r="J51" s="23" t="s">
        <v>282</v>
      </c>
      <c r="K51" s="23" t="s">
        <v>293</v>
      </c>
      <c r="L51" s="23" t="s">
        <v>258</v>
      </c>
      <c r="Q51" s="24" t="s">
        <v>419</v>
      </c>
    </row>
    <row r="52" spans="1:17" ht="38.25" customHeight="1">
      <c r="A52" t="s">
        <v>420</v>
      </c>
      <c r="B52" t="s">
        <v>421</v>
      </c>
      <c r="C52" s="77">
        <v>46261</v>
      </c>
      <c r="D52" t="s">
        <v>263</v>
      </c>
      <c r="E52" t="s">
        <v>209</v>
      </c>
      <c r="F52" s="2" t="s">
        <v>85</v>
      </c>
      <c r="G52" t="s">
        <v>313</v>
      </c>
      <c r="I52" s="72" t="s">
        <v>266</v>
      </c>
      <c r="J52" s="23" t="s">
        <v>282</v>
      </c>
      <c r="K52" s="23" t="s">
        <v>293</v>
      </c>
      <c r="L52" s="23" t="s">
        <v>258</v>
      </c>
      <c r="Q52" s="24" t="s">
        <v>422</v>
      </c>
    </row>
    <row r="53" spans="1:17" ht="38.25" customHeight="1">
      <c r="A53" t="s">
        <v>111</v>
      </c>
      <c r="B53" t="s">
        <v>423</v>
      </c>
      <c r="C53" s="78">
        <v>46261</v>
      </c>
      <c r="D53" s="27" t="s">
        <v>263</v>
      </c>
      <c r="E53" t="s">
        <v>347</v>
      </c>
      <c r="F53" s="18" t="s">
        <v>85</v>
      </c>
      <c r="G53" s="27" t="s">
        <v>313</v>
      </c>
      <c r="H53" s="27"/>
      <c r="I53" s="18" t="s">
        <v>266</v>
      </c>
      <c r="J53" s="29" t="s">
        <v>282</v>
      </c>
      <c r="K53" s="29" t="s">
        <v>293</v>
      </c>
      <c r="L53" s="29" t="s">
        <v>258</v>
      </c>
      <c r="Q53" s="24" t="s">
        <v>424</v>
      </c>
    </row>
    <row r="54" spans="1:17" ht="38.25" customHeight="1">
      <c r="A54" t="s">
        <v>425</v>
      </c>
      <c r="B54" t="s">
        <v>426</v>
      </c>
      <c r="C54" s="77">
        <v>46261</v>
      </c>
      <c r="D54" t="s">
        <v>263</v>
      </c>
      <c r="E54" t="s">
        <v>273</v>
      </c>
      <c r="F54" s="2" t="s">
        <v>79</v>
      </c>
      <c r="I54" s="18" t="s">
        <v>266</v>
      </c>
      <c r="J54" s="21" t="s">
        <v>267</v>
      </c>
      <c r="K54" s="21" t="s">
        <v>268</v>
      </c>
      <c r="L54" s="21" t="s">
        <v>269</v>
      </c>
      <c r="Q54" s="24" t="s">
        <v>427</v>
      </c>
    </row>
    <row r="55" spans="1:17" ht="38.25" customHeight="1">
      <c r="A55" t="s">
        <v>428</v>
      </c>
      <c r="B55" t="s">
        <v>429</v>
      </c>
      <c r="C55" s="77">
        <v>46265</v>
      </c>
      <c r="D55" t="s">
        <v>263</v>
      </c>
      <c r="E55" t="s">
        <v>39</v>
      </c>
      <c r="F55" s="2" t="s">
        <v>85</v>
      </c>
      <c r="G55" t="s">
        <v>313</v>
      </c>
      <c r="I55" s="18" t="s">
        <v>266</v>
      </c>
      <c r="J55" s="23" t="s">
        <v>282</v>
      </c>
      <c r="K55" s="23" t="s">
        <v>293</v>
      </c>
      <c r="L55" s="23" t="s">
        <v>258</v>
      </c>
      <c r="Q55" s="24" t="s">
        <v>430</v>
      </c>
    </row>
    <row r="56" spans="1:17" ht="38.25" customHeight="1">
      <c r="A56" t="s">
        <v>431</v>
      </c>
      <c r="B56" t="s">
        <v>432</v>
      </c>
      <c r="C56" s="77">
        <v>46265</v>
      </c>
      <c r="D56" t="s">
        <v>263</v>
      </c>
      <c r="E56" t="s">
        <v>39</v>
      </c>
      <c r="F56" s="2" t="s">
        <v>85</v>
      </c>
      <c r="G56" t="s">
        <v>313</v>
      </c>
      <c r="I56" s="18" t="s">
        <v>266</v>
      </c>
      <c r="J56" s="23" t="s">
        <v>282</v>
      </c>
      <c r="K56" s="23" t="s">
        <v>293</v>
      </c>
      <c r="L56" s="23" t="s">
        <v>258</v>
      </c>
      <c r="Q56" s="24" t="s">
        <v>433</v>
      </c>
    </row>
    <row r="57" spans="1:17" ht="38.25" customHeight="1">
      <c r="A57" s="41" t="s">
        <v>434</v>
      </c>
      <c r="B57" t="s">
        <v>435</v>
      </c>
      <c r="C57" s="77">
        <v>46265</v>
      </c>
      <c r="D57" t="s">
        <v>263</v>
      </c>
      <c r="E57" t="s">
        <v>273</v>
      </c>
      <c r="F57" s="2" t="s">
        <v>79</v>
      </c>
      <c r="G57" t="s">
        <v>313</v>
      </c>
      <c r="I57" s="18" t="s">
        <v>266</v>
      </c>
      <c r="J57" s="23" t="s">
        <v>282</v>
      </c>
      <c r="K57" s="23" t="s">
        <v>293</v>
      </c>
      <c r="L57" s="23" t="s">
        <v>258</v>
      </c>
      <c r="Q57" s="24" t="s">
        <v>436</v>
      </c>
    </row>
    <row r="58" spans="1:17" ht="38.25" customHeight="1">
      <c r="A58" t="s">
        <v>437</v>
      </c>
      <c r="B58" t="s">
        <v>438</v>
      </c>
      <c r="C58" s="77">
        <v>46265</v>
      </c>
      <c r="D58" t="s">
        <v>263</v>
      </c>
      <c r="E58" t="s">
        <v>39</v>
      </c>
      <c r="F58" s="2" t="s">
        <v>85</v>
      </c>
      <c r="G58" t="s">
        <v>313</v>
      </c>
      <c r="I58" s="18" t="s">
        <v>266</v>
      </c>
      <c r="J58" s="23" t="s">
        <v>282</v>
      </c>
      <c r="K58" s="21" t="s">
        <v>268</v>
      </c>
      <c r="L58" s="21" t="s">
        <v>439</v>
      </c>
      <c r="Q58" s="24" t="s">
        <v>440</v>
      </c>
    </row>
    <row r="59" spans="1:17" ht="38.25" customHeight="1">
      <c r="A59" t="s">
        <v>441</v>
      </c>
      <c r="B59" t="s">
        <v>442</v>
      </c>
      <c r="C59" s="77">
        <v>46266</v>
      </c>
      <c r="D59" t="s">
        <v>263</v>
      </c>
      <c r="E59" t="s">
        <v>39</v>
      </c>
      <c r="F59" s="2" t="s">
        <v>85</v>
      </c>
      <c r="G59" t="s">
        <v>313</v>
      </c>
      <c r="I59" s="18" t="s">
        <v>266</v>
      </c>
      <c r="J59" s="21" t="s">
        <v>267</v>
      </c>
      <c r="K59" s="21" t="s">
        <v>268</v>
      </c>
      <c r="L59" s="21" t="s">
        <v>269</v>
      </c>
      <c r="Q59" t="s">
        <v>443</v>
      </c>
    </row>
    <row r="60" spans="1:17" ht="38.25" customHeight="1">
      <c r="A60" t="s">
        <v>444</v>
      </c>
      <c r="B60" t="s">
        <v>445</v>
      </c>
      <c r="C60" s="77">
        <v>46266</v>
      </c>
      <c r="D60" t="s">
        <v>263</v>
      </c>
      <c r="E60" t="s">
        <v>39</v>
      </c>
      <c r="F60" s="2" t="s">
        <v>85</v>
      </c>
      <c r="G60" t="s">
        <v>313</v>
      </c>
      <c r="I60" s="18" t="s">
        <v>266</v>
      </c>
      <c r="J60" s="23" t="s">
        <v>282</v>
      </c>
      <c r="K60" s="21" t="s">
        <v>268</v>
      </c>
      <c r="L60" s="21" t="s">
        <v>439</v>
      </c>
      <c r="Q60" s="24" t="s">
        <v>446</v>
      </c>
    </row>
    <row r="61" spans="1:17" ht="38.25" customHeight="1">
      <c r="A61" t="s">
        <v>447</v>
      </c>
      <c r="B61" t="s">
        <v>448</v>
      </c>
      <c r="C61" s="77">
        <v>46266</v>
      </c>
      <c r="D61" t="s">
        <v>263</v>
      </c>
      <c r="E61" t="s">
        <v>273</v>
      </c>
      <c r="F61" s="2" t="s">
        <v>79</v>
      </c>
      <c r="G61" t="s">
        <v>313</v>
      </c>
      <c r="I61" s="18" t="s">
        <v>266</v>
      </c>
      <c r="J61" s="21" t="s">
        <v>267</v>
      </c>
      <c r="K61" s="21" t="s">
        <v>268</v>
      </c>
      <c r="L61" s="21" t="s">
        <v>269</v>
      </c>
      <c r="Q61" s="22" t="s">
        <v>449</v>
      </c>
    </row>
    <row r="62" spans="1:17" ht="38.25" customHeight="1">
      <c r="A62" t="s">
        <v>450</v>
      </c>
      <c r="B62" t="s">
        <v>451</v>
      </c>
      <c r="C62" s="77">
        <v>46266</v>
      </c>
      <c r="D62" t="s">
        <v>263</v>
      </c>
      <c r="E62" t="s">
        <v>264</v>
      </c>
      <c r="F62" s="2" t="s">
        <v>100</v>
      </c>
      <c r="G62" t="s">
        <v>313</v>
      </c>
      <c r="I62" s="18" t="s">
        <v>266</v>
      </c>
      <c r="J62" s="23" t="s">
        <v>282</v>
      </c>
      <c r="K62" s="23" t="s">
        <v>293</v>
      </c>
      <c r="L62" s="23" t="s">
        <v>258</v>
      </c>
      <c r="Q62" s="24" t="s">
        <v>452</v>
      </c>
    </row>
    <row r="63" spans="1:17" ht="38.25" customHeight="1">
      <c r="A63" t="s">
        <v>453</v>
      </c>
      <c r="B63" t="s">
        <v>454</v>
      </c>
      <c r="C63" s="77">
        <v>46266</v>
      </c>
      <c r="D63" t="s">
        <v>263</v>
      </c>
      <c r="E63" t="s">
        <v>273</v>
      </c>
      <c r="F63" s="2" t="s">
        <v>79</v>
      </c>
      <c r="G63" t="s">
        <v>313</v>
      </c>
      <c r="I63" s="18" t="s">
        <v>266</v>
      </c>
      <c r="J63" s="21" t="s">
        <v>267</v>
      </c>
      <c r="K63" s="21" t="s">
        <v>268</v>
      </c>
      <c r="L63" s="21" t="s">
        <v>269</v>
      </c>
      <c r="M63" s="23"/>
      <c r="N63" s="23"/>
      <c r="Q63" t="s">
        <v>455</v>
      </c>
    </row>
    <row r="64" spans="1:17" ht="38.25" customHeight="1">
      <c r="A64" s="41" t="s">
        <v>456</v>
      </c>
      <c r="B64" t="s">
        <v>457</v>
      </c>
      <c r="C64" s="77">
        <v>46266</v>
      </c>
      <c r="D64" t="s">
        <v>263</v>
      </c>
      <c r="E64" t="s">
        <v>273</v>
      </c>
      <c r="F64" s="2" t="s">
        <v>79</v>
      </c>
      <c r="G64" t="s">
        <v>313</v>
      </c>
      <c r="I64" s="18" t="s">
        <v>266</v>
      </c>
      <c r="J64" s="23" t="s">
        <v>282</v>
      </c>
      <c r="K64" s="23" t="s">
        <v>293</v>
      </c>
      <c r="L64" s="23" t="s">
        <v>258</v>
      </c>
      <c r="M64" s="23"/>
      <c r="N64" s="23"/>
      <c r="Q64" s="24" t="s">
        <v>458</v>
      </c>
    </row>
    <row r="65" spans="1:17" ht="38.25" customHeight="1">
      <c r="A65" t="s">
        <v>121</v>
      </c>
      <c r="B65" t="s">
        <v>459</v>
      </c>
      <c r="C65" s="77">
        <v>46267</v>
      </c>
      <c r="D65" t="s">
        <v>263</v>
      </c>
      <c r="E65" t="s">
        <v>273</v>
      </c>
      <c r="F65" s="2" t="s">
        <v>79</v>
      </c>
      <c r="G65" t="s">
        <v>313</v>
      </c>
      <c r="I65" s="18" t="s">
        <v>266</v>
      </c>
      <c r="J65" s="23" t="s">
        <v>282</v>
      </c>
      <c r="K65" s="23" t="s">
        <v>293</v>
      </c>
      <c r="L65" s="23" t="s">
        <v>258</v>
      </c>
      <c r="Q65" t="s">
        <v>460</v>
      </c>
    </row>
    <row r="66" spans="1:17" ht="38.25" customHeight="1">
      <c r="A66" t="s">
        <v>127</v>
      </c>
      <c r="B66" t="s">
        <v>461</v>
      </c>
      <c r="C66" s="77">
        <v>46267</v>
      </c>
      <c r="D66" t="s">
        <v>263</v>
      </c>
      <c r="E66" t="s">
        <v>39</v>
      </c>
      <c r="F66" s="2" t="s">
        <v>85</v>
      </c>
      <c r="G66" t="s">
        <v>313</v>
      </c>
      <c r="I66" s="18" t="s">
        <v>266</v>
      </c>
      <c r="J66" s="23" t="s">
        <v>282</v>
      </c>
      <c r="K66" s="23" t="s">
        <v>293</v>
      </c>
      <c r="L66" s="23" t="s">
        <v>258</v>
      </c>
      <c r="Q66" t="s">
        <v>462</v>
      </c>
    </row>
    <row r="67" spans="1:17" ht="38.25" customHeight="1">
      <c r="A67" t="s">
        <v>463</v>
      </c>
      <c r="B67" t="s">
        <v>464</v>
      </c>
      <c r="C67" s="77">
        <v>46267</v>
      </c>
      <c r="D67" t="s">
        <v>263</v>
      </c>
      <c r="E67" t="s">
        <v>273</v>
      </c>
      <c r="F67" s="2" t="s">
        <v>79</v>
      </c>
      <c r="G67" t="s">
        <v>313</v>
      </c>
      <c r="I67" s="2" t="s">
        <v>266</v>
      </c>
      <c r="J67" s="2" t="s">
        <v>277</v>
      </c>
      <c r="K67" s="2" t="s">
        <v>277</v>
      </c>
      <c r="L67" s="2" t="s">
        <v>277</v>
      </c>
      <c r="Q67" t="s">
        <v>278</v>
      </c>
    </row>
    <row r="68" spans="1:17" ht="38.25" customHeight="1">
      <c r="A68" t="s">
        <v>465</v>
      </c>
      <c r="B68" t="s">
        <v>466</v>
      </c>
      <c r="C68" s="77">
        <v>46267</v>
      </c>
      <c r="D68" t="s">
        <v>263</v>
      </c>
      <c r="E68" t="s">
        <v>273</v>
      </c>
      <c r="F68" s="2" t="s">
        <v>79</v>
      </c>
      <c r="G68" t="s">
        <v>313</v>
      </c>
      <c r="I68" s="18" t="s">
        <v>266</v>
      </c>
      <c r="J68" s="21" t="s">
        <v>267</v>
      </c>
      <c r="K68" s="21" t="s">
        <v>268</v>
      </c>
      <c r="L68" s="21" t="s">
        <v>269</v>
      </c>
      <c r="Q68" s="24" t="s">
        <v>467</v>
      </c>
    </row>
    <row r="69" spans="1:17" ht="38.25" customHeight="1">
      <c r="A69" t="s">
        <v>468</v>
      </c>
      <c r="B69" t="s">
        <v>469</v>
      </c>
      <c r="C69" s="77">
        <v>46268</v>
      </c>
      <c r="D69" t="s">
        <v>263</v>
      </c>
      <c r="E69" t="s">
        <v>273</v>
      </c>
      <c r="F69" s="2" t="s">
        <v>79</v>
      </c>
      <c r="G69" t="s">
        <v>313</v>
      </c>
      <c r="I69" s="18" t="s">
        <v>266</v>
      </c>
      <c r="J69" s="23" t="s">
        <v>282</v>
      </c>
      <c r="K69" s="23" t="s">
        <v>293</v>
      </c>
      <c r="L69" s="23" t="s">
        <v>258</v>
      </c>
      <c r="Q69" t="s">
        <v>470</v>
      </c>
    </row>
    <row r="70" spans="1:17" ht="38.25" customHeight="1">
      <c r="A70" t="s">
        <v>471</v>
      </c>
      <c r="B70" t="s">
        <v>472</v>
      </c>
      <c r="C70" s="77">
        <v>46268</v>
      </c>
      <c r="D70" t="s">
        <v>263</v>
      </c>
      <c r="E70" t="s">
        <v>273</v>
      </c>
      <c r="F70" s="2" t="s">
        <v>79</v>
      </c>
      <c r="G70" t="s">
        <v>313</v>
      </c>
      <c r="I70" s="18" t="s">
        <v>266</v>
      </c>
      <c r="J70" s="21" t="s">
        <v>267</v>
      </c>
      <c r="K70" s="21" t="s">
        <v>268</v>
      </c>
      <c r="L70" s="21" t="s">
        <v>269</v>
      </c>
      <c r="Q70" s="24" t="s">
        <v>473</v>
      </c>
    </row>
    <row r="71" spans="1:17" ht="38.25" customHeight="1">
      <c r="A71" t="s">
        <v>474</v>
      </c>
      <c r="B71" t="s">
        <v>475</v>
      </c>
      <c r="C71" s="77">
        <v>46268</v>
      </c>
      <c r="D71" t="s">
        <v>263</v>
      </c>
      <c r="E71" t="s">
        <v>273</v>
      </c>
      <c r="F71" s="2" t="s">
        <v>79</v>
      </c>
      <c r="G71" t="s">
        <v>313</v>
      </c>
      <c r="I71" s="18" t="s">
        <v>266</v>
      </c>
      <c r="J71" s="2" t="s">
        <v>314</v>
      </c>
      <c r="K71" s="2" t="s">
        <v>314</v>
      </c>
      <c r="L71" s="2" t="s">
        <v>314</v>
      </c>
      <c r="Q71" t="s">
        <v>278</v>
      </c>
    </row>
    <row r="72" spans="1:17" ht="38.25" customHeight="1">
      <c r="A72" t="s">
        <v>476</v>
      </c>
      <c r="B72" t="s">
        <v>477</v>
      </c>
      <c r="C72" s="77">
        <v>46269</v>
      </c>
      <c r="D72" t="s">
        <v>478</v>
      </c>
      <c r="E72" t="s">
        <v>39</v>
      </c>
      <c r="F72" s="2" t="s">
        <v>85</v>
      </c>
      <c r="G72" t="s">
        <v>313</v>
      </c>
      <c r="I72" s="18" t="s">
        <v>266</v>
      </c>
      <c r="J72" s="39" t="s">
        <v>282</v>
      </c>
      <c r="K72" s="39" t="s">
        <v>293</v>
      </c>
      <c r="L72" s="39" t="s">
        <v>258</v>
      </c>
      <c r="Q72" t="s">
        <v>479</v>
      </c>
    </row>
    <row r="73" spans="1:17" ht="38.25" customHeight="1">
      <c r="A73" t="s">
        <v>480</v>
      </c>
      <c r="B73" t="s">
        <v>481</v>
      </c>
      <c r="C73" s="77">
        <v>46269</v>
      </c>
      <c r="D73" t="s">
        <v>478</v>
      </c>
      <c r="E73" t="s">
        <v>273</v>
      </c>
      <c r="F73" s="2" t="s">
        <v>79</v>
      </c>
      <c r="G73" t="s">
        <v>313</v>
      </c>
      <c r="I73" s="18" t="s">
        <v>266</v>
      </c>
      <c r="J73" s="39" t="s">
        <v>282</v>
      </c>
      <c r="K73" s="39" t="s">
        <v>293</v>
      </c>
      <c r="L73" s="39" t="s">
        <v>258</v>
      </c>
      <c r="Q73" t="s">
        <v>482</v>
      </c>
    </row>
    <row r="74" spans="1:17" ht="38.25" customHeight="1">
      <c r="A74" t="s">
        <v>124</v>
      </c>
      <c r="B74" t="s">
        <v>483</v>
      </c>
      <c r="C74" s="77">
        <v>46269</v>
      </c>
      <c r="D74" t="s">
        <v>478</v>
      </c>
      <c r="E74" t="s">
        <v>273</v>
      </c>
      <c r="F74" s="2" t="s">
        <v>79</v>
      </c>
      <c r="G74" t="s">
        <v>313</v>
      </c>
      <c r="I74" s="18" t="s">
        <v>266</v>
      </c>
      <c r="J74" s="39" t="s">
        <v>282</v>
      </c>
      <c r="K74" s="39" t="s">
        <v>293</v>
      </c>
      <c r="L74" s="39" t="s">
        <v>258</v>
      </c>
      <c r="Q74" t="s">
        <v>484</v>
      </c>
    </row>
    <row r="75" spans="1:17" ht="38.25" customHeight="1">
      <c r="A75" t="s">
        <v>485</v>
      </c>
      <c r="B75" t="s">
        <v>486</v>
      </c>
      <c r="C75" s="77">
        <v>46269</v>
      </c>
      <c r="D75" t="s">
        <v>478</v>
      </c>
      <c r="E75" t="s">
        <v>273</v>
      </c>
      <c r="F75" s="2" t="s">
        <v>79</v>
      </c>
      <c r="G75" t="s">
        <v>313</v>
      </c>
      <c r="I75" s="18" t="s">
        <v>266</v>
      </c>
      <c r="J75" s="21" t="s">
        <v>267</v>
      </c>
      <c r="K75" s="21" t="s">
        <v>268</v>
      </c>
      <c r="L75" s="21" t="s">
        <v>269</v>
      </c>
      <c r="Q75" s="24" t="s">
        <v>487</v>
      </c>
    </row>
    <row r="76" spans="1:17" ht="38.25" customHeight="1">
      <c r="A76" t="s">
        <v>488</v>
      </c>
      <c r="B76" t="s">
        <v>489</v>
      </c>
      <c r="C76" s="77">
        <v>46269</v>
      </c>
      <c r="D76" t="s">
        <v>478</v>
      </c>
      <c r="E76" t="s">
        <v>273</v>
      </c>
      <c r="F76" s="2" t="s">
        <v>79</v>
      </c>
      <c r="G76" t="s">
        <v>313</v>
      </c>
      <c r="I76" s="18" t="s">
        <v>266</v>
      </c>
      <c r="J76" s="21" t="s">
        <v>267</v>
      </c>
      <c r="K76" s="21" t="s">
        <v>268</v>
      </c>
      <c r="L76" s="21" t="s">
        <v>269</v>
      </c>
      <c r="Q76" s="24" t="s">
        <v>490</v>
      </c>
    </row>
    <row r="77" spans="1:17" ht="38.25" customHeight="1">
      <c r="A77" t="s">
        <v>129</v>
      </c>
      <c r="B77" t="s">
        <v>491</v>
      </c>
      <c r="C77" s="77">
        <v>46272</v>
      </c>
      <c r="D77" t="s">
        <v>492</v>
      </c>
      <c r="E77" t="s">
        <v>273</v>
      </c>
      <c r="F77" s="2" t="s">
        <v>79</v>
      </c>
      <c r="G77" t="s">
        <v>493</v>
      </c>
      <c r="I77" s="18" t="s">
        <v>266</v>
      </c>
      <c r="J77" s="39" t="s">
        <v>282</v>
      </c>
      <c r="K77" s="39" t="s">
        <v>293</v>
      </c>
      <c r="L77" s="39" t="s">
        <v>258</v>
      </c>
      <c r="Q77" t="s">
        <v>494</v>
      </c>
    </row>
    <row r="78" spans="1:17" ht="38.25" customHeight="1">
      <c r="A78" t="s">
        <v>495</v>
      </c>
      <c r="B78" t="s">
        <v>496</v>
      </c>
      <c r="C78" s="77">
        <v>46272</v>
      </c>
      <c r="D78" t="s">
        <v>492</v>
      </c>
      <c r="E78" t="s">
        <v>273</v>
      </c>
      <c r="F78" s="2" t="s">
        <v>79</v>
      </c>
      <c r="G78" t="s">
        <v>493</v>
      </c>
      <c r="I78" s="18" t="s">
        <v>266</v>
      </c>
      <c r="J78" s="21" t="s">
        <v>267</v>
      </c>
      <c r="K78" s="21" t="s">
        <v>268</v>
      </c>
      <c r="L78" s="21" t="s">
        <v>269</v>
      </c>
      <c r="Q78" t="s">
        <v>497</v>
      </c>
    </row>
    <row r="79" spans="1:17" ht="38.25" customHeight="1">
      <c r="A79" t="s">
        <v>498</v>
      </c>
      <c r="B79" t="s">
        <v>499</v>
      </c>
      <c r="C79" s="77">
        <v>46272</v>
      </c>
      <c r="D79" t="s">
        <v>492</v>
      </c>
      <c r="E79" t="s">
        <v>273</v>
      </c>
      <c r="F79" s="2" t="s">
        <v>79</v>
      </c>
      <c r="G79" t="s">
        <v>493</v>
      </c>
      <c r="I79" s="18" t="s">
        <v>266</v>
      </c>
      <c r="J79" s="21" t="s">
        <v>267</v>
      </c>
      <c r="K79" s="21" t="s">
        <v>268</v>
      </c>
      <c r="L79" s="21" t="s">
        <v>269</v>
      </c>
      <c r="Q79" s="24" t="s">
        <v>500</v>
      </c>
    </row>
    <row r="80" spans="1:17" ht="38.25" customHeight="1">
      <c r="A80" t="s">
        <v>501</v>
      </c>
      <c r="B80" t="s">
        <v>502</v>
      </c>
      <c r="C80" s="77">
        <v>46272</v>
      </c>
      <c r="D80" t="s">
        <v>492</v>
      </c>
      <c r="E80" t="s">
        <v>273</v>
      </c>
      <c r="F80" s="2" t="s">
        <v>79</v>
      </c>
      <c r="G80" t="s">
        <v>493</v>
      </c>
      <c r="I80" s="18" t="s">
        <v>266</v>
      </c>
      <c r="J80" s="21" t="s">
        <v>267</v>
      </c>
      <c r="K80" s="21" t="s">
        <v>268</v>
      </c>
      <c r="L80" s="21" t="s">
        <v>269</v>
      </c>
      <c r="Q80" s="24" t="s">
        <v>503</v>
      </c>
    </row>
    <row r="81" spans="1:17" ht="38.25" customHeight="1">
      <c r="A81" t="s">
        <v>504</v>
      </c>
      <c r="B81" t="s">
        <v>505</v>
      </c>
      <c r="C81" s="77">
        <v>46273</v>
      </c>
      <c r="D81" t="s">
        <v>492</v>
      </c>
      <c r="E81" t="s">
        <v>273</v>
      </c>
      <c r="F81" s="2" t="s">
        <v>79</v>
      </c>
      <c r="G81" t="s">
        <v>493</v>
      </c>
      <c r="I81" s="18" t="s">
        <v>266</v>
      </c>
      <c r="J81" s="39" t="s">
        <v>282</v>
      </c>
      <c r="K81" s="39" t="s">
        <v>293</v>
      </c>
      <c r="L81" s="39" t="s">
        <v>258</v>
      </c>
      <c r="Q81" t="s">
        <v>506</v>
      </c>
    </row>
    <row r="82" spans="1:17" ht="38.25" customHeight="1">
      <c r="A82" t="s">
        <v>507</v>
      </c>
      <c r="B82" t="s">
        <v>508</v>
      </c>
      <c r="C82" s="77">
        <v>46273</v>
      </c>
      <c r="D82" t="s">
        <v>492</v>
      </c>
      <c r="E82" t="s">
        <v>273</v>
      </c>
      <c r="F82" s="2" t="s">
        <v>79</v>
      </c>
      <c r="G82" t="s">
        <v>493</v>
      </c>
      <c r="I82" s="18" t="s">
        <v>266</v>
      </c>
      <c r="J82" s="21" t="s">
        <v>267</v>
      </c>
      <c r="K82" s="21" t="s">
        <v>268</v>
      </c>
      <c r="L82" s="21" t="s">
        <v>269</v>
      </c>
      <c r="Q82" t="s">
        <v>509</v>
      </c>
    </row>
    <row r="83" spans="1:17" ht="38.25" customHeight="1">
      <c r="A83" t="s">
        <v>510</v>
      </c>
      <c r="B83" t="s">
        <v>511</v>
      </c>
      <c r="C83" s="77">
        <v>46273</v>
      </c>
      <c r="D83" t="s">
        <v>492</v>
      </c>
      <c r="E83" t="s">
        <v>273</v>
      </c>
      <c r="F83" s="2" t="s">
        <v>79</v>
      </c>
      <c r="G83" t="s">
        <v>493</v>
      </c>
      <c r="I83" s="18" t="s">
        <v>266</v>
      </c>
      <c r="J83" s="21" t="s">
        <v>267</v>
      </c>
      <c r="K83" s="21" t="s">
        <v>268</v>
      </c>
      <c r="L83" s="21" t="s">
        <v>269</v>
      </c>
      <c r="Q83" t="s">
        <v>512</v>
      </c>
    </row>
    <row r="84" spans="1:17" ht="38.25" customHeight="1">
      <c r="A84" t="s">
        <v>513</v>
      </c>
      <c r="B84" t="s">
        <v>514</v>
      </c>
      <c r="C84" s="77">
        <v>46273</v>
      </c>
      <c r="D84" t="s">
        <v>492</v>
      </c>
      <c r="E84" t="s">
        <v>273</v>
      </c>
      <c r="F84" s="2" t="s">
        <v>79</v>
      </c>
      <c r="G84" t="s">
        <v>493</v>
      </c>
      <c r="I84" s="18" t="s">
        <v>266</v>
      </c>
      <c r="J84" s="39" t="s">
        <v>282</v>
      </c>
      <c r="K84" s="39" t="s">
        <v>293</v>
      </c>
      <c r="L84" s="39" t="s">
        <v>258</v>
      </c>
      <c r="Q84" t="s">
        <v>515</v>
      </c>
    </row>
    <row r="85" spans="1:17" ht="38.25" customHeight="1">
      <c r="A85" t="s">
        <v>130</v>
      </c>
      <c r="B85" t="s">
        <v>516</v>
      </c>
      <c r="C85" s="77">
        <v>46273</v>
      </c>
      <c r="D85" t="s">
        <v>492</v>
      </c>
      <c r="E85" t="s">
        <v>273</v>
      </c>
      <c r="F85" s="2" t="s">
        <v>79</v>
      </c>
      <c r="G85" t="s">
        <v>493</v>
      </c>
      <c r="I85" s="18" t="s">
        <v>266</v>
      </c>
      <c r="J85" s="39" t="s">
        <v>282</v>
      </c>
      <c r="K85" s="39" t="s">
        <v>293</v>
      </c>
      <c r="L85" s="39" t="s">
        <v>258</v>
      </c>
      <c r="Q85" t="s">
        <v>517</v>
      </c>
    </row>
    <row r="86" spans="1:17" ht="38.25" customHeight="1">
      <c r="A86" t="s">
        <v>131</v>
      </c>
      <c r="B86" t="s">
        <v>518</v>
      </c>
      <c r="C86" s="77">
        <v>46273</v>
      </c>
      <c r="D86" t="s">
        <v>492</v>
      </c>
      <c r="E86" t="s">
        <v>273</v>
      </c>
      <c r="F86" s="2" t="s">
        <v>79</v>
      </c>
      <c r="G86" t="s">
        <v>493</v>
      </c>
      <c r="I86" s="18" t="s">
        <v>266</v>
      </c>
      <c r="J86" s="39" t="s">
        <v>282</v>
      </c>
      <c r="K86" s="39" t="s">
        <v>293</v>
      </c>
      <c r="L86" s="39" t="s">
        <v>258</v>
      </c>
      <c r="Q86" t="s">
        <v>519</v>
      </c>
    </row>
    <row r="87" spans="1:17" ht="38.25" customHeight="1">
      <c r="A87" t="s">
        <v>520</v>
      </c>
      <c r="B87" t="s">
        <v>521</v>
      </c>
      <c r="C87" s="77">
        <v>46273</v>
      </c>
      <c r="D87" t="s">
        <v>492</v>
      </c>
      <c r="E87" t="s">
        <v>273</v>
      </c>
      <c r="F87" s="2" t="s">
        <v>79</v>
      </c>
      <c r="G87" t="s">
        <v>493</v>
      </c>
      <c r="I87" s="18" t="s">
        <v>266</v>
      </c>
      <c r="J87" s="39" t="s">
        <v>282</v>
      </c>
      <c r="K87" s="39" t="s">
        <v>293</v>
      </c>
      <c r="L87" s="39" t="s">
        <v>258</v>
      </c>
      <c r="Q87" t="s">
        <v>522</v>
      </c>
    </row>
    <row r="88" spans="1:17" ht="38.25" customHeight="1">
      <c r="A88" t="s">
        <v>523</v>
      </c>
      <c r="B88" t="s">
        <v>524</v>
      </c>
      <c r="C88" s="77">
        <v>46273</v>
      </c>
      <c r="D88" t="s">
        <v>492</v>
      </c>
      <c r="E88" t="s">
        <v>273</v>
      </c>
      <c r="F88" s="2" t="s">
        <v>79</v>
      </c>
      <c r="G88" t="s">
        <v>493</v>
      </c>
      <c r="I88" s="18" t="s">
        <v>266</v>
      </c>
      <c r="J88" s="40" t="s">
        <v>267</v>
      </c>
      <c r="K88" s="40" t="s">
        <v>268</v>
      </c>
      <c r="L88" s="40" t="s">
        <v>269</v>
      </c>
      <c r="Q88" t="s">
        <v>525</v>
      </c>
    </row>
    <row r="89" spans="1:17" ht="38.25" customHeight="1">
      <c r="A89" t="s">
        <v>526</v>
      </c>
      <c r="B89" t="s">
        <v>527</v>
      </c>
      <c r="C89" s="77">
        <v>46273</v>
      </c>
      <c r="D89" t="s">
        <v>492</v>
      </c>
      <c r="E89" t="s">
        <v>273</v>
      </c>
      <c r="F89" s="2" t="s">
        <v>79</v>
      </c>
      <c r="G89" t="s">
        <v>493</v>
      </c>
      <c r="I89" s="18" t="s">
        <v>266</v>
      </c>
      <c r="J89" s="40" t="s">
        <v>267</v>
      </c>
      <c r="K89" s="40" t="s">
        <v>268</v>
      </c>
      <c r="L89" s="40" t="s">
        <v>269</v>
      </c>
      <c r="Q89" t="s">
        <v>528</v>
      </c>
    </row>
    <row r="90" spans="1:17" ht="38.25" customHeight="1">
      <c r="A90" t="s">
        <v>529</v>
      </c>
      <c r="B90" t="s">
        <v>530</v>
      </c>
      <c r="C90" s="77">
        <v>46273</v>
      </c>
      <c r="D90" t="s">
        <v>492</v>
      </c>
      <c r="E90" t="s">
        <v>273</v>
      </c>
      <c r="F90" s="2" t="s">
        <v>79</v>
      </c>
      <c r="G90" t="s">
        <v>493</v>
      </c>
      <c r="I90" s="18" t="s">
        <v>266</v>
      </c>
      <c r="J90" s="40" t="s">
        <v>267</v>
      </c>
      <c r="K90" s="40" t="s">
        <v>268</v>
      </c>
      <c r="L90" s="40" t="s">
        <v>269</v>
      </c>
      <c r="Q90" t="s">
        <v>531</v>
      </c>
    </row>
    <row r="91" spans="1:17" ht="38.25" customHeight="1">
      <c r="A91" t="s">
        <v>133</v>
      </c>
      <c r="B91" t="s">
        <v>532</v>
      </c>
      <c r="C91" s="77">
        <v>46273</v>
      </c>
      <c r="D91" t="s">
        <v>492</v>
      </c>
      <c r="E91" t="s">
        <v>273</v>
      </c>
      <c r="F91" s="2" t="s">
        <v>79</v>
      </c>
      <c r="G91" t="s">
        <v>493</v>
      </c>
      <c r="I91" s="18" t="s">
        <v>266</v>
      </c>
      <c r="J91" s="39" t="s">
        <v>282</v>
      </c>
      <c r="K91" s="39" t="s">
        <v>293</v>
      </c>
      <c r="L91" s="39" t="s">
        <v>258</v>
      </c>
      <c r="Q91" t="s">
        <v>533</v>
      </c>
    </row>
    <row r="92" spans="1:17" ht="38.25" customHeight="1">
      <c r="A92" t="s">
        <v>534</v>
      </c>
      <c r="B92" t="s">
        <v>535</v>
      </c>
      <c r="C92" s="77">
        <v>46274</v>
      </c>
      <c r="D92" t="s">
        <v>492</v>
      </c>
      <c r="E92" t="s">
        <v>273</v>
      </c>
      <c r="F92" s="2" t="s">
        <v>79</v>
      </c>
      <c r="G92" t="s">
        <v>493</v>
      </c>
      <c r="I92" s="18" t="s">
        <v>266</v>
      </c>
      <c r="J92" s="40" t="s">
        <v>267</v>
      </c>
      <c r="K92" s="40" t="s">
        <v>268</v>
      </c>
      <c r="L92" s="40" t="s">
        <v>269</v>
      </c>
      <c r="Q92" t="s">
        <v>536</v>
      </c>
    </row>
    <row r="93" spans="1:17" ht="38.25" customHeight="1">
      <c r="A93" t="s">
        <v>537</v>
      </c>
      <c r="B93" t="s">
        <v>538</v>
      </c>
      <c r="C93" s="77">
        <v>46274</v>
      </c>
      <c r="D93" t="s">
        <v>492</v>
      </c>
      <c r="E93" t="s">
        <v>273</v>
      </c>
      <c r="F93" s="2" t="s">
        <v>79</v>
      </c>
      <c r="G93" t="s">
        <v>493</v>
      </c>
      <c r="I93" s="18" t="s">
        <v>266</v>
      </c>
      <c r="J93" s="39" t="s">
        <v>282</v>
      </c>
      <c r="K93" s="39" t="s">
        <v>293</v>
      </c>
      <c r="L93" s="39" t="s">
        <v>258</v>
      </c>
      <c r="Q93" s="24" t="s">
        <v>539</v>
      </c>
    </row>
    <row r="94" spans="1:17" ht="38.25" customHeight="1">
      <c r="A94" t="s">
        <v>540</v>
      </c>
      <c r="B94" t="s">
        <v>541</v>
      </c>
      <c r="C94" s="77">
        <v>46274</v>
      </c>
      <c r="D94" t="s">
        <v>492</v>
      </c>
      <c r="E94" t="s">
        <v>273</v>
      </c>
      <c r="F94" s="2" t="s">
        <v>79</v>
      </c>
      <c r="G94" t="s">
        <v>493</v>
      </c>
      <c r="I94" s="18" t="s">
        <v>266</v>
      </c>
      <c r="J94" s="39" t="s">
        <v>282</v>
      </c>
      <c r="K94" s="39" t="s">
        <v>293</v>
      </c>
      <c r="L94" s="39" t="s">
        <v>258</v>
      </c>
      <c r="Q94" t="s">
        <v>542</v>
      </c>
    </row>
    <row r="95" spans="1:17" ht="38.25" customHeight="1">
      <c r="A95" t="s">
        <v>543</v>
      </c>
      <c r="B95" t="s">
        <v>544</v>
      </c>
      <c r="C95" s="77">
        <v>46274</v>
      </c>
      <c r="D95" t="s">
        <v>492</v>
      </c>
      <c r="E95" t="s">
        <v>273</v>
      </c>
      <c r="F95" s="2" t="s">
        <v>79</v>
      </c>
      <c r="G95" t="s">
        <v>493</v>
      </c>
      <c r="I95" s="18" t="s">
        <v>266</v>
      </c>
      <c r="J95" s="40" t="s">
        <v>267</v>
      </c>
      <c r="K95" s="40" t="s">
        <v>268</v>
      </c>
      <c r="L95" s="40" t="s">
        <v>269</v>
      </c>
      <c r="Q95" s="24" t="s">
        <v>545</v>
      </c>
    </row>
    <row r="96" spans="1:17" ht="38.25" customHeight="1">
      <c r="A96" t="s">
        <v>546</v>
      </c>
      <c r="C96" s="77">
        <v>46274</v>
      </c>
      <c r="D96" t="s">
        <v>492</v>
      </c>
      <c r="E96" t="s">
        <v>273</v>
      </c>
      <c r="F96" s="2" t="s">
        <v>79</v>
      </c>
      <c r="G96" t="s">
        <v>493</v>
      </c>
      <c r="I96" s="2" t="s">
        <v>266</v>
      </c>
      <c r="J96" s="2" t="s">
        <v>547</v>
      </c>
      <c r="K96" s="2" t="s">
        <v>548</v>
      </c>
      <c r="L96" s="2" t="s">
        <v>548</v>
      </c>
    </row>
    <row r="97" spans="1:18" ht="38.25" customHeight="1">
      <c r="A97" t="s">
        <v>549</v>
      </c>
      <c r="B97" t="s">
        <v>550</v>
      </c>
      <c r="C97" s="77">
        <v>46274</v>
      </c>
      <c r="D97" t="s">
        <v>492</v>
      </c>
      <c r="E97" t="s">
        <v>273</v>
      </c>
      <c r="F97" s="2" t="s">
        <v>79</v>
      </c>
      <c r="G97" t="s">
        <v>493</v>
      </c>
      <c r="I97" s="18" t="s">
        <v>266</v>
      </c>
      <c r="J97" s="40" t="s">
        <v>267</v>
      </c>
      <c r="K97" s="40" t="s">
        <v>268</v>
      </c>
      <c r="L97" s="40" t="s">
        <v>269</v>
      </c>
      <c r="Q97" t="s">
        <v>551</v>
      </c>
    </row>
    <row r="98" spans="1:18" ht="38.25" customHeight="1">
      <c r="A98" t="s">
        <v>552</v>
      </c>
      <c r="B98" t="s">
        <v>553</v>
      </c>
      <c r="C98" s="77">
        <v>46275</v>
      </c>
      <c r="D98" t="s">
        <v>492</v>
      </c>
      <c r="E98" t="s">
        <v>273</v>
      </c>
      <c r="F98" s="2" t="s">
        <v>79</v>
      </c>
      <c r="G98" t="s">
        <v>493</v>
      </c>
      <c r="I98" s="18" t="s">
        <v>266</v>
      </c>
      <c r="J98" s="40" t="s">
        <v>267</v>
      </c>
      <c r="K98" s="40" t="s">
        <v>268</v>
      </c>
      <c r="L98" s="40" t="s">
        <v>269</v>
      </c>
      <c r="Q98" t="s">
        <v>554</v>
      </c>
    </row>
    <row r="99" spans="1:18" ht="38.25" customHeight="1">
      <c r="A99" t="s">
        <v>555</v>
      </c>
      <c r="B99" t="s">
        <v>556</v>
      </c>
      <c r="C99" s="77">
        <v>46275</v>
      </c>
      <c r="D99" t="s">
        <v>492</v>
      </c>
      <c r="E99" t="s">
        <v>273</v>
      </c>
      <c r="F99" s="2" t="s">
        <v>79</v>
      </c>
      <c r="G99" t="s">
        <v>493</v>
      </c>
      <c r="I99" s="18" t="s">
        <v>266</v>
      </c>
      <c r="J99" s="40" t="s">
        <v>267</v>
      </c>
      <c r="K99" s="40" t="s">
        <v>268</v>
      </c>
      <c r="L99" s="40" t="s">
        <v>269</v>
      </c>
      <c r="Q99" t="s">
        <v>557</v>
      </c>
    </row>
    <row r="100" spans="1:18" ht="38.25" customHeight="1">
      <c r="A100" t="s">
        <v>558</v>
      </c>
      <c r="B100" t="s">
        <v>559</v>
      </c>
      <c r="C100" s="77">
        <v>46275</v>
      </c>
      <c r="D100" t="s">
        <v>492</v>
      </c>
      <c r="E100" t="s">
        <v>273</v>
      </c>
      <c r="F100" s="2" t="s">
        <v>79</v>
      </c>
      <c r="G100" t="s">
        <v>493</v>
      </c>
      <c r="I100" s="18" t="s">
        <v>266</v>
      </c>
      <c r="J100" s="40" t="s">
        <v>267</v>
      </c>
      <c r="K100" s="40" t="s">
        <v>268</v>
      </c>
      <c r="L100" s="40" t="s">
        <v>269</v>
      </c>
      <c r="Q100" t="s">
        <v>560</v>
      </c>
    </row>
    <row r="101" spans="1:18" ht="38.25" customHeight="1">
      <c r="A101" t="s">
        <v>561</v>
      </c>
      <c r="B101" t="s">
        <v>562</v>
      </c>
      <c r="C101" s="77">
        <v>46275</v>
      </c>
      <c r="D101" t="s">
        <v>492</v>
      </c>
      <c r="E101" t="s">
        <v>273</v>
      </c>
      <c r="F101" s="2" t="s">
        <v>79</v>
      </c>
      <c r="G101" t="s">
        <v>493</v>
      </c>
      <c r="I101" s="18" t="s">
        <v>266</v>
      </c>
      <c r="J101" s="40" t="s">
        <v>267</v>
      </c>
      <c r="K101" s="40" t="s">
        <v>268</v>
      </c>
      <c r="L101" s="40" t="s">
        <v>269</v>
      </c>
      <c r="Q101" t="s">
        <v>563</v>
      </c>
    </row>
    <row r="102" spans="1:18" ht="38.25" customHeight="1">
      <c r="A102" t="s">
        <v>564</v>
      </c>
      <c r="B102" t="s">
        <v>565</v>
      </c>
      <c r="C102" s="77">
        <v>46275</v>
      </c>
      <c r="D102" t="s">
        <v>492</v>
      </c>
      <c r="E102" t="s">
        <v>273</v>
      </c>
      <c r="F102" s="2" t="s">
        <v>79</v>
      </c>
      <c r="G102" t="s">
        <v>493</v>
      </c>
      <c r="I102" s="18" t="s">
        <v>266</v>
      </c>
      <c r="J102" s="2" t="s">
        <v>277</v>
      </c>
      <c r="K102" s="2" t="s">
        <v>277</v>
      </c>
      <c r="L102" s="2" t="s">
        <v>277</v>
      </c>
      <c r="Q102" t="s">
        <v>566</v>
      </c>
    </row>
    <row r="103" spans="1:18" ht="38.25" customHeight="1">
      <c r="A103" t="s">
        <v>567</v>
      </c>
      <c r="B103" t="s">
        <v>568</v>
      </c>
      <c r="C103" s="77">
        <v>46275</v>
      </c>
      <c r="D103" t="s">
        <v>492</v>
      </c>
      <c r="E103" t="s">
        <v>273</v>
      </c>
      <c r="F103" s="2" t="s">
        <v>79</v>
      </c>
      <c r="G103" t="s">
        <v>493</v>
      </c>
      <c r="I103" s="18" t="s">
        <v>266</v>
      </c>
      <c r="J103" s="39" t="s">
        <v>282</v>
      </c>
      <c r="K103" s="39" t="s">
        <v>293</v>
      </c>
      <c r="L103" s="39" t="s">
        <v>258</v>
      </c>
      <c r="Q103" t="s">
        <v>569</v>
      </c>
    </row>
    <row r="104" spans="1:18" ht="38.25" customHeight="1">
      <c r="A104" t="s">
        <v>142</v>
      </c>
      <c r="B104" t="s">
        <v>570</v>
      </c>
      <c r="C104" s="77">
        <v>46275</v>
      </c>
      <c r="D104" t="s">
        <v>492</v>
      </c>
      <c r="E104" t="s">
        <v>273</v>
      </c>
      <c r="F104" s="2" t="s">
        <v>79</v>
      </c>
      <c r="G104" t="s">
        <v>493</v>
      </c>
      <c r="I104" s="18" t="s">
        <v>266</v>
      </c>
      <c r="J104" s="39" t="s">
        <v>282</v>
      </c>
      <c r="K104" s="39" t="s">
        <v>293</v>
      </c>
      <c r="L104" s="39" t="s">
        <v>258</v>
      </c>
      <c r="Q104" t="s">
        <v>571</v>
      </c>
    </row>
    <row r="105" spans="1:18" ht="38.25" customHeight="1">
      <c r="A105" t="s">
        <v>572</v>
      </c>
      <c r="B105" t="s">
        <v>573</v>
      </c>
      <c r="C105" s="77">
        <v>46275</v>
      </c>
      <c r="D105" t="s">
        <v>492</v>
      </c>
      <c r="E105" t="s">
        <v>273</v>
      </c>
      <c r="F105" s="2" t="s">
        <v>79</v>
      </c>
      <c r="G105" t="s">
        <v>493</v>
      </c>
      <c r="I105" s="18" t="s">
        <v>266</v>
      </c>
      <c r="J105" s="40" t="s">
        <v>267</v>
      </c>
      <c r="K105" s="40" t="s">
        <v>268</v>
      </c>
      <c r="L105" s="40" t="s">
        <v>269</v>
      </c>
      <c r="Q105" t="s">
        <v>574</v>
      </c>
    </row>
    <row r="106" spans="1:18" ht="38.25" customHeight="1">
      <c r="A106" t="s">
        <v>575</v>
      </c>
      <c r="C106" s="77">
        <v>46275</v>
      </c>
      <c r="D106" t="s">
        <v>492</v>
      </c>
      <c r="E106" t="s">
        <v>273</v>
      </c>
      <c r="F106" s="2" t="s">
        <v>79</v>
      </c>
      <c r="G106" t="s">
        <v>493</v>
      </c>
      <c r="J106" s="2" t="s">
        <v>547</v>
      </c>
      <c r="K106" s="2" t="s">
        <v>548</v>
      </c>
      <c r="L106" s="2" t="s">
        <v>548</v>
      </c>
      <c r="Q106" t="s">
        <v>576</v>
      </c>
    </row>
    <row r="107" spans="1:18" ht="38.25" customHeight="1">
      <c r="A107" t="s">
        <v>577</v>
      </c>
      <c r="B107" t="s">
        <v>578</v>
      </c>
      <c r="C107" s="77">
        <v>46275</v>
      </c>
      <c r="D107" t="s">
        <v>492</v>
      </c>
      <c r="E107" t="s">
        <v>273</v>
      </c>
      <c r="F107" s="2" t="s">
        <v>79</v>
      </c>
      <c r="G107" t="s">
        <v>493</v>
      </c>
      <c r="I107" s="18" t="s">
        <v>266</v>
      </c>
      <c r="J107" s="40" t="s">
        <v>267</v>
      </c>
      <c r="K107" s="40" t="s">
        <v>268</v>
      </c>
      <c r="L107" s="40" t="s">
        <v>269</v>
      </c>
      <c r="Q107" t="s">
        <v>579</v>
      </c>
    </row>
    <row r="108" spans="1:18" ht="38.25" customHeight="1">
      <c r="A108" t="s">
        <v>580</v>
      </c>
      <c r="B108" t="s">
        <v>581</v>
      </c>
      <c r="C108" s="77">
        <v>46275</v>
      </c>
      <c r="D108" t="s">
        <v>492</v>
      </c>
      <c r="E108" t="s">
        <v>273</v>
      </c>
      <c r="F108" s="2" t="s">
        <v>79</v>
      </c>
      <c r="G108" t="s">
        <v>493</v>
      </c>
      <c r="I108" s="18" t="s">
        <v>266</v>
      </c>
      <c r="J108" s="40" t="s">
        <v>267</v>
      </c>
      <c r="K108" s="40" t="s">
        <v>268</v>
      </c>
      <c r="L108" s="40" t="s">
        <v>269</v>
      </c>
      <c r="Q108" t="s">
        <v>582</v>
      </c>
    </row>
    <row r="109" spans="1:18" ht="38.25" customHeight="1">
      <c r="A109" s="42" t="s">
        <v>583</v>
      </c>
      <c r="B109" t="s">
        <v>584</v>
      </c>
      <c r="C109" s="77">
        <v>46275</v>
      </c>
      <c r="D109" t="s">
        <v>492</v>
      </c>
      <c r="E109" t="s">
        <v>273</v>
      </c>
      <c r="F109" s="2" t="s">
        <v>79</v>
      </c>
      <c r="G109" t="s">
        <v>493</v>
      </c>
      <c r="I109" s="18" t="s">
        <v>266</v>
      </c>
      <c r="J109" s="39" t="s">
        <v>282</v>
      </c>
      <c r="K109" s="39" t="s">
        <v>293</v>
      </c>
      <c r="L109" s="39" t="s">
        <v>258</v>
      </c>
      <c r="Q109" t="s">
        <v>585</v>
      </c>
    </row>
    <row r="110" spans="1:18" ht="38.25" customHeight="1">
      <c r="A110" t="s">
        <v>146</v>
      </c>
      <c r="B110" t="s">
        <v>586</v>
      </c>
      <c r="C110" s="77">
        <v>46276</v>
      </c>
      <c r="D110" t="s">
        <v>492</v>
      </c>
      <c r="E110" t="s">
        <v>273</v>
      </c>
      <c r="F110" s="2" t="s">
        <v>79</v>
      </c>
      <c r="G110" t="s">
        <v>493</v>
      </c>
      <c r="I110" s="18" t="s">
        <v>266</v>
      </c>
      <c r="J110" s="39" t="s">
        <v>282</v>
      </c>
      <c r="K110" s="39" t="s">
        <v>293</v>
      </c>
      <c r="L110" s="39" t="s">
        <v>258</v>
      </c>
      <c r="Q110" t="s">
        <v>587</v>
      </c>
    </row>
    <row r="111" spans="1:18" ht="38.25" customHeight="1">
      <c r="A111" t="s">
        <v>513</v>
      </c>
      <c r="B111" t="s">
        <v>514</v>
      </c>
      <c r="C111" s="77">
        <v>46276</v>
      </c>
      <c r="D111" t="s">
        <v>492</v>
      </c>
      <c r="E111" t="s">
        <v>273</v>
      </c>
      <c r="F111" s="2" t="s">
        <v>79</v>
      </c>
      <c r="G111" t="s">
        <v>493</v>
      </c>
      <c r="J111" s="2" t="s">
        <v>588</v>
      </c>
      <c r="K111" s="2" t="s">
        <v>588</v>
      </c>
      <c r="L111" s="2" t="s">
        <v>588</v>
      </c>
    </row>
    <row r="112" spans="1:18" ht="38.25" customHeight="1">
      <c r="A112" t="s">
        <v>589</v>
      </c>
      <c r="B112" t="s">
        <v>590</v>
      </c>
      <c r="C112" s="77">
        <v>46276</v>
      </c>
      <c r="D112" t="s">
        <v>492</v>
      </c>
      <c r="E112" t="s">
        <v>273</v>
      </c>
      <c r="F112" s="2" t="s">
        <v>79</v>
      </c>
      <c r="G112" t="s">
        <v>493</v>
      </c>
      <c r="I112" s="18" t="s">
        <v>266</v>
      </c>
      <c r="J112" s="40" t="s">
        <v>267</v>
      </c>
      <c r="K112" s="40" t="s">
        <v>268</v>
      </c>
      <c r="L112" s="40" t="s">
        <v>269</v>
      </c>
      <c r="Q112" t="s">
        <v>591</v>
      </c>
      <c r="R112" t="s">
        <v>592</v>
      </c>
    </row>
    <row r="113" spans="1:17" ht="38.25" customHeight="1">
      <c r="A113" t="s">
        <v>593</v>
      </c>
      <c r="B113" t="s">
        <v>594</v>
      </c>
      <c r="C113" s="77">
        <v>46276</v>
      </c>
      <c r="D113" t="s">
        <v>492</v>
      </c>
      <c r="E113" t="s">
        <v>273</v>
      </c>
      <c r="F113" s="2" t="s">
        <v>79</v>
      </c>
      <c r="G113" t="s">
        <v>493</v>
      </c>
      <c r="J113" s="2" t="s">
        <v>588</v>
      </c>
      <c r="K113" s="2" t="s">
        <v>588</v>
      </c>
      <c r="L113" s="2" t="s">
        <v>588</v>
      </c>
    </row>
    <row r="114" spans="1:17" ht="38.25" customHeight="1">
      <c r="A114" t="s">
        <v>595</v>
      </c>
      <c r="B114" t="s">
        <v>596</v>
      </c>
      <c r="C114" s="77">
        <v>46276</v>
      </c>
      <c r="D114" t="s">
        <v>492</v>
      </c>
      <c r="E114" t="s">
        <v>273</v>
      </c>
      <c r="F114" s="2" t="s">
        <v>79</v>
      </c>
      <c r="G114" t="s">
        <v>493</v>
      </c>
      <c r="I114" s="18" t="s">
        <v>266</v>
      </c>
      <c r="J114" s="39" t="s">
        <v>282</v>
      </c>
      <c r="K114" s="39" t="s">
        <v>293</v>
      </c>
      <c r="L114" s="39" t="s">
        <v>258</v>
      </c>
      <c r="Q114" s="24" t="s">
        <v>597</v>
      </c>
    </row>
    <row r="115" spans="1:17" ht="38.25" customHeight="1">
      <c r="A115" t="s">
        <v>598</v>
      </c>
      <c r="B115" t="s">
        <v>599</v>
      </c>
      <c r="C115" s="77">
        <v>46276</v>
      </c>
      <c r="D115" t="s">
        <v>492</v>
      </c>
      <c r="E115" t="s">
        <v>273</v>
      </c>
      <c r="F115" s="2" t="s">
        <v>79</v>
      </c>
      <c r="G115" t="s">
        <v>493</v>
      </c>
      <c r="I115" s="18" t="s">
        <v>266</v>
      </c>
      <c r="J115" s="40" t="s">
        <v>267</v>
      </c>
      <c r="K115" s="40" t="s">
        <v>268</v>
      </c>
      <c r="L115" s="40" t="s">
        <v>269</v>
      </c>
      <c r="Q115" t="s">
        <v>600</v>
      </c>
    </row>
    <row r="116" spans="1:17" ht="38.25" customHeight="1">
      <c r="A116" t="s">
        <v>601</v>
      </c>
      <c r="B116" t="s">
        <v>602</v>
      </c>
      <c r="C116" s="77">
        <v>46276</v>
      </c>
      <c r="D116" t="s">
        <v>492</v>
      </c>
      <c r="E116" t="s">
        <v>273</v>
      </c>
      <c r="F116" s="2" t="s">
        <v>79</v>
      </c>
      <c r="G116" t="s">
        <v>493</v>
      </c>
      <c r="J116" s="2" t="s">
        <v>588</v>
      </c>
      <c r="K116" s="2" t="s">
        <v>588</v>
      </c>
      <c r="L116" s="2" t="s">
        <v>588</v>
      </c>
    </row>
    <row r="117" spans="1:17" ht="38.25" customHeight="1">
      <c r="A117" t="s">
        <v>603</v>
      </c>
      <c r="B117" t="s">
        <v>604</v>
      </c>
      <c r="C117" s="77">
        <v>46276</v>
      </c>
      <c r="D117" t="s">
        <v>492</v>
      </c>
      <c r="E117" t="s">
        <v>273</v>
      </c>
      <c r="F117" s="2" t="s">
        <v>79</v>
      </c>
      <c r="G117" t="s">
        <v>493</v>
      </c>
      <c r="I117" s="18" t="s">
        <v>266</v>
      </c>
      <c r="J117" s="39" t="s">
        <v>282</v>
      </c>
      <c r="K117" s="39" t="s">
        <v>293</v>
      </c>
      <c r="L117" s="39" t="s">
        <v>258</v>
      </c>
      <c r="Q117" t="s">
        <v>605</v>
      </c>
    </row>
    <row r="118" spans="1:17" ht="38.25" customHeight="1">
      <c r="A118" t="s">
        <v>606</v>
      </c>
      <c r="C118" s="77">
        <v>46276</v>
      </c>
      <c r="D118" t="s">
        <v>492</v>
      </c>
      <c r="E118" t="s">
        <v>273</v>
      </c>
      <c r="F118" s="2" t="s">
        <v>79</v>
      </c>
      <c r="G118" t="s">
        <v>493</v>
      </c>
      <c r="J118" s="2" t="s">
        <v>277</v>
      </c>
      <c r="K118" s="2" t="s">
        <v>277</v>
      </c>
      <c r="L118" s="2" t="s">
        <v>277</v>
      </c>
    </row>
    <row r="119" spans="1:17" ht="38.25" customHeight="1">
      <c r="A119" s="41" t="s">
        <v>607</v>
      </c>
      <c r="B119" t="s">
        <v>608</v>
      </c>
      <c r="C119" s="77">
        <v>46276</v>
      </c>
      <c r="D119" t="s">
        <v>492</v>
      </c>
      <c r="E119" t="s">
        <v>273</v>
      </c>
      <c r="F119" s="2" t="s">
        <v>79</v>
      </c>
      <c r="G119" t="s">
        <v>493</v>
      </c>
      <c r="I119" s="18" t="s">
        <v>266</v>
      </c>
      <c r="J119" s="39" t="s">
        <v>282</v>
      </c>
      <c r="K119" s="39" t="s">
        <v>293</v>
      </c>
      <c r="L119" s="39" t="s">
        <v>258</v>
      </c>
      <c r="Q119" t="s">
        <v>609</v>
      </c>
    </row>
    <row r="120" spans="1:17" ht="38.25" customHeight="1">
      <c r="A120" t="s">
        <v>610</v>
      </c>
      <c r="B120" t="s">
        <v>611</v>
      </c>
      <c r="C120" s="77">
        <v>46277</v>
      </c>
      <c r="D120" t="s">
        <v>492</v>
      </c>
      <c r="E120" t="s">
        <v>273</v>
      </c>
      <c r="F120" s="2" t="s">
        <v>79</v>
      </c>
      <c r="G120" t="s">
        <v>493</v>
      </c>
      <c r="J120" s="40" t="s">
        <v>267</v>
      </c>
      <c r="K120" s="40" t="s">
        <v>268</v>
      </c>
      <c r="L120" s="40" t="s">
        <v>269</v>
      </c>
      <c r="Q120" t="s">
        <v>612</v>
      </c>
    </row>
    <row r="121" spans="1:17" ht="38.25" customHeight="1">
      <c r="A121" t="s">
        <v>613</v>
      </c>
      <c r="B121" t="s">
        <v>614</v>
      </c>
      <c r="C121" s="77">
        <v>46277</v>
      </c>
      <c r="D121" t="s">
        <v>492</v>
      </c>
      <c r="E121" t="s">
        <v>273</v>
      </c>
      <c r="F121" s="2" t="s">
        <v>79</v>
      </c>
      <c r="G121" t="s">
        <v>493</v>
      </c>
      <c r="I121" s="18" t="s">
        <v>266</v>
      </c>
      <c r="J121" s="39" t="s">
        <v>282</v>
      </c>
      <c r="K121" s="39" t="s">
        <v>282</v>
      </c>
      <c r="L121" s="39" t="s">
        <v>258</v>
      </c>
      <c r="Q121" t="s">
        <v>615</v>
      </c>
    </row>
    <row r="122" spans="1:17" ht="38.25" customHeight="1">
      <c r="A122" t="s">
        <v>616</v>
      </c>
      <c r="B122" t="s">
        <v>617</v>
      </c>
      <c r="C122" s="77">
        <v>46277</v>
      </c>
      <c r="D122" t="s">
        <v>492</v>
      </c>
      <c r="E122" t="s">
        <v>273</v>
      </c>
      <c r="F122" s="2" t="s">
        <v>79</v>
      </c>
      <c r="G122" t="s">
        <v>493</v>
      </c>
      <c r="J122" s="2" t="s">
        <v>618</v>
      </c>
      <c r="K122" s="2" t="s">
        <v>618</v>
      </c>
      <c r="L122" s="2" t="s">
        <v>619</v>
      </c>
    </row>
    <row r="123" spans="1:17" ht="38.25" customHeight="1">
      <c r="A123" t="s">
        <v>620</v>
      </c>
      <c r="B123" t="s">
        <v>621</v>
      </c>
      <c r="C123" s="77">
        <v>46277</v>
      </c>
      <c r="D123" t="s">
        <v>492</v>
      </c>
      <c r="E123" t="s">
        <v>273</v>
      </c>
      <c r="F123" s="2" t="s">
        <v>79</v>
      </c>
      <c r="G123" t="s">
        <v>493</v>
      </c>
      <c r="I123" s="18" t="s">
        <v>266</v>
      </c>
      <c r="J123" s="40" t="s">
        <v>267</v>
      </c>
      <c r="K123" s="40" t="s">
        <v>268</v>
      </c>
      <c r="L123" s="40" t="s">
        <v>269</v>
      </c>
      <c r="Q123" t="s">
        <v>622</v>
      </c>
    </row>
    <row r="124" spans="1:17" ht="38.25" customHeight="1">
      <c r="A124" t="s">
        <v>151</v>
      </c>
      <c r="B124" t="s">
        <v>623</v>
      </c>
      <c r="C124" s="77">
        <v>46277</v>
      </c>
      <c r="D124" t="s">
        <v>492</v>
      </c>
      <c r="E124" t="s">
        <v>273</v>
      </c>
      <c r="F124" s="2" t="s">
        <v>79</v>
      </c>
      <c r="G124" t="s">
        <v>493</v>
      </c>
      <c r="I124" s="18" t="s">
        <v>266</v>
      </c>
      <c r="J124" s="39" t="s">
        <v>282</v>
      </c>
      <c r="K124" s="39" t="s">
        <v>282</v>
      </c>
      <c r="L124" s="39" t="s">
        <v>258</v>
      </c>
      <c r="Q124" t="s">
        <v>624</v>
      </c>
    </row>
    <row r="125" spans="1:17" ht="38.25" customHeight="1">
      <c r="A125" t="s">
        <v>625</v>
      </c>
      <c r="B125" t="s">
        <v>626</v>
      </c>
      <c r="C125" s="77">
        <v>46277</v>
      </c>
      <c r="D125" t="s">
        <v>492</v>
      </c>
      <c r="E125" t="s">
        <v>273</v>
      </c>
      <c r="F125" s="2" t="s">
        <v>79</v>
      </c>
      <c r="G125" t="s">
        <v>493</v>
      </c>
      <c r="J125" s="2" t="s">
        <v>277</v>
      </c>
      <c r="K125" s="2" t="s">
        <v>277</v>
      </c>
      <c r="L125" s="2" t="s">
        <v>277</v>
      </c>
    </row>
    <row r="126" spans="1:17" ht="38.25" customHeight="1">
      <c r="A126" t="s">
        <v>627</v>
      </c>
      <c r="B126" t="s">
        <v>628</v>
      </c>
      <c r="C126" s="77">
        <v>46277</v>
      </c>
      <c r="D126" t="s">
        <v>492</v>
      </c>
      <c r="E126" t="s">
        <v>273</v>
      </c>
      <c r="F126" s="2" t="s">
        <v>79</v>
      </c>
      <c r="G126" t="s">
        <v>493</v>
      </c>
      <c r="J126" s="2" t="s">
        <v>277</v>
      </c>
      <c r="K126" s="2" t="s">
        <v>277</v>
      </c>
      <c r="L126" s="2" t="s">
        <v>277</v>
      </c>
    </row>
    <row r="127" spans="1:17" ht="38.25" customHeight="1">
      <c r="A127" s="27" t="s">
        <v>629</v>
      </c>
      <c r="B127" t="s">
        <v>630</v>
      </c>
      <c r="C127" s="77">
        <v>46277</v>
      </c>
      <c r="D127" t="s">
        <v>492</v>
      </c>
      <c r="E127" t="s">
        <v>273</v>
      </c>
      <c r="F127" s="2" t="s">
        <v>79</v>
      </c>
      <c r="G127" t="s">
        <v>493</v>
      </c>
      <c r="I127" s="18" t="s">
        <v>266</v>
      </c>
      <c r="J127" s="39" t="s">
        <v>282</v>
      </c>
      <c r="K127" s="39" t="s">
        <v>282</v>
      </c>
      <c r="L127" s="39" t="s">
        <v>258</v>
      </c>
      <c r="Q127" t="s">
        <v>631</v>
      </c>
    </row>
    <row r="128" spans="1:17" ht="38.25" customHeight="1">
      <c r="A128" t="s">
        <v>575</v>
      </c>
      <c r="B128" t="s">
        <v>632</v>
      </c>
      <c r="C128" s="77">
        <v>46277</v>
      </c>
      <c r="D128" t="s">
        <v>492</v>
      </c>
      <c r="E128" t="s">
        <v>273</v>
      </c>
      <c r="F128" s="2" t="s">
        <v>79</v>
      </c>
      <c r="G128" t="s">
        <v>493</v>
      </c>
      <c r="J128" s="2" t="s">
        <v>277</v>
      </c>
      <c r="K128" s="2" t="s">
        <v>277</v>
      </c>
      <c r="L128" s="2" t="s">
        <v>277</v>
      </c>
    </row>
    <row r="129" spans="1:17" ht="38.25" customHeight="1">
      <c r="A129" s="41" t="s">
        <v>633</v>
      </c>
      <c r="B129" t="s">
        <v>634</v>
      </c>
      <c r="C129" s="77">
        <v>46278</v>
      </c>
      <c r="D129" t="s">
        <v>492</v>
      </c>
      <c r="E129" t="s">
        <v>273</v>
      </c>
      <c r="F129" s="2" t="s">
        <v>79</v>
      </c>
      <c r="G129" t="s">
        <v>493</v>
      </c>
      <c r="I129" s="18" t="s">
        <v>266</v>
      </c>
      <c r="J129" s="39" t="s">
        <v>282</v>
      </c>
      <c r="K129" s="39" t="s">
        <v>282</v>
      </c>
      <c r="L129" s="39" t="s">
        <v>258</v>
      </c>
      <c r="Q129" t="s">
        <v>635</v>
      </c>
    </row>
    <row r="130" spans="1:17" ht="38.25" customHeight="1">
      <c r="A130" t="s">
        <v>158</v>
      </c>
      <c r="B130" t="s">
        <v>636</v>
      </c>
      <c r="C130" s="77">
        <v>46278</v>
      </c>
      <c r="D130" t="s">
        <v>492</v>
      </c>
      <c r="E130" t="s">
        <v>273</v>
      </c>
      <c r="F130" s="2" t="s">
        <v>79</v>
      </c>
      <c r="G130" t="s">
        <v>493</v>
      </c>
      <c r="I130" s="18" t="s">
        <v>266</v>
      </c>
      <c r="J130" s="39" t="s">
        <v>282</v>
      </c>
      <c r="K130" s="39" t="s">
        <v>282</v>
      </c>
      <c r="L130" s="39" t="s">
        <v>258</v>
      </c>
      <c r="Q130" t="s">
        <v>637</v>
      </c>
    </row>
    <row r="131" spans="1:17" ht="38.25" customHeight="1">
      <c r="A131" t="s">
        <v>638</v>
      </c>
      <c r="B131" t="s">
        <v>639</v>
      </c>
      <c r="C131" s="77">
        <v>46278</v>
      </c>
      <c r="D131" t="s">
        <v>492</v>
      </c>
      <c r="E131" t="s">
        <v>273</v>
      </c>
      <c r="F131" s="2" t="s">
        <v>79</v>
      </c>
      <c r="G131" t="s">
        <v>493</v>
      </c>
      <c r="I131" s="18" t="s">
        <v>266</v>
      </c>
      <c r="J131" s="39" t="s">
        <v>282</v>
      </c>
      <c r="K131" s="39" t="s">
        <v>282</v>
      </c>
      <c r="L131" s="39" t="s">
        <v>258</v>
      </c>
      <c r="Q131" t="s">
        <v>640</v>
      </c>
    </row>
    <row r="132" spans="1:17" ht="38.25" customHeight="1">
      <c r="A132" t="s">
        <v>165</v>
      </c>
      <c r="B132" t="s">
        <v>641</v>
      </c>
      <c r="C132" s="77">
        <v>46278</v>
      </c>
      <c r="D132" t="s">
        <v>492</v>
      </c>
      <c r="E132" t="s">
        <v>273</v>
      </c>
      <c r="F132" s="2" t="s">
        <v>79</v>
      </c>
      <c r="G132" t="s">
        <v>493</v>
      </c>
      <c r="I132" s="18" t="s">
        <v>266</v>
      </c>
      <c r="J132" s="39" t="s">
        <v>282</v>
      </c>
      <c r="K132" s="39" t="s">
        <v>282</v>
      </c>
      <c r="L132" s="39" t="s">
        <v>258</v>
      </c>
      <c r="Q132" t="s">
        <v>642</v>
      </c>
    </row>
    <row r="133" spans="1:17" ht="38.25" customHeight="1">
      <c r="A133" s="41" t="s">
        <v>643</v>
      </c>
      <c r="B133" t="s">
        <v>644</v>
      </c>
      <c r="C133" s="77">
        <v>46278</v>
      </c>
      <c r="D133" t="s">
        <v>492</v>
      </c>
      <c r="E133" t="s">
        <v>273</v>
      </c>
      <c r="F133" s="2" t="s">
        <v>79</v>
      </c>
      <c r="G133" t="s">
        <v>493</v>
      </c>
      <c r="I133" s="18" t="s">
        <v>266</v>
      </c>
      <c r="J133" s="39" t="s">
        <v>282</v>
      </c>
      <c r="K133" s="39" t="s">
        <v>282</v>
      </c>
      <c r="L133" s="39" t="s">
        <v>258</v>
      </c>
      <c r="Q133" t="s">
        <v>645</v>
      </c>
    </row>
    <row r="134" spans="1:17" ht="38.25" customHeight="1">
      <c r="A134" t="s">
        <v>646</v>
      </c>
      <c r="B134" t="s">
        <v>628</v>
      </c>
      <c r="C134" s="77">
        <v>46278</v>
      </c>
      <c r="D134" t="s">
        <v>492</v>
      </c>
      <c r="E134" t="s">
        <v>273</v>
      </c>
      <c r="F134" s="2" t="s">
        <v>79</v>
      </c>
      <c r="G134" t="s">
        <v>493</v>
      </c>
      <c r="I134" s="18" t="s">
        <v>266</v>
      </c>
      <c r="J134" s="39" t="s">
        <v>282</v>
      </c>
      <c r="K134" s="39" t="s">
        <v>282</v>
      </c>
      <c r="L134" s="39" t="s">
        <v>258</v>
      </c>
      <c r="Q134" t="s">
        <v>647</v>
      </c>
    </row>
    <row r="135" spans="1:17" ht="38.25" customHeight="1">
      <c r="A135" s="27" t="s">
        <v>648</v>
      </c>
      <c r="B135" t="s">
        <v>649</v>
      </c>
      <c r="C135" s="77">
        <v>46278</v>
      </c>
      <c r="D135" t="s">
        <v>492</v>
      </c>
      <c r="E135" t="s">
        <v>273</v>
      </c>
      <c r="F135" s="2" t="s">
        <v>79</v>
      </c>
      <c r="G135" t="s">
        <v>493</v>
      </c>
      <c r="I135" s="18" t="s">
        <v>266</v>
      </c>
      <c r="J135" s="39" t="s">
        <v>282</v>
      </c>
      <c r="K135" s="39" t="s">
        <v>282</v>
      </c>
      <c r="L135" s="39" t="s">
        <v>258</v>
      </c>
      <c r="Q135" t="s">
        <v>650</v>
      </c>
    </row>
    <row r="136" spans="1:17" ht="38.25" customHeight="1">
      <c r="A136" t="s">
        <v>651</v>
      </c>
      <c r="C136" s="77">
        <v>46278</v>
      </c>
      <c r="D136" t="s">
        <v>492</v>
      </c>
      <c r="E136" t="s">
        <v>273</v>
      </c>
      <c r="F136" s="2" t="s">
        <v>79</v>
      </c>
      <c r="G136" t="s">
        <v>493</v>
      </c>
      <c r="I136" s="18" t="s">
        <v>266</v>
      </c>
      <c r="J136" s="40" t="s">
        <v>267</v>
      </c>
      <c r="K136" s="40" t="s">
        <v>268</v>
      </c>
      <c r="L136" s="40" t="s">
        <v>269</v>
      </c>
      <c r="Q136" s="24" t="s">
        <v>652</v>
      </c>
    </row>
    <row r="137" spans="1:17" ht="38.25" customHeight="1">
      <c r="A137" t="s">
        <v>653</v>
      </c>
      <c r="B137" t="s">
        <v>654</v>
      </c>
      <c r="C137" s="77">
        <v>46278</v>
      </c>
      <c r="D137" t="s">
        <v>492</v>
      </c>
      <c r="E137" t="s">
        <v>273</v>
      </c>
      <c r="F137" s="2" t="s">
        <v>79</v>
      </c>
      <c r="G137" t="s">
        <v>493</v>
      </c>
      <c r="I137" s="18" t="s">
        <v>266</v>
      </c>
      <c r="J137" s="40" t="s">
        <v>267</v>
      </c>
      <c r="K137" s="40" t="s">
        <v>268</v>
      </c>
      <c r="L137" s="40" t="s">
        <v>269</v>
      </c>
      <c r="Q137" s="24" t="s">
        <v>655</v>
      </c>
    </row>
    <row r="138" spans="1:17" ht="38.25" customHeight="1">
      <c r="A138" t="s">
        <v>656</v>
      </c>
      <c r="B138" t="s">
        <v>657</v>
      </c>
      <c r="C138" s="77">
        <v>46278</v>
      </c>
      <c r="D138" t="s">
        <v>492</v>
      </c>
      <c r="E138" t="s">
        <v>273</v>
      </c>
      <c r="F138" s="2" t="s">
        <v>79</v>
      </c>
      <c r="G138" t="s">
        <v>493</v>
      </c>
      <c r="J138" s="2" t="s">
        <v>588</v>
      </c>
      <c r="K138" s="2" t="s">
        <v>588</v>
      </c>
      <c r="L138" s="2" t="s">
        <v>588</v>
      </c>
    </row>
    <row r="139" spans="1:17" ht="38.25" customHeight="1">
      <c r="A139" t="s">
        <v>658</v>
      </c>
      <c r="B139" t="s">
        <v>659</v>
      </c>
      <c r="C139" s="77">
        <v>46278</v>
      </c>
      <c r="D139" t="s">
        <v>492</v>
      </c>
      <c r="E139" t="s">
        <v>273</v>
      </c>
      <c r="F139" s="2" t="s">
        <v>79</v>
      </c>
      <c r="G139" t="s">
        <v>493</v>
      </c>
      <c r="I139" s="18" t="s">
        <v>266</v>
      </c>
      <c r="J139" s="39" t="s">
        <v>282</v>
      </c>
      <c r="K139" s="39" t="s">
        <v>282</v>
      </c>
      <c r="L139" s="39" t="s">
        <v>258</v>
      </c>
      <c r="Q139" t="s">
        <v>660</v>
      </c>
    </row>
    <row r="140" spans="1:17" ht="38.25" customHeight="1">
      <c r="A140" t="s">
        <v>661</v>
      </c>
      <c r="B140" t="s">
        <v>662</v>
      </c>
      <c r="C140" s="77">
        <v>46278</v>
      </c>
      <c r="D140" t="s">
        <v>492</v>
      </c>
      <c r="E140" t="s">
        <v>273</v>
      </c>
      <c r="F140" s="2" t="s">
        <v>79</v>
      </c>
      <c r="G140" t="s">
        <v>493</v>
      </c>
      <c r="I140" s="18" t="s">
        <v>266</v>
      </c>
      <c r="J140" s="39" t="s">
        <v>282</v>
      </c>
      <c r="K140" s="39" t="s">
        <v>282</v>
      </c>
      <c r="L140" s="39" t="s">
        <v>258</v>
      </c>
      <c r="Q140" t="s">
        <v>663</v>
      </c>
    </row>
    <row r="141" spans="1:17" ht="38.25" customHeight="1">
      <c r="A141" t="s">
        <v>164</v>
      </c>
      <c r="B141" t="s">
        <v>664</v>
      </c>
      <c r="C141" s="77">
        <v>46278</v>
      </c>
      <c r="D141" t="s">
        <v>492</v>
      </c>
      <c r="E141" t="s">
        <v>273</v>
      </c>
      <c r="F141" s="2" t="s">
        <v>79</v>
      </c>
      <c r="G141" t="s">
        <v>493</v>
      </c>
      <c r="I141" s="18" t="s">
        <v>266</v>
      </c>
      <c r="J141" s="39" t="s">
        <v>282</v>
      </c>
      <c r="K141" s="39" t="s">
        <v>282</v>
      </c>
      <c r="L141" s="39" t="s">
        <v>258</v>
      </c>
      <c r="Q141" t="s">
        <v>665</v>
      </c>
    </row>
    <row r="142" spans="1:17" ht="38.25" customHeight="1">
      <c r="A142" t="s">
        <v>666</v>
      </c>
      <c r="B142" t="s">
        <v>667</v>
      </c>
      <c r="C142" s="77">
        <v>46279</v>
      </c>
      <c r="D142" t="s">
        <v>492</v>
      </c>
      <c r="E142" t="s">
        <v>273</v>
      </c>
      <c r="F142" s="2" t="s">
        <v>79</v>
      </c>
      <c r="G142" t="s">
        <v>493</v>
      </c>
      <c r="J142" s="40" t="s">
        <v>267</v>
      </c>
      <c r="K142" s="40" t="s">
        <v>268</v>
      </c>
      <c r="L142" s="40" t="s">
        <v>269</v>
      </c>
      <c r="Q142" t="s">
        <v>668</v>
      </c>
    </row>
    <row r="143" spans="1:17" ht="38.25" customHeight="1">
      <c r="A143" t="s">
        <v>669</v>
      </c>
      <c r="B143" t="s">
        <v>670</v>
      </c>
      <c r="C143" s="77">
        <v>46279</v>
      </c>
      <c r="D143" t="s">
        <v>492</v>
      </c>
      <c r="E143" t="s">
        <v>273</v>
      </c>
      <c r="F143" s="2" t="s">
        <v>79</v>
      </c>
      <c r="G143" t="s">
        <v>493</v>
      </c>
      <c r="I143" s="18" t="s">
        <v>266</v>
      </c>
      <c r="J143" s="40" t="s">
        <v>267</v>
      </c>
      <c r="K143" s="40" t="s">
        <v>268</v>
      </c>
      <c r="L143" s="40" t="s">
        <v>269</v>
      </c>
      <c r="Q143" s="24" t="s">
        <v>671</v>
      </c>
    </row>
    <row r="144" spans="1:17" ht="38.25" customHeight="1">
      <c r="A144" s="27" t="s">
        <v>672</v>
      </c>
      <c r="B144" t="s">
        <v>673</v>
      </c>
      <c r="C144" s="77">
        <v>46279</v>
      </c>
      <c r="D144" t="s">
        <v>492</v>
      </c>
      <c r="E144" t="s">
        <v>273</v>
      </c>
      <c r="F144" s="2" t="s">
        <v>79</v>
      </c>
      <c r="G144" t="s">
        <v>493</v>
      </c>
      <c r="I144" s="18" t="s">
        <v>266</v>
      </c>
      <c r="J144" s="39" t="s">
        <v>282</v>
      </c>
      <c r="K144" s="39" t="s">
        <v>282</v>
      </c>
      <c r="L144" s="39" t="s">
        <v>258</v>
      </c>
      <c r="Q144" s="24" t="s">
        <v>674</v>
      </c>
    </row>
    <row r="145" spans="1:17" ht="38.25" customHeight="1">
      <c r="A145" s="27" t="s">
        <v>166</v>
      </c>
      <c r="B145" t="s">
        <v>675</v>
      </c>
      <c r="C145" s="77">
        <v>46279</v>
      </c>
      <c r="D145" t="s">
        <v>492</v>
      </c>
      <c r="E145" t="s">
        <v>273</v>
      </c>
      <c r="F145" s="2" t="s">
        <v>79</v>
      </c>
      <c r="G145" t="s">
        <v>493</v>
      </c>
      <c r="I145" s="18" t="s">
        <v>266</v>
      </c>
      <c r="J145" s="39" t="s">
        <v>282</v>
      </c>
      <c r="K145" s="39" t="s">
        <v>282</v>
      </c>
      <c r="L145" s="39" t="s">
        <v>258</v>
      </c>
      <c r="Q145" s="24" t="s">
        <v>676</v>
      </c>
    </row>
    <row r="146" spans="1:17" ht="38.25" customHeight="1">
      <c r="A146" t="s">
        <v>677</v>
      </c>
      <c r="B146" t="s">
        <v>678</v>
      </c>
      <c r="C146" s="77">
        <v>46280</v>
      </c>
      <c r="D146" t="s">
        <v>492</v>
      </c>
      <c r="E146" t="s">
        <v>273</v>
      </c>
      <c r="F146" s="2" t="s">
        <v>79</v>
      </c>
      <c r="G146" t="s">
        <v>493</v>
      </c>
      <c r="I146" s="18" t="s">
        <v>266</v>
      </c>
      <c r="J146" s="39" t="s">
        <v>282</v>
      </c>
      <c r="K146" s="39" t="s">
        <v>282</v>
      </c>
      <c r="L146" s="39" t="s">
        <v>258</v>
      </c>
      <c r="Q146" t="s">
        <v>679</v>
      </c>
    </row>
    <row r="147" spans="1:17" ht="38.25" customHeight="1">
      <c r="A147" t="s">
        <v>168</v>
      </c>
      <c r="B147" t="s">
        <v>680</v>
      </c>
      <c r="C147" s="77">
        <v>46280</v>
      </c>
      <c r="D147" t="s">
        <v>492</v>
      </c>
      <c r="E147" t="s">
        <v>273</v>
      </c>
      <c r="F147" s="2" t="s">
        <v>79</v>
      </c>
      <c r="G147" t="s">
        <v>493</v>
      </c>
      <c r="I147" s="18" t="s">
        <v>266</v>
      </c>
      <c r="J147" s="39" t="s">
        <v>282</v>
      </c>
      <c r="K147" s="39" t="s">
        <v>282</v>
      </c>
      <c r="L147" s="39" t="s">
        <v>258</v>
      </c>
      <c r="Q147" t="s">
        <v>681</v>
      </c>
    </row>
    <row r="148" spans="1:17" ht="38.25" customHeight="1">
      <c r="A148" t="s">
        <v>682</v>
      </c>
      <c r="B148" t="s">
        <v>276</v>
      </c>
      <c r="C148" s="77">
        <v>46280</v>
      </c>
      <c r="D148" t="s">
        <v>492</v>
      </c>
      <c r="E148" t="s">
        <v>273</v>
      </c>
      <c r="F148" s="2" t="s">
        <v>79</v>
      </c>
      <c r="G148" t="s">
        <v>493</v>
      </c>
      <c r="I148" s="18" t="s">
        <v>266</v>
      </c>
      <c r="J148" s="40" t="s">
        <v>267</v>
      </c>
      <c r="K148" s="40" t="s">
        <v>268</v>
      </c>
      <c r="L148" s="40" t="s">
        <v>269</v>
      </c>
      <c r="Q148" t="s">
        <v>683</v>
      </c>
    </row>
    <row r="149" spans="1:17" ht="38.25" customHeight="1">
      <c r="A149" t="s">
        <v>684</v>
      </c>
      <c r="B149" t="s">
        <v>685</v>
      </c>
      <c r="C149" s="77">
        <v>46280</v>
      </c>
      <c r="D149" t="s">
        <v>492</v>
      </c>
      <c r="E149" t="s">
        <v>273</v>
      </c>
      <c r="F149" s="2" t="s">
        <v>79</v>
      </c>
      <c r="G149" t="s">
        <v>493</v>
      </c>
      <c r="I149" s="18" t="s">
        <v>266</v>
      </c>
      <c r="J149" s="40" t="s">
        <v>267</v>
      </c>
      <c r="K149" s="40" t="s">
        <v>268</v>
      </c>
      <c r="L149" s="40" t="s">
        <v>269</v>
      </c>
      <c r="Q149" t="s">
        <v>686</v>
      </c>
    </row>
    <row r="150" spans="1:17" ht="38.25" customHeight="1">
      <c r="A150" t="s">
        <v>687</v>
      </c>
      <c r="B150" t="s">
        <v>688</v>
      </c>
      <c r="C150" s="77">
        <v>46280</v>
      </c>
      <c r="D150" t="s">
        <v>492</v>
      </c>
      <c r="E150" t="s">
        <v>273</v>
      </c>
      <c r="F150" s="2" t="s">
        <v>79</v>
      </c>
      <c r="G150" t="s">
        <v>493</v>
      </c>
      <c r="I150" s="18" t="s">
        <v>266</v>
      </c>
      <c r="J150" s="40" t="s">
        <v>267</v>
      </c>
      <c r="K150" s="40" t="s">
        <v>268</v>
      </c>
      <c r="L150" s="40" t="s">
        <v>269</v>
      </c>
      <c r="Q150" t="s">
        <v>689</v>
      </c>
    </row>
    <row r="151" spans="1:17" ht="38.25" customHeight="1">
      <c r="A151" t="s">
        <v>690</v>
      </c>
      <c r="B151" t="s">
        <v>691</v>
      </c>
      <c r="C151" s="77">
        <v>46280</v>
      </c>
      <c r="D151" t="s">
        <v>492</v>
      </c>
      <c r="E151" t="s">
        <v>273</v>
      </c>
      <c r="F151" s="2" t="s">
        <v>79</v>
      </c>
      <c r="G151" t="s">
        <v>493</v>
      </c>
      <c r="I151" s="18" t="s">
        <v>266</v>
      </c>
      <c r="J151" s="40" t="s">
        <v>267</v>
      </c>
      <c r="K151" s="40" t="s">
        <v>268</v>
      </c>
      <c r="L151" s="40" t="s">
        <v>269</v>
      </c>
      <c r="Q151" t="s">
        <v>692</v>
      </c>
    </row>
    <row r="152" spans="1:17" ht="38.25" customHeight="1">
      <c r="A152" t="s">
        <v>693</v>
      </c>
      <c r="B152" t="s">
        <v>694</v>
      </c>
      <c r="C152" s="77">
        <v>46280</v>
      </c>
      <c r="D152" t="s">
        <v>492</v>
      </c>
      <c r="E152" t="s">
        <v>273</v>
      </c>
      <c r="F152" s="2" t="s">
        <v>79</v>
      </c>
      <c r="G152" t="s">
        <v>493</v>
      </c>
      <c r="I152" s="18" t="s">
        <v>266</v>
      </c>
      <c r="J152" s="39" t="s">
        <v>282</v>
      </c>
      <c r="K152" s="39" t="s">
        <v>282</v>
      </c>
      <c r="L152" s="39" t="s">
        <v>258</v>
      </c>
      <c r="Q152" t="s">
        <v>695</v>
      </c>
    </row>
    <row r="153" spans="1:17" ht="38.25" customHeight="1">
      <c r="A153" t="s">
        <v>696</v>
      </c>
      <c r="C153" s="77">
        <v>46280</v>
      </c>
      <c r="D153" t="s">
        <v>492</v>
      </c>
      <c r="E153" t="s">
        <v>209</v>
      </c>
      <c r="F153" s="2" t="s">
        <v>85</v>
      </c>
      <c r="G153" t="s">
        <v>493</v>
      </c>
      <c r="I153" s="72" t="s">
        <v>266</v>
      </c>
      <c r="J153" s="40" t="s">
        <v>267</v>
      </c>
      <c r="K153" s="40" t="s">
        <v>268</v>
      </c>
      <c r="L153" s="40" t="s">
        <v>269</v>
      </c>
      <c r="Q153" t="s">
        <v>697</v>
      </c>
    </row>
    <row r="154" spans="1:17" ht="38.25" customHeight="1">
      <c r="A154" t="s">
        <v>698</v>
      </c>
      <c r="B154" t="s">
        <v>699</v>
      </c>
      <c r="C154" s="77">
        <v>46280</v>
      </c>
      <c r="D154" t="s">
        <v>492</v>
      </c>
      <c r="E154" t="s">
        <v>273</v>
      </c>
      <c r="F154" s="2" t="s">
        <v>79</v>
      </c>
      <c r="G154" t="s">
        <v>493</v>
      </c>
      <c r="I154" s="18" t="s">
        <v>266</v>
      </c>
      <c r="J154" s="40" t="s">
        <v>267</v>
      </c>
      <c r="K154" s="40" t="s">
        <v>268</v>
      </c>
      <c r="L154" s="40" t="s">
        <v>269</v>
      </c>
      <c r="Q154" s="24" t="s">
        <v>700</v>
      </c>
    </row>
    <row r="155" spans="1:17" ht="38.25" customHeight="1">
      <c r="A155" t="s">
        <v>701</v>
      </c>
      <c r="B155" t="s">
        <v>702</v>
      </c>
      <c r="C155" s="77">
        <v>46280</v>
      </c>
      <c r="D155" t="s">
        <v>492</v>
      </c>
      <c r="E155" t="s">
        <v>273</v>
      </c>
      <c r="F155" s="2" t="s">
        <v>79</v>
      </c>
      <c r="G155" t="s">
        <v>493</v>
      </c>
      <c r="I155" s="18" t="s">
        <v>266</v>
      </c>
      <c r="J155" s="40" t="s">
        <v>267</v>
      </c>
      <c r="K155" s="40" t="s">
        <v>268</v>
      </c>
      <c r="L155" s="40" t="s">
        <v>269</v>
      </c>
      <c r="Q155" t="s">
        <v>703</v>
      </c>
    </row>
    <row r="156" spans="1:17" ht="38.25" customHeight="1">
      <c r="A156" t="s">
        <v>704</v>
      </c>
      <c r="B156" t="s">
        <v>705</v>
      </c>
      <c r="C156" s="77">
        <v>46280</v>
      </c>
      <c r="D156" t="s">
        <v>492</v>
      </c>
      <c r="E156" t="s">
        <v>273</v>
      </c>
      <c r="F156" s="2" t="s">
        <v>79</v>
      </c>
      <c r="G156" t="s">
        <v>493</v>
      </c>
      <c r="I156" s="18" t="s">
        <v>266</v>
      </c>
      <c r="J156" s="40" t="s">
        <v>267</v>
      </c>
      <c r="K156" s="40" t="s">
        <v>268</v>
      </c>
      <c r="L156" s="40" t="s">
        <v>269</v>
      </c>
      <c r="Q156" t="s">
        <v>706</v>
      </c>
    </row>
    <row r="157" spans="1:17" ht="38.25" customHeight="1">
      <c r="A157" t="s">
        <v>170</v>
      </c>
      <c r="B157" t="s">
        <v>707</v>
      </c>
      <c r="C157" s="77">
        <v>46280</v>
      </c>
      <c r="D157" t="s">
        <v>492</v>
      </c>
      <c r="E157" t="s">
        <v>273</v>
      </c>
      <c r="F157" s="2" t="s">
        <v>79</v>
      </c>
      <c r="G157" t="s">
        <v>493</v>
      </c>
      <c r="I157" s="18" t="s">
        <v>266</v>
      </c>
      <c r="J157" s="39" t="s">
        <v>282</v>
      </c>
      <c r="K157" s="39" t="s">
        <v>282</v>
      </c>
      <c r="L157" s="39" t="s">
        <v>258</v>
      </c>
      <c r="Q157" s="24" t="s">
        <v>708</v>
      </c>
    </row>
    <row r="158" spans="1:17" ht="38.25" customHeight="1">
      <c r="A158" t="s">
        <v>709</v>
      </c>
      <c r="B158" t="s">
        <v>710</v>
      </c>
      <c r="C158" s="77">
        <v>46280</v>
      </c>
      <c r="D158" t="s">
        <v>492</v>
      </c>
      <c r="E158" t="s">
        <v>273</v>
      </c>
      <c r="F158" s="2" t="s">
        <v>79</v>
      </c>
      <c r="G158" t="s">
        <v>493</v>
      </c>
      <c r="J158" s="2" t="s">
        <v>277</v>
      </c>
      <c r="K158" s="2" t="s">
        <v>277</v>
      </c>
      <c r="L158" s="2" t="s">
        <v>277</v>
      </c>
    </row>
    <row r="159" spans="1:17" ht="38.25" customHeight="1">
      <c r="A159" t="s">
        <v>711</v>
      </c>
      <c r="B159" t="s">
        <v>712</v>
      </c>
      <c r="C159" s="77">
        <v>46280</v>
      </c>
      <c r="D159" t="s">
        <v>492</v>
      </c>
      <c r="E159" t="s">
        <v>273</v>
      </c>
      <c r="F159" s="2" t="s">
        <v>79</v>
      </c>
      <c r="G159" t="s">
        <v>493</v>
      </c>
      <c r="I159" s="18" t="s">
        <v>266</v>
      </c>
      <c r="J159" s="40" t="s">
        <v>267</v>
      </c>
      <c r="K159" s="40" t="s">
        <v>268</v>
      </c>
      <c r="L159" s="40" t="s">
        <v>269</v>
      </c>
      <c r="Q159" t="s">
        <v>713</v>
      </c>
    </row>
    <row r="160" spans="1:17" ht="38.25" customHeight="1">
      <c r="A160" s="107" t="s">
        <v>714</v>
      </c>
      <c r="B160" t="s">
        <v>715</v>
      </c>
      <c r="C160" s="77">
        <v>46281</v>
      </c>
      <c r="D160" t="s">
        <v>492</v>
      </c>
      <c r="E160" t="s">
        <v>273</v>
      </c>
      <c r="F160" s="2" t="s">
        <v>79</v>
      </c>
      <c r="G160" t="s">
        <v>493</v>
      </c>
      <c r="I160" s="18" t="s">
        <v>266</v>
      </c>
      <c r="J160" s="39" t="s">
        <v>282</v>
      </c>
      <c r="K160" s="39" t="s">
        <v>282</v>
      </c>
      <c r="L160" s="39" t="s">
        <v>258</v>
      </c>
      <c r="Q160" t="s">
        <v>716</v>
      </c>
    </row>
    <row r="161" spans="1:17" ht="38.25" customHeight="1">
      <c r="A161" t="s">
        <v>717</v>
      </c>
      <c r="B161" t="s">
        <v>718</v>
      </c>
      <c r="C161" s="77">
        <v>46281</v>
      </c>
      <c r="D161" t="s">
        <v>492</v>
      </c>
      <c r="E161" t="s">
        <v>273</v>
      </c>
      <c r="F161" s="2" t="s">
        <v>79</v>
      </c>
      <c r="G161" t="s">
        <v>493</v>
      </c>
      <c r="I161" s="18" t="s">
        <v>266</v>
      </c>
      <c r="J161" s="40" t="s">
        <v>267</v>
      </c>
      <c r="K161" s="40" t="s">
        <v>268</v>
      </c>
      <c r="L161" s="40" t="s">
        <v>269</v>
      </c>
      <c r="Q161" t="s">
        <v>719</v>
      </c>
    </row>
    <row r="162" spans="1:17" ht="38.25" customHeight="1">
      <c r="A162" t="s">
        <v>720</v>
      </c>
      <c r="B162" t="s">
        <v>721</v>
      </c>
      <c r="C162" s="77">
        <v>46281</v>
      </c>
      <c r="D162" t="s">
        <v>492</v>
      </c>
      <c r="E162" t="s">
        <v>273</v>
      </c>
      <c r="F162" s="2" t="s">
        <v>79</v>
      </c>
      <c r="G162" t="s">
        <v>493</v>
      </c>
      <c r="J162" s="2" t="s">
        <v>277</v>
      </c>
      <c r="K162" s="2" t="s">
        <v>277</v>
      </c>
      <c r="L162" s="2" t="s">
        <v>277</v>
      </c>
    </row>
    <row r="163" spans="1:17" ht="38.25" customHeight="1">
      <c r="A163" t="s">
        <v>722</v>
      </c>
      <c r="B163" t="s">
        <v>723</v>
      </c>
      <c r="C163" s="77">
        <v>46281</v>
      </c>
      <c r="D163" t="s">
        <v>492</v>
      </c>
      <c r="E163" t="s">
        <v>273</v>
      </c>
      <c r="F163" s="2" t="s">
        <v>79</v>
      </c>
      <c r="G163" t="s">
        <v>493</v>
      </c>
      <c r="I163" s="18" t="s">
        <v>266</v>
      </c>
      <c r="J163" s="40" t="s">
        <v>267</v>
      </c>
      <c r="K163" s="40" t="s">
        <v>268</v>
      </c>
      <c r="L163" s="40" t="s">
        <v>269</v>
      </c>
      <c r="Q163" t="s">
        <v>724</v>
      </c>
    </row>
    <row r="164" spans="1:17" ht="38.25" customHeight="1">
      <c r="A164" t="s">
        <v>725</v>
      </c>
      <c r="B164" t="s">
        <v>726</v>
      </c>
      <c r="C164" s="77">
        <v>46281</v>
      </c>
      <c r="D164" t="s">
        <v>492</v>
      </c>
      <c r="E164" t="s">
        <v>273</v>
      </c>
      <c r="F164" s="2" t="s">
        <v>79</v>
      </c>
      <c r="G164" t="s">
        <v>493</v>
      </c>
      <c r="I164" s="18" t="s">
        <v>266</v>
      </c>
      <c r="J164" s="40" t="s">
        <v>267</v>
      </c>
      <c r="K164" s="40" t="s">
        <v>268</v>
      </c>
      <c r="L164" s="40" t="s">
        <v>269</v>
      </c>
      <c r="Q164" t="s">
        <v>727</v>
      </c>
    </row>
    <row r="165" spans="1:17" ht="38.25" customHeight="1">
      <c r="A165" t="s">
        <v>728</v>
      </c>
      <c r="B165" t="s">
        <v>729</v>
      </c>
      <c r="C165" s="77">
        <v>46281</v>
      </c>
      <c r="D165" t="s">
        <v>492</v>
      </c>
      <c r="E165" t="s">
        <v>273</v>
      </c>
      <c r="F165" s="2" t="s">
        <v>79</v>
      </c>
      <c r="G165" t="s">
        <v>493</v>
      </c>
      <c r="I165" s="18" t="s">
        <v>266</v>
      </c>
      <c r="J165" s="40" t="s">
        <v>267</v>
      </c>
      <c r="K165" s="40" t="s">
        <v>268</v>
      </c>
      <c r="L165" s="40" t="s">
        <v>269</v>
      </c>
      <c r="Q165" t="s">
        <v>730</v>
      </c>
    </row>
    <row r="166" spans="1:17" ht="38.25" customHeight="1">
      <c r="A166" t="s">
        <v>731</v>
      </c>
      <c r="B166" t="s">
        <v>732</v>
      </c>
      <c r="C166" s="77">
        <v>46281</v>
      </c>
      <c r="D166" t="s">
        <v>492</v>
      </c>
      <c r="E166" t="s">
        <v>273</v>
      </c>
      <c r="F166" s="2" t="s">
        <v>79</v>
      </c>
      <c r="G166" t="s">
        <v>493</v>
      </c>
      <c r="J166" s="2" t="s">
        <v>277</v>
      </c>
      <c r="K166" s="2" t="s">
        <v>277</v>
      </c>
      <c r="L166" s="2" t="s">
        <v>277</v>
      </c>
    </row>
    <row r="167" spans="1:17" ht="38.25" customHeight="1">
      <c r="A167" t="s">
        <v>733</v>
      </c>
      <c r="B167" t="s">
        <v>734</v>
      </c>
      <c r="C167" s="77">
        <v>46281</v>
      </c>
      <c r="D167" t="s">
        <v>492</v>
      </c>
      <c r="E167" t="s">
        <v>273</v>
      </c>
      <c r="F167" s="2" t="s">
        <v>79</v>
      </c>
      <c r="G167" t="s">
        <v>493</v>
      </c>
      <c r="I167" s="18" t="s">
        <v>266</v>
      </c>
      <c r="J167" s="40" t="s">
        <v>267</v>
      </c>
      <c r="K167" s="40" t="s">
        <v>268</v>
      </c>
      <c r="L167" s="40" t="s">
        <v>269</v>
      </c>
      <c r="Q167" t="s">
        <v>735</v>
      </c>
    </row>
    <row r="168" spans="1:17" ht="38.25" customHeight="1">
      <c r="A168" t="s">
        <v>736</v>
      </c>
      <c r="B168" t="s">
        <v>737</v>
      </c>
      <c r="C168" s="77">
        <v>46281</v>
      </c>
      <c r="D168" t="s">
        <v>492</v>
      </c>
      <c r="E168" t="s">
        <v>273</v>
      </c>
      <c r="F168" s="2" t="s">
        <v>79</v>
      </c>
      <c r="G168" t="s">
        <v>493</v>
      </c>
      <c r="J168" s="2" t="s">
        <v>277</v>
      </c>
      <c r="K168" s="2" t="s">
        <v>277</v>
      </c>
      <c r="L168" s="2" t="s">
        <v>277</v>
      </c>
    </row>
    <row r="169" spans="1:17" ht="38.25" customHeight="1">
      <c r="A169" t="s">
        <v>738</v>
      </c>
      <c r="B169" t="s">
        <v>739</v>
      </c>
      <c r="C169" s="77">
        <v>46281</v>
      </c>
      <c r="D169" t="s">
        <v>492</v>
      </c>
      <c r="E169" t="s">
        <v>273</v>
      </c>
      <c r="F169" s="2" t="s">
        <v>79</v>
      </c>
      <c r="G169" t="s">
        <v>493</v>
      </c>
      <c r="I169" s="18" t="s">
        <v>266</v>
      </c>
      <c r="J169" s="40" t="s">
        <v>267</v>
      </c>
      <c r="K169" s="40" t="s">
        <v>268</v>
      </c>
      <c r="L169" s="40" t="s">
        <v>269</v>
      </c>
      <c r="Q169" t="s">
        <v>740</v>
      </c>
    </row>
    <row r="170" spans="1:17" ht="38.25" customHeight="1">
      <c r="A170" t="s">
        <v>741</v>
      </c>
      <c r="B170" t="s">
        <v>742</v>
      </c>
      <c r="C170" s="77">
        <v>46282</v>
      </c>
      <c r="D170" t="s">
        <v>492</v>
      </c>
      <c r="E170" t="s">
        <v>209</v>
      </c>
      <c r="F170" s="2" t="s">
        <v>85</v>
      </c>
      <c r="G170" t="s">
        <v>493</v>
      </c>
      <c r="I170" s="72" t="s">
        <v>266</v>
      </c>
      <c r="J170" s="39" t="s">
        <v>282</v>
      </c>
      <c r="K170" s="39" t="s">
        <v>282</v>
      </c>
      <c r="L170" s="39" t="s">
        <v>258</v>
      </c>
      <c r="Q170" t="s">
        <v>743</v>
      </c>
    </row>
    <row r="171" spans="1:17" ht="38.25" customHeight="1">
      <c r="A171" t="s">
        <v>744</v>
      </c>
      <c r="B171" t="s">
        <v>745</v>
      </c>
      <c r="C171" s="77">
        <v>46282</v>
      </c>
      <c r="D171" t="s">
        <v>492</v>
      </c>
      <c r="E171" t="s">
        <v>273</v>
      </c>
      <c r="F171" s="2" t="s">
        <v>79</v>
      </c>
      <c r="G171" t="s">
        <v>493</v>
      </c>
      <c r="I171" s="18" t="s">
        <v>266</v>
      </c>
      <c r="J171" s="40" t="s">
        <v>267</v>
      </c>
      <c r="K171" s="40" t="s">
        <v>268</v>
      </c>
      <c r="L171" s="40" t="s">
        <v>269</v>
      </c>
      <c r="Q171" t="s">
        <v>746</v>
      </c>
    </row>
    <row r="172" spans="1:17" ht="38.25" customHeight="1">
      <c r="A172" t="s">
        <v>747</v>
      </c>
      <c r="B172" t="s">
        <v>748</v>
      </c>
      <c r="C172" s="77">
        <v>46282</v>
      </c>
      <c r="D172" t="s">
        <v>492</v>
      </c>
      <c r="E172" t="s">
        <v>273</v>
      </c>
      <c r="F172" s="2" t="s">
        <v>79</v>
      </c>
      <c r="G172" t="s">
        <v>493</v>
      </c>
      <c r="J172" s="2" t="s">
        <v>618</v>
      </c>
      <c r="K172" s="2" t="s">
        <v>618</v>
      </c>
      <c r="L172" s="2" t="s">
        <v>618</v>
      </c>
      <c r="Q172" t="s">
        <v>749</v>
      </c>
    </row>
    <row r="173" spans="1:17" ht="38.25" customHeight="1">
      <c r="A173" t="s">
        <v>750</v>
      </c>
      <c r="B173" t="s">
        <v>751</v>
      </c>
      <c r="C173" s="77">
        <v>46282</v>
      </c>
      <c r="D173" t="s">
        <v>492</v>
      </c>
      <c r="E173" t="s">
        <v>273</v>
      </c>
      <c r="F173" s="2" t="s">
        <v>79</v>
      </c>
      <c r="G173" t="s">
        <v>493</v>
      </c>
      <c r="J173" s="40" t="s">
        <v>267</v>
      </c>
      <c r="K173" s="40" t="s">
        <v>268</v>
      </c>
      <c r="L173" s="40" t="s">
        <v>269</v>
      </c>
      <c r="Q173" s="24" t="s">
        <v>752</v>
      </c>
    </row>
    <row r="174" spans="1:17" ht="38.25" customHeight="1">
      <c r="A174" t="s">
        <v>173</v>
      </c>
      <c r="B174" t="s">
        <v>753</v>
      </c>
      <c r="C174" s="77">
        <v>46282</v>
      </c>
      <c r="D174" t="s">
        <v>492</v>
      </c>
      <c r="E174" t="s">
        <v>273</v>
      </c>
      <c r="F174" s="2" t="s">
        <v>79</v>
      </c>
      <c r="G174" t="s">
        <v>493</v>
      </c>
      <c r="I174" s="18" t="s">
        <v>266</v>
      </c>
      <c r="J174" s="39" t="s">
        <v>282</v>
      </c>
      <c r="K174" s="39" t="s">
        <v>282</v>
      </c>
      <c r="L174" s="39" t="s">
        <v>258</v>
      </c>
      <c r="Q174" t="s">
        <v>754</v>
      </c>
    </row>
    <row r="175" spans="1:17" ht="38.25" customHeight="1">
      <c r="A175" t="s">
        <v>174</v>
      </c>
      <c r="B175" t="s">
        <v>755</v>
      </c>
      <c r="C175" s="77">
        <v>46282</v>
      </c>
      <c r="D175" t="s">
        <v>492</v>
      </c>
      <c r="E175" t="s">
        <v>273</v>
      </c>
      <c r="F175" s="2" t="s">
        <v>79</v>
      </c>
      <c r="G175" t="s">
        <v>493</v>
      </c>
      <c r="I175" s="18" t="s">
        <v>266</v>
      </c>
      <c r="J175" s="39" t="s">
        <v>282</v>
      </c>
      <c r="K175" s="39" t="s">
        <v>282</v>
      </c>
      <c r="L175" s="39" t="s">
        <v>258</v>
      </c>
      <c r="Q175" t="s">
        <v>756</v>
      </c>
    </row>
    <row r="176" spans="1:17" ht="38.25" customHeight="1">
      <c r="A176" t="s">
        <v>175</v>
      </c>
      <c r="B176" t="s">
        <v>757</v>
      </c>
      <c r="C176" s="77">
        <v>46283</v>
      </c>
      <c r="D176" t="s">
        <v>492</v>
      </c>
      <c r="E176" t="s">
        <v>273</v>
      </c>
      <c r="F176" s="2" t="s">
        <v>79</v>
      </c>
      <c r="G176" t="s">
        <v>493</v>
      </c>
      <c r="I176" s="18" t="s">
        <v>266</v>
      </c>
      <c r="J176" s="39" t="s">
        <v>282</v>
      </c>
      <c r="K176" s="39" t="s">
        <v>282</v>
      </c>
      <c r="L176" s="39" t="s">
        <v>258</v>
      </c>
      <c r="Q176" t="s">
        <v>758</v>
      </c>
    </row>
    <row r="177" spans="1:17" ht="38.25" customHeight="1">
      <c r="A177" t="s">
        <v>176</v>
      </c>
      <c r="B177" t="s">
        <v>759</v>
      </c>
      <c r="C177" s="77">
        <v>46283</v>
      </c>
      <c r="D177" t="s">
        <v>492</v>
      </c>
      <c r="E177" t="s">
        <v>273</v>
      </c>
      <c r="F177" s="2" t="s">
        <v>79</v>
      </c>
      <c r="G177" t="s">
        <v>493</v>
      </c>
      <c r="I177" s="18" t="s">
        <v>266</v>
      </c>
      <c r="J177" s="39" t="s">
        <v>282</v>
      </c>
      <c r="K177" s="39" t="s">
        <v>282</v>
      </c>
      <c r="L177" s="39" t="s">
        <v>258</v>
      </c>
      <c r="Q177" t="s">
        <v>760</v>
      </c>
    </row>
    <row r="178" spans="1:17" ht="38.25" customHeight="1">
      <c r="A178" t="s">
        <v>761</v>
      </c>
      <c r="B178" t="s">
        <v>762</v>
      </c>
      <c r="C178" s="77">
        <v>46283</v>
      </c>
      <c r="D178" t="s">
        <v>492</v>
      </c>
      <c r="E178" t="s">
        <v>273</v>
      </c>
      <c r="F178" s="2" t="s">
        <v>79</v>
      </c>
      <c r="G178" t="s">
        <v>493</v>
      </c>
      <c r="I178" s="18" t="s">
        <v>266</v>
      </c>
      <c r="J178" s="39" t="s">
        <v>282</v>
      </c>
      <c r="K178" s="39" t="s">
        <v>282</v>
      </c>
      <c r="L178" s="39" t="s">
        <v>258</v>
      </c>
      <c r="Q178" t="s">
        <v>763</v>
      </c>
    </row>
    <row r="179" spans="1:17" ht="38.25" customHeight="1">
      <c r="A179" t="s">
        <v>764</v>
      </c>
      <c r="B179" t="s">
        <v>765</v>
      </c>
      <c r="C179" s="77">
        <v>46283</v>
      </c>
      <c r="D179" t="s">
        <v>492</v>
      </c>
      <c r="E179" t="s">
        <v>273</v>
      </c>
      <c r="F179" s="2" t="s">
        <v>79</v>
      </c>
      <c r="G179" t="s">
        <v>493</v>
      </c>
      <c r="I179" s="18" t="s">
        <v>266</v>
      </c>
      <c r="J179" s="40" t="s">
        <v>267</v>
      </c>
      <c r="K179" s="40" t="s">
        <v>268</v>
      </c>
      <c r="L179" s="40" t="s">
        <v>269</v>
      </c>
      <c r="Q179" t="s">
        <v>766</v>
      </c>
    </row>
    <row r="180" spans="1:17" ht="38.25" customHeight="1">
      <c r="A180" t="s">
        <v>767</v>
      </c>
      <c r="B180" t="s">
        <v>768</v>
      </c>
      <c r="C180" s="77">
        <v>46283</v>
      </c>
      <c r="D180" t="s">
        <v>492</v>
      </c>
      <c r="E180" t="s">
        <v>273</v>
      </c>
      <c r="F180" s="2" t="s">
        <v>79</v>
      </c>
      <c r="G180" t="s">
        <v>493</v>
      </c>
      <c r="I180" s="18" t="s">
        <v>266</v>
      </c>
      <c r="J180" s="39" t="s">
        <v>282</v>
      </c>
      <c r="K180" s="39" t="s">
        <v>282</v>
      </c>
      <c r="L180" s="39" t="s">
        <v>258</v>
      </c>
      <c r="Q180" t="s">
        <v>769</v>
      </c>
    </row>
    <row r="181" spans="1:17" ht="38.25" customHeight="1">
      <c r="A181" t="s">
        <v>770</v>
      </c>
      <c r="B181" t="s">
        <v>771</v>
      </c>
      <c r="C181" s="77">
        <v>46286</v>
      </c>
      <c r="D181" t="s">
        <v>492</v>
      </c>
      <c r="E181" t="s">
        <v>273</v>
      </c>
      <c r="F181" s="2" t="s">
        <v>79</v>
      </c>
      <c r="G181" t="s">
        <v>493</v>
      </c>
      <c r="I181" s="18" t="s">
        <v>266</v>
      </c>
      <c r="J181" s="40" t="s">
        <v>267</v>
      </c>
      <c r="K181" s="40" t="s">
        <v>268</v>
      </c>
      <c r="L181" s="40" t="s">
        <v>269</v>
      </c>
      <c r="Q181" t="s">
        <v>772</v>
      </c>
    </row>
    <row r="182" spans="1:17" ht="38.25" customHeight="1">
      <c r="A182" t="s">
        <v>773</v>
      </c>
      <c r="B182" t="s">
        <v>774</v>
      </c>
      <c r="C182" s="77">
        <v>46286</v>
      </c>
      <c r="D182" t="s">
        <v>492</v>
      </c>
      <c r="E182" t="s">
        <v>273</v>
      </c>
      <c r="F182" s="2" t="s">
        <v>79</v>
      </c>
      <c r="G182" t="s">
        <v>493</v>
      </c>
      <c r="I182" s="18" t="s">
        <v>266</v>
      </c>
      <c r="J182" s="40" t="s">
        <v>267</v>
      </c>
      <c r="K182" s="40" t="s">
        <v>268</v>
      </c>
      <c r="L182" s="40" t="s">
        <v>269</v>
      </c>
      <c r="Q182" s="24" t="s">
        <v>775</v>
      </c>
    </row>
    <row r="183" spans="1:17" ht="38.25" customHeight="1">
      <c r="A183" t="s">
        <v>179</v>
      </c>
      <c r="B183" t="s">
        <v>776</v>
      </c>
      <c r="C183" s="77">
        <v>46286</v>
      </c>
      <c r="D183" t="s">
        <v>492</v>
      </c>
      <c r="E183" t="s">
        <v>273</v>
      </c>
      <c r="F183" s="2" t="s">
        <v>79</v>
      </c>
      <c r="G183" t="s">
        <v>493</v>
      </c>
      <c r="I183" s="18" t="s">
        <v>266</v>
      </c>
      <c r="J183" s="39" t="s">
        <v>282</v>
      </c>
      <c r="K183" s="39" t="s">
        <v>282</v>
      </c>
      <c r="L183" s="39" t="s">
        <v>258</v>
      </c>
      <c r="Q183" t="s">
        <v>777</v>
      </c>
    </row>
    <row r="184" spans="1:17" ht="38.25" customHeight="1">
      <c r="A184" t="s">
        <v>778</v>
      </c>
      <c r="B184" t="s">
        <v>779</v>
      </c>
      <c r="C184" s="77">
        <v>46286</v>
      </c>
      <c r="D184" t="s">
        <v>492</v>
      </c>
      <c r="E184" t="s">
        <v>273</v>
      </c>
      <c r="F184" s="2" t="s">
        <v>79</v>
      </c>
      <c r="G184" t="s">
        <v>493</v>
      </c>
      <c r="I184" s="18" t="s">
        <v>266</v>
      </c>
      <c r="J184" s="40" t="s">
        <v>267</v>
      </c>
      <c r="K184" s="40" t="s">
        <v>268</v>
      </c>
      <c r="L184" s="40" t="s">
        <v>269</v>
      </c>
      <c r="Q184" t="s">
        <v>780</v>
      </c>
    </row>
    <row r="185" spans="1:17" ht="38.25" customHeight="1">
      <c r="A185" t="s">
        <v>781</v>
      </c>
      <c r="B185" t="s">
        <v>782</v>
      </c>
      <c r="C185" s="77">
        <v>46286</v>
      </c>
      <c r="D185" t="s">
        <v>492</v>
      </c>
      <c r="E185" t="s">
        <v>273</v>
      </c>
      <c r="F185" s="2" t="s">
        <v>79</v>
      </c>
      <c r="G185" t="s">
        <v>493</v>
      </c>
      <c r="I185" s="18" t="s">
        <v>266</v>
      </c>
      <c r="J185" s="2" t="s">
        <v>277</v>
      </c>
      <c r="K185" s="2" t="s">
        <v>277</v>
      </c>
      <c r="L185" s="2" t="s">
        <v>277</v>
      </c>
      <c r="Q185" t="s">
        <v>783</v>
      </c>
    </row>
    <row r="186" spans="1:17" ht="38.25" customHeight="1">
      <c r="A186" t="s">
        <v>180</v>
      </c>
      <c r="B186" t="s">
        <v>784</v>
      </c>
      <c r="C186" s="77">
        <v>46286</v>
      </c>
      <c r="D186" t="s">
        <v>492</v>
      </c>
      <c r="E186" t="s">
        <v>273</v>
      </c>
      <c r="F186" s="2" t="s">
        <v>79</v>
      </c>
      <c r="G186" t="s">
        <v>493</v>
      </c>
      <c r="I186" s="18" t="s">
        <v>266</v>
      </c>
      <c r="J186" s="39" t="s">
        <v>282</v>
      </c>
      <c r="K186" s="39" t="s">
        <v>282</v>
      </c>
      <c r="L186" s="39" t="s">
        <v>258</v>
      </c>
      <c r="Q186" t="s">
        <v>785</v>
      </c>
    </row>
    <row r="187" spans="1:17" ht="38.25" customHeight="1">
      <c r="A187" t="s">
        <v>786</v>
      </c>
      <c r="B187" t="s">
        <v>787</v>
      </c>
      <c r="C187" s="77">
        <v>46286</v>
      </c>
      <c r="D187" t="s">
        <v>492</v>
      </c>
      <c r="E187" t="s">
        <v>273</v>
      </c>
      <c r="F187" s="2" t="s">
        <v>79</v>
      </c>
      <c r="G187" t="s">
        <v>493</v>
      </c>
      <c r="I187" s="18" t="s">
        <v>266</v>
      </c>
      <c r="J187" s="40" t="s">
        <v>267</v>
      </c>
      <c r="K187" s="40" t="s">
        <v>268</v>
      </c>
      <c r="L187" s="40" t="s">
        <v>269</v>
      </c>
      <c r="Q187" t="s">
        <v>788</v>
      </c>
    </row>
    <row r="188" spans="1:17" ht="38.25" customHeight="1">
      <c r="A188" t="s">
        <v>789</v>
      </c>
      <c r="B188" t="s">
        <v>790</v>
      </c>
      <c r="C188" s="77">
        <v>46286</v>
      </c>
      <c r="D188" t="s">
        <v>492</v>
      </c>
      <c r="E188" t="s">
        <v>273</v>
      </c>
      <c r="F188" s="2" t="s">
        <v>79</v>
      </c>
      <c r="G188" t="s">
        <v>493</v>
      </c>
      <c r="I188" s="18" t="s">
        <v>266</v>
      </c>
      <c r="J188" s="40" t="s">
        <v>267</v>
      </c>
      <c r="K188" s="40" t="s">
        <v>268</v>
      </c>
      <c r="L188" s="40" t="s">
        <v>269</v>
      </c>
      <c r="Q188" t="s">
        <v>791</v>
      </c>
    </row>
    <row r="189" spans="1:17" ht="38.25" customHeight="1">
      <c r="A189" t="s">
        <v>792</v>
      </c>
      <c r="B189" t="s">
        <v>793</v>
      </c>
      <c r="C189" s="77">
        <v>46286</v>
      </c>
      <c r="D189" t="s">
        <v>492</v>
      </c>
      <c r="E189" t="s">
        <v>264</v>
      </c>
      <c r="F189" s="2" t="s">
        <v>100</v>
      </c>
      <c r="G189" t="s">
        <v>493</v>
      </c>
      <c r="I189" s="18" t="s">
        <v>266</v>
      </c>
      <c r="J189" s="40" t="s">
        <v>267</v>
      </c>
      <c r="K189" s="40" t="s">
        <v>268</v>
      </c>
      <c r="L189" s="40" t="s">
        <v>269</v>
      </c>
      <c r="Q189" t="s">
        <v>794</v>
      </c>
    </row>
    <row r="190" spans="1:17" ht="38.25" customHeight="1">
      <c r="A190" t="s">
        <v>795</v>
      </c>
      <c r="B190" t="s">
        <v>796</v>
      </c>
      <c r="C190" s="77">
        <v>46286</v>
      </c>
      <c r="D190" t="s">
        <v>492</v>
      </c>
      <c r="E190" t="s">
        <v>273</v>
      </c>
      <c r="F190" s="2" t="s">
        <v>79</v>
      </c>
      <c r="G190" t="s">
        <v>493</v>
      </c>
      <c r="J190" s="2" t="s">
        <v>618</v>
      </c>
      <c r="K190" s="2" t="s">
        <v>618</v>
      </c>
      <c r="L190" s="2" t="s">
        <v>618</v>
      </c>
    </row>
    <row r="191" spans="1:17" ht="38.25" customHeight="1">
      <c r="A191" t="s">
        <v>797</v>
      </c>
      <c r="B191" t="s">
        <v>798</v>
      </c>
      <c r="C191" s="77">
        <v>46287</v>
      </c>
      <c r="D191" t="s">
        <v>492</v>
      </c>
      <c r="E191" t="s">
        <v>273</v>
      </c>
      <c r="F191" s="2" t="s">
        <v>79</v>
      </c>
      <c r="G191" t="s">
        <v>799</v>
      </c>
      <c r="I191" s="18" t="s">
        <v>266</v>
      </c>
      <c r="J191" s="40" t="s">
        <v>267</v>
      </c>
      <c r="K191" s="40" t="s">
        <v>268</v>
      </c>
      <c r="L191" s="40" t="s">
        <v>269</v>
      </c>
      <c r="Q191" t="s">
        <v>800</v>
      </c>
    </row>
    <row r="192" spans="1:17" ht="38.25" customHeight="1">
      <c r="A192" t="s">
        <v>801</v>
      </c>
      <c r="B192" t="s">
        <v>802</v>
      </c>
      <c r="C192" s="77">
        <v>46287</v>
      </c>
      <c r="D192" t="s">
        <v>492</v>
      </c>
      <c r="E192" t="s">
        <v>273</v>
      </c>
      <c r="F192" s="2" t="s">
        <v>79</v>
      </c>
      <c r="G192" t="s">
        <v>799</v>
      </c>
      <c r="J192" s="40" t="s">
        <v>267</v>
      </c>
      <c r="K192" s="40" t="s">
        <v>268</v>
      </c>
      <c r="L192" s="40" t="s">
        <v>269</v>
      </c>
      <c r="Q192" s="24" t="s">
        <v>803</v>
      </c>
    </row>
    <row r="193" spans="1:17" ht="38.25" customHeight="1">
      <c r="A193" t="s">
        <v>181</v>
      </c>
      <c r="B193" s="71" t="s">
        <v>804</v>
      </c>
      <c r="C193" s="77">
        <v>46287</v>
      </c>
      <c r="D193" t="s">
        <v>492</v>
      </c>
      <c r="E193" t="s">
        <v>273</v>
      </c>
      <c r="F193" s="2" t="s">
        <v>79</v>
      </c>
      <c r="G193" t="s">
        <v>799</v>
      </c>
      <c r="I193" s="18" t="s">
        <v>266</v>
      </c>
      <c r="J193" s="39" t="s">
        <v>282</v>
      </c>
      <c r="K193" s="39" t="s">
        <v>282</v>
      </c>
      <c r="L193" s="39" t="s">
        <v>258</v>
      </c>
      <c r="Q193" s="24" t="s">
        <v>805</v>
      </c>
    </row>
    <row r="194" spans="1:17" ht="38.25" customHeight="1">
      <c r="A194" t="s">
        <v>806</v>
      </c>
      <c r="B194" t="s">
        <v>807</v>
      </c>
      <c r="C194" s="77">
        <v>46287</v>
      </c>
      <c r="D194" t="s">
        <v>492</v>
      </c>
      <c r="E194" t="s">
        <v>273</v>
      </c>
      <c r="F194" s="2" t="s">
        <v>79</v>
      </c>
      <c r="G194" t="s">
        <v>799</v>
      </c>
      <c r="J194" s="40" t="s">
        <v>267</v>
      </c>
      <c r="K194" s="40" t="s">
        <v>268</v>
      </c>
      <c r="L194" s="40" t="s">
        <v>269</v>
      </c>
      <c r="Q194" s="24" t="s">
        <v>808</v>
      </c>
    </row>
    <row r="195" spans="1:17" ht="38.25" customHeight="1">
      <c r="A195" t="s">
        <v>809</v>
      </c>
      <c r="B195" t="s">
        <v>810</v>
      </c>
      <c r="C195" s="77">
        <v>46287</v>
      </c>
      <c r="D195" t="s">
        <v>492</v>
      </c>
      <c r="E195" t="s">
        <v>273</v>
      </c>
      <c r="F195" s="2" t="s">
        <v>79</v>
      </c>
      <c r="G195" t="s">
        <v>799</v>
      </c>
      <c r="J195" s="2" t="s">
        <v>588</v>
      </c>
      <c r="K195" s="2" t="s">
        <v>588</v>
      </c>
      <c r="L195" s="2" t="s">
        <v>588</v>
      </c>
    </row>
    <row r="196" spans="1:17" ht="38.25" customHeight="1">
      <c r="A196" t="s">
        <v>811</v>
      </c>
      <c r="B196" t="s">
        <v>812</v>
      </c>
      <c r="C196" s="77">
        <v>46287</v>
      </c>
      <c r="D196" t="s">
        <v>492</v>
      </c>
      <c r="E196" t="s">
        <v>273</v>
      </c>
      <c r="F196" s="2" t="s">
        <v>79</v>
      </c>
      <c r="G196" t="s">
        <v>799</v>
      </c>
      <c r="I196" s="18" t="s">
        <v>266</v>
      </c>
      <c r="J196" s="39" t="s">
        <v>282</v>
      </c>
      <c r="K196" s="39" t="s">
        <v>282</v>
      </c>
      <c r="L196" s="39" t="s">
        <v>258</v>
      </c>
      <c r="Q196" t="s">
        <v>813</v>
      </c>
    </row>
    <row r="197" spans="1:17" ht="38.25" customHeight="1">
      <c r="A197" t="s">
        <v>814</v>
      </c>
      <c r="B197" t="s">
        <v>815</v>
      </c>
      <c r="C197" s="77">
        <v>46287</v>
      </c>
      <c r="D197" t="s">
        <v>492</v>
      </c>
      <c r="E197" t="s">
        <v>273</v>
      </c>
      <c r="F197" s="2" t="s">
        <v>79</v>
      </c>
      <c r="G197" t="s">
        <v>799</v>
      </c>
      <c r="I197" s="18" t="s">
        <v>266</v>
      </c>
      <c r="J197" s="40" t="s">
        <v>267</v>
      </c>
      <c r="K197" s="40" t="s">
        <v>268</v>
      </c>
      <c r="L197" s="40" t="s">
        <v>269</v>
      </c>
      <c r="Q197" s="24" t="s">
        <v>816</v>
      </c>
    </row>
    <row r="198" spans="1:17" ht="38.25" customHeight="1">
      <c r="A198" t="s">
        <v>817</v>
      </c>
      <c r="B198" t="s">
        <v>818</v>
      </c>
      <c r="C198" s="77">
        <v>46287</v>
      </c>
      <c r="D198" t="s">
        <v>492</v>
      </c>
      <c r="E198" t="s">
        <v>273</v>
      </c>
      <c r="F198" s="2" t="s">
        <v>79</v>
      </c>
      <c r="G198" t="s">
        <v>799</v>
      </c>
      <c r="I198" s="18" t="s">
        <v>266</v>
      </c>
      <c r="J198" s="40" t="s">
        <v>267</v>
      </c>
      <c r="K198" s="40" t="s">
        <v>268</v>
      </c>
      <c r="L198" s="40" t="s">
        <v>269</v>
      </c>
      <c r="Q198" s="24" t="s">
        <v>819</v>
      </c>
    </row>
    <row r="199" spans="1:17" ht="38.25" customHeight="1">
      <c r="A199" t="s">
        <v>148</v>
      </c>
      <c r="B199" t="s">
        <v>820</v>
      </c>
      <c r="C199" s="77">
        <v>46287</v>
      </c>
      <c r="D199" t="s">
        <v>492</v>
      </c>
      <c r="E199" t="s">
        <v>273</v>
      </c>
      <c r="F199" s="2" t="s">
        <v>79</v>
      </c>
      <c r="G199" t="s">
        <v>799</v>
      </c>
      <c r="I199" s="18" t="s">
        <v>266</v>
      </c>
      <c r="J199" s="40" t="s">
        <v>267</v>
      </c>
      <c r="K199" s="40" t="s">
        <v>268</v>
      </c>
      <c r="L199" s="40" t="s">
        <v>269</v>
      </c>
      <c r="Q199" t="s">
        <v>821</v>
      </c>
    </row>
    <row r="200" spans="1:17" ht="38.25" customHeight="1">
      <c r="A200" t="s">
        <v>822</v>
      </c>
      <c r="B200" t="s">
        <v>823</v>
      </c>
      <c r="C200" s="77">
        <v>46287</v>
      </c>
      <c r="D200" t="s">
        <v>492</v>
      </c>
      <c r="E200" t="s">
        <v>273</v>
      </c>
      <c r="F200" s="2" t="s">
        <v>79</v>
      </c>
      <c r="G200" t="s">
        <v>799</v>
      </c>
      <c r="J200" s="2" t="s">
        <v>277</v>
      </c>
      <c r="K200" s="2" t="s">
        <v>277</v>
      </c>
      <c r="L200" s="2" t="s">
        <v>277</v>
      </c>
      <c r="Q200" t="s">
        <v>824</v>
      </c>
    </row>
    <row r="201" spans="1:17" ht="38.25" customHeight="1">
      <c r="A201" s="27" t="s">
        <v>825</v>
      </c>
      <c r="B201" s="71" t="s">
        <v>826</v>
      </c>
      <c r="C201" s="77">
        <v>46288</v>
      </c>
      <c r="D201" t="s">
        <v>492</v>
      </c>
      <c r="E201" t="s">
        <v>273</v>
      </c>
      <c r="F201" s="2" t="s">
        <v>79</v>
      </c>
      <c r="G201" t="s">
        <v>493</v>
      </c>
      <c r="I201" s="18" t="s">
        <v>266</v>
      </c>
      <c r="J201" s="39" t="s">
        <v>282</v>
      </c>
      <c r="K201" s="39" t="s">
        <v>282</v>
      </c>
      <c r="L201" s="39" t="s">
        <v>258</v>
      </c>
      <c r="Q201" s="24" t="s">
        <v>827</v>
      </c>
    </row>
    <row r="202" spans="1:17" ht="38.25" customHeight="1">
      <c r="A202" t="s">
        <v>828</v>
      </c>
      <c r="B202" t="s">
        <v>829</v>
      </c>
      <c r="C202" s="77">
        <v>46288</v>
      </c>
      <c r="D202" t="s">
        <v>492</v>
      </c>
      <c r="E202" t="s">
        <v>273</v>
      </c>
      <c r="F202" s="2" t="s">
        <v>79</v>
      </c>
      <c r="G202" t="s">
        <v>493</v>
      </c>
      <c r="I202" s="18" t="s">
        <v>266</v>
      </c>
      <c r="J202" s="40" t="s">
        <v>267</v>
      </c>
      <c r="K202" s="40" t="s">
        <v>268</v>
      </c>
      <c r="L202" s="40" t="s">
        <v>269</v>
      </c>
      <c r="Q202" s="24" t="s">
        <v>830</v>
      </c>
    </row>
    <row r="203" spans="1:17" ht="38.25" customHeight="1">
      <c r="A203" t="s">
        <v>831</v>
      </c>
      <c r="B203" t="s">
        <v>832</v>
      </c>
      <c r="C203" s="77">
        <v>46288</v>
      </c>
      <c r="D203" t="s">
        <v>492</v>
      </c>
      <c r="E203" t="s">
        <v>273</v>
      </c>
      <c r="F203" s="2" t="s">
        <v>79</v>
      </c>
      <c r="G203" t="s">
        <v>799</v>
      </c>
      <c r="I203" s="18" t="s">
        <v>266</v>
      </c>
      <c r="J203" s="39" t="s">
        <v>282</v>
      </c>
      <c r="K203" s="39" t="s">
        <v>282</v>
      </c>
      <c r="L203" s="39" t="s">
        <v>258</v>
      </c>
      <c r="Q203" s="24" t="s">
        <v>833</v>
      </c>
    </row>
    <row r="204" spans="1:17" ht="38.25" customHeight="1">
      <c r="A204" t="s">
        <v>834</v>
      </c>
      <c r="B204" t="s">
        <v>835</v>
      </c>
      <c r="C204" s="77">
        <v>46288</v>
      </c>
      <c r="D204" t="s">
        <v>492</v>
      </c>
      <c r="E204" t="s">
        <v>273</v>
      </c>
      <c r="F204" s="2" t="s">
        <v>79</v>
      </c>
      <c r="G204" t="s">
        <v>493</v>
      </c>
      <c r="I204" s="18" t="s">
        <v>266</v>
      </c>
      <c r="J204" s="40" t="s">
        <v>267</v>
      </c>
      <c r="K204" s="40" t="s">
        <v>268</v>
      </c>
      <c r="L204" s="40" t="s">
        <v>269</v>
      </c>
      <c r="Q204" t="s">
        <v>836</v>
      </c>
    </row>
    <row r="205" spans="1:17" ht="38.25" customHeight="1">
      <c r="A205" s="24" t="s">
        <v>837</v>
      </c>
      <c r="B205" t="s">
        <v>838</v>
      </c>
      <c r="C205" s="77">
        <v>46288</v>
      </c>
      <c r="D205" t="s">
        <v>492</v>
      </c>
      <c r="E205" t="s">
        <v>273</v>
      </c>
      <c r="F205" s="2" t="s">
        <v>79</v>
      </c>
      <c r="G205" t="s">
        <v>493</v>
      </c>
      <c r="I205" s="18" t="s">
        <v>266</v>
      </c>
      <c r="J205" s="40" t="s">
        <v>267</v>
      </c>
      <c r="K205" s="40" t="s">
        <v>268</v>
      </c>
      <c r="L205" s="40" t="s">
        <v>269</v>
      </c>
      <c r="Q205" t="s">
        <v>839</v>
      </c>
    </row>
    <row r="206" spans="1:17" ht="38.25" customHeight="1">
      <c r="A206" t="s">
        <v>736</v>
      </c>
      <c r="B206" t="s">
        <v>737</v>
      </c>
      <c r="C206" s="77">
        <v>46288</v>
      </c>
      <c r="D206" t="s">
        <v>492</v>
      </c>
      <c r="E206" t="s">
        <v>273</v>
      </c>
      <c r="F206" s="2" t="s">
        <v>79</v>
      </c>
      <c r="G206" t="s">
        <v>493</v>
      </c>
      <c r="I206" s="18" t="s">
        <v>266</v>
      </c>
      <c r="J206" s="40" t="s">
        <v>267</v>
      </c>
      <c r="K206" s="40" t="s">
        <v>268</v>
      </c>
      <c r="L206" s="40" t="s">
        <v>269</v>
      </c>
      <c r="Q206" t="s">
        <v>840</v>
      </c>
    </row>
    <row r="207" spans="1:17" ht="38.25" customHeight="1">
      <c r="A207" t="s">
        <v>841</v>
      </c>
      <c r="B207" t="s">
        <v>842</v>
      </c>
      <c r="C207" s="77">
        <v>46289</v>
      </c>
      <c r="D207" t="s">
        <v>492</v>
      </c>
      <c r="E207" t="s">
        <v>273</v>
      </c>
      <c r="F207" s="2" t="s">
        <v>79</v>
      </c>
      <c r="G207" t="s">
        <v>799</v>
      </c>
      <c r="I207" s="18" t="s">
        <v>266</v>
      </c>
      <c r="J207" s="40" t="s">
        <v>267</v>
      </c>
      <c r="K207" s="40" t="s">
        <v>268</v>
      </c>
      <c r="L207" s="40" t="s">
        <v>269</v>
      </c>
      <c r="Q207" t="s">
        <v>843</v>
      </c>
    </row>
    <row r="208" spans="1:17" ht="38.25" customHeight="1">
      <c r="A208" t="s">
        <v>844</v>
      </c>
      <c r="B208" t="s">
        <v>845</v>
      </c>
      <c r="C208" s="77">
        <v>46289</v>
      </c>
      <c r="D208" t="s">
        <v>492</v>
      </c>
      <c r="E208" t="s">
        <v>273</v>
      </c>
      <c r="F208" s="2" t="s">
        <v>79</v>
      </c>
      <c r="G208" t="s">
        <v>799</v>
      </c>
      <c r="I208" s="18" t="s">
        <v>266</v>
      </c>
      <c r="J208" s="40" t="s">
        <v>267</v>
      </c>
      <c r="K208" s="40" t="s">
        <v>268</v>
      </c>
      <c r="L208" s="40" t="s">
        <v>269</v>
      </c>
      <c r="Q208" s="24" t="s">
        <v>846</v>
      </c>
    </row>
    <row r="209" spans="1:17" ht="38.25" customHeight="1">
      <c r="A209" s="27" t="s">
        <v>847</v>
      </c>
      <c r="B209" t="s">
        <v>848</v>
      </c>
      <c r="C209" s="77">
        <v>46289</v>
      </c>
      <c r="D209" t="s">
        <v>492</v>
      </c>
      <c r="E209" t="s">
        <v>273</v>
      </c>
      <c r="F209" s="2" t="s">
        <v>79</v>
      </c>
      <c r="G209" t="s">
        <v>799</v>
      </c>
      <c r="I209" s="18" t="s">
        <v>266</v>
      </c>
      <c r="J209" s="39" t="s">
        <v>282</v>
      </c>
      <c r="K209" s="39" t="s">
        <v>282</v>
      </c>
      <c r="L209" s="39" t="s">
        <v>258</v>
      </c>
      <c r="Q209" t="s">
        <v>849</v>
      </c>
    </row>
    <row r="210" spans="1:17" ht="38.25" customHeight="1">
      <c r="A210" t="s">
        <v>850</v>
      </c>
      <c r="B210" t="s">
        <v>810</v>
      </c>
      <c r="C210" s="77">
        <v>46289</v>
      </c>
      <c r="D210" t="s">
        <v>492</v>
      </c>
      <c r="E210" t="s">
        <v>273</v>
      </c>
      <c r="F210" s="2" t="s">
        <v>79</v>
      </c>
      <c r="G210" t="s">
        <v>799</v>
      </c>
      <c r="I210" s="18" t="s">
        <v>266</v>
      </c>
      <c r="J210" s="40" t="s">
        <v>267</v>
      </c>
      <c r="K210" s="40" t="s">
        <v>268</v>
      </c>
      <c r="L210" s="40" t="s">
        <v>269</v>
      </c>
      <c r="Q210" s="24" t="s">
        <v>851</v>
      </c>
    </row>
    <row r="211" spans="1:17" ht="38.25" customHeight="1">
      <c r="A211" t="s">
        <v>852</v>
      </c>
      <c r="B211" t="s">
        <v>853</v>
      </c>
      <c r="C211" s="77">
        <v>46287</v>
      </c>
      <c r="D211" t="s">
        <v>492</v>
      </c>
      <c r="E211" t="s">
        <v>273</v>
      </c>
      <c r="F211" s="2" t="s">
        <v>79</v>
      </c>
      <c r="G211" t="s">
        <v>493</v>
      </c>
      <c r="J211" s="2" t="s">
        <v>277</v>
      </c>
      <c r="K211" s="2" t="s">
        <v>277</v>
      </c>
      <c r="L211" s="2" t="s">
        <v>277</v>
      </c>
      <c r="Q211" t="s">
        <v>854</v>
      </c>
    </row>
    <row r="212" spans="1:17" ht="38.25" customHeight="1">
      <c r="A212" t="s">
        <v>855</v>
      </c>
      <c r="B212" t="s">
        <v>856</v>
      </c>
      <c r="C212" s="77">
        <v>46289</v>
      </c>
      <c r="D212" t="s">
        <v>492</v>
      </c>
      <c r="E212" t="s">
        <v>273</v>
      </c>
      <c r="F212" s="2" t="s">
        <v>79</v>
      </c>
      <c r="G212" t="s">
        <v>493</v>
      </c>
      <c r="J212" s="2" t="s">
        <v>277</v>
      </c>
      <c r="K212" s="2" t="s">
        <v>277</v>
      </c>
      <c r="L212" s="2" t="s">
        <v>277</v>
      </c>
      <c r="Q212" t="s">
        <v>278</v>
      </c>
    </row>
    <row r="213" spans="1:17" ht="38.25" customHeight="1">
      <c r="A213" t="s">
        <v>857</v>
      </c>
      <c r="B213" t="s">
        <v>858</v>
      </c>
      <c r="C213" s="77">
        <v>46289</v>
      </c>
      <c r="D213" t="s">
        <v>492</v>
      </c>
      <c r="E213" t="s">
        <v>859</v>
      </c>
      <c r="F213" s="2" t="s">
        <v>154</v>
      </c>
      <c r="G213" t="s">
        <v>799</v>
      </c>
      <c r="I213" s="18" t="s">
        <v>266</v>
      </c>
      <c r="J213" s="39" t="s">
        <v>282</v>
      </c>
      <c r="K213" s="39" t="s">
        <v>282</v>
      </c>
      <c r="L213" s="39" t="s">
        <v>258</v>
      </c>
      <c r="Q213" s="24" t="s">
        <v>860</v>
      </c>
    </row>
    <row r="214" spans="1:17" ht="38.25" customHeight="1">
      <c r="A214" s="27" t="s">
        <v>861</v>
      </c>
      <c r="B214" t="s">
        <v>862</v>
      </c>
      <c r="C214" s="77">
        <v>46290</v>
      </c>
      <c r="D214" t="s">
        <v>492</v>
      </c>
      <c r="E214" t="s">
        <v>273</v>
      </c>
      <c r="F214" s="2" t="s">
        <v>79</v>
      </c>
      <c r="G214" t="s">
        <v>493</v>
      </c>
      <c r="I214" s="18" t="s">
        <v>266</v>
      </c>
      <c r="J214" s="39" t="s">
        <v>282</v>
      </c>
      <c r="K214" s="39" t="s">
        <v>282</v>
      </c>
      <c r="L214" s="39" t="s">
        <v>258</v>
      </c>
      <c r="Q214" t="s">
        <v>863</v>
      </c>
    </row>
    <row r="215" spans="1:17" ht="38.25" customHeight="1">
      <c r="A215" s="27" t="s">
        <v>864</v>
      </c>
      <c r="B215" t="s">
        <v>865</v>
      </c>
      <c r="C215" s="77">
        <v>46290</v>
      </c>
      <c r="D215" t="s">
        <v>492</v>
      </c>
      <c r="E215" t="s">
        <v>273</v>
      </c>
      <c r="F215" s="2" t="s">
        <v>79</v>
      </c>
      <c r="G215" t="s">
        <v>493</v>
      </c>
      <c r="I215" s="18" t="s">
        <v>266</v>
      </c>
      <c r="J215" s="39" t="s">
        <v>282</v>
      </c>
      <c r="K215" s="39" t="s">
        <v>282</v>
      </c>
      <c r="L215" s="39" t="s">
        <v>258</v>
      </c>
      <c r="Q215" s="24" t="s">
        <v>866</v>
      </c>
    </row>
    <row r="216" spans="1:17" ht="38.25" customHeight="1">
      <c r="A216" t="s">
        <v>867</v>
      </c>
      <c r="B216" t="s">
        <v>868</v>
      </c>
      <c r="C216" s="77">
        <v>46293</v>
      </c>
      <c r="D216" t="s">
        <v>492</v>
      </c>
      <c r="E216" t="s">
        <v>273</v>
      </c>
      <c r="F216" s="2" t="s">
        <v>79</v>
      </c>
      <c r="G216" t="s">
        <v>493</v>
      </c>
      <c r="J216" s="2" t="s">
        <v>277</v>
      </c>
      <c r="K216" s="2" t="s">
        <v>277</v>
      </c>
      <c r="L216" s="2" t="s">
        <v>277</v>
      </c>
    </row>
    <row r="217" spans="1:17" ht="38.25" customHeight="1">
      <c r="A217" t="s">
        <v>869</v>
      </c>
      <c r="B217" t="s">
        <v>870</v>
      </c>
      <c r="C217" s="77">
        <v>46293</v>
      </c>
      <c r="D217" t="s">
        <v>492</v>
      </c>
      <c r="E217" t="s">
        <v>273</v>
      </c>
      <c r="F217" s="2" t="s">
        <v>79</v>
      </c>
      <c r="G217" t="s">
        <v>493</v>
      </c>
      <c r="I217" s="18" t="s">
        <v>266</v>
      </c>
      <c r="J217" s="40" t="s">
        <v>267</v>
      </c>
      <c r="K217" s="40" t="s">
        <v>268</v>
      </c>
      <c r="L217" s="40" t="s">
        <v>269</v>
      </c>
      <c r="Q217" t="s">
        <v>871</v>
      </c>
    </row>
    <row r="218" spans="1:17" ht="38.25" customHeight="1">
      <c r="A218" t="s">
        <v>872</v>
      </c>
      <c r="B218" t="s">
        <v>873</v>
      </c>
      <c r="C218" s="77">
        <v>46293</v>
      </c>
      <c r="D218" t="s">
        <v>492</v>
      </c>
      <c r="E218" t="s">
        <v>273</v>
      </c>
      <c r="F218" s="2" t="s">
        <v>79</v>
      </c>
      <c r="G218" t="s">
        <v>493</v>
      </c>
      <c r="I218" s="18" t="s">
        <v>266</v>
      </c>
      <c r="J218" s="40" t="s">
        <v>267</v>
      </c>
      <c r="K218" s="40" t="s">
        <v>268</v>
      </c>
      <c r="L218" s="40" t="s">
        <v>269</v>
      </c>
      <c r="Q218" t="s">
        <v>874</v>
      </c>
    </row>
    <row r="219" spans="1:17" ht="38.25" customHeight="1">
      <c r="A219" t="s">
        <v>875</v>
      </c>
      <c r="B219" t="s">
        <v>876</v>
      </c>
      <c r="C219" s="77">
        <v>46293</v>
      </c>
      <c r="D219" t="s">
        <v>492</v>
      </c>
      <c r="E219" t="s">
        <v>264</v>
      </c>
      <c r="F219" s="2" t="s">
        <v>79</v>
      </c>
      <c r="G219" t="s">
        <v>493</v>
      </c>
      <c r="J219" s="2" t="s">
        <v>277</v>
      </c>
      <c r="K219" s="2" t="s">
        <v>277</v>
      </c>
      <c r="L219" s="2" t="s">
        <v>277</v>
      </c>
      <c r="Q219" t="s">
        <v>278</v>
      </c>
    </row>
    <row r="220" spans="1:17" ht="38.25" customHeight="1">
      <c r="A220" t="s">
        <v>877</v>
      </c>
      <c r="B220" t="s">
        <v>878</v>
      </c>
      <c r="C220" s="77">
        <v>46293</v>
      </c>
      <c r="D220" t="s">
        <v>492</v>
      </c>
      <c r="E220" t="s">
        <v>273</v>
      </c>
      <c r="F220" s="2" t="s">
        <v>79</v>
      </c>
      <c r="G220" t="s">
        <v>493</v>
      </c>
      <c r="I220" s="18" t="s">
        <v>266</v>
      </c>
      <c r="J220" s="39" t="s">
        <v>282</v>
      </c>
      <c r="K220" s="39" t="s">
        <v>282</v>
      </c>
      <c r="L220" s="39" t="s">
        <v>258</v>
      </c>
      <c r="Q220" t="s">
        <v>879</v>
      </c>
    </row>
    <row r="221" spans="1:17" ht="38.25" customHeight="1">
      <c r="A221" t="s">
        <v>880</v>
      </c>
      <c r="B221" t="s">
        <v>881</v>
      </c>
      <c r="C221" s="77">
        <v>46293</v>
      </c>
      <c r="D221" t="s">
        <v>492</v>
      </c>
      <c r="E221" t="s">
        <v>273</v>
      </c>
      <c r="F221" s="2" t="s">
        <v>79</v>
      </c>
      <c r="G221" t="s">
        <v>493</v>
      </c>
      <c r="I221" s="18" t="s">
        <v>266</v>
      </c>
      <c r="J221" s="40" t="s">
        <v>267</v>
      </c>
      <c r="K221" s="40" t="s">
        <v>268</v>
      </c>
      <c r="L221" s="40" t="s">
        <v>269</v>
      </c>
      <c r="Q221" t="s">
        <v>882</v>
      </c>
    </row>
    <row r="222" spans="1:17" ht="38.25" customHeight="1">
      <c r="A222" t="s">
        <v>883</v>
      </c>
      <c r="B222" t="s">
        <v>884</v>
      </c>
      <c r="C222" s="77">
        <v>46294</v>
      </c>
      <c r="D222" t="s">
        <v>492</v>
      </c>
      <c r="E222" t="s">
        <v>273</v>
      </c>
      <c r="F222" s="2" t="s">
        <v>79</v>
      </c>
      <c r="G222" t="s">
        <v>493</v>
      </c>
      <c r="I222" s="18" t="s">
        <v>266</v>
      </c>
      <c r="J222" s="39" t="s">
        <v>282</v>
      </c>
      <c r="K222" s="40" t="s">
        <v>268</v>
      </c>
      <c r="L222" s="40" t="s">
        <v>269</v>
      </c>
      <c r="Q222" t="s">
        <v>885</v>
      </c>
    </row>
    <row r="223" spans="1:17" ht="38.25" customHeight="1">
      <c r="A223" t="s">
        <v>886</v>
      </c>
      <c r="B223" t="s">
        <v>887</v>
      </c>
      <c r="C223" s="77">
        <v>46294</v>
      </c>
      <c r="D223" t="s">
        <v>492</v>
      </c>
      <c r="E223" t="s">
        <v>273</v>
      </c>
      <c r="F223" s="2" t="s">
        <v>79</v>
      </c>
      <c r="G223" t="s">
        <v>493</v>
      </c>
      <c r="I223" s="18" t="s">
        <v>266</v>
      </c>
      <c r="J223" s="23" t="s">
        <v>282</v>
      </c>
      <c r="K223" s="23" t="s">
        <v>282</v>
      </c>
      <c r="L223" s="23" t="s">
        <v>258</v>
      </c>
      <c r="Q223" t="s">
        <v>888</v>
      </c>
    </row>
    <row r="224" spans="1:17" ht="38.25" customHeight="1">
      <c r="A224" t="s">
        <v>889</v>
      </c>
      <c r="B224" t="s">
        <v>890</v>
      </c>
      <c r="C224" s="77">
        <v>46294</v>
      </c>
      <c r="D224" t="s">
        <v>492</v>
      </c>
      <c r="E224" t="s">
        <v>273</v>
      </c>
      <c r="F224" s="2" t="s">
        <v>79</v>
      </c>
      <c r="G224" t="s">
        <v>493</v>
      </c>
      <c r="I224" s="18" t="s">
        <v>266</v>
      </c>
      <c r="J224" s="21" t="s">
        <v>267</v>
      </c>
      <c r="K224" s="21" t="s">
        <v>268</v>
      </c>
      <c r="L224" s="21" t="s">
        <v>269</v>
      </c>
      <c r="Q224" t="s">
        <v>891</v>
      </c>
    </row>
    <row r="225" spans="1:17" ht="38.25" customHeight="1">
      <c r="A225" t="s">
        <v>892</v>
      </c>
      <c r="B225" t="s">
        <v>893</v>
      </c>
      <c r="C225" s="77">
        <v>46294</v>
      </c>
      <c r="D225" t="s">
        <v>492</v>
      </c>
      <c r="E225" t="s">
        <v>273</v>
      </c>
      <c r="F225" s="2" t="s">
        <v>79</v>
      </c>
      <c r="G225" t="s">
        <v>493</v>
      </c>
      <c r="I225" s="18" t="s">
        <v>266</v>
      </c>
      <c r="J225" s="21" t="s">
        <v>267</v>
      </c>
      <c r="K225" s="21" t="s">
        <v>268</v>
      </c>
      <c r="L225" s="21" t="s">
        <v>269</v>
      </c>
      <c r="Q225" t="s">
        <v>894</v>
      </c>
    </row>
    <row r="226" spans="1:17" ht="38.25" customHeight="1">
      <c r="A226" t="s">
        <v>895</v>
      </c>
      <c r="B226" t="s">
        <v>896</v>
      </c>
      <c r="C226" s="77">
        <v>46294</v>
      </c>
      <c r="D226" t="s">
        <v>492</v>
      </c>
      <c r="E226" t="s">
        <v>273</v>
      </c>
      <c r="F226" s="2" t="s">
        <v>79</v>
      </c>
      <c r="G226" t="s">
        <v>493</v>
      </c>
      <c r="I226" s="18" t="s">
        <v>266</v>
      </c>
      <c r="J226" s="23" t="s">
        <v>282</v>
      </c>
      <c r="K226" s="23" t="s">
        <v>282</v>
      </c>
      <c r="L226" s="23" t="s">
        <v>258</v>
      </c>
      <c r="Q226" t="s">
        <v>897</v>
      </c>
    </row>
    <row r="227" spans="1:17" ht="38.25" customHeight="1">
      <c r="A227" s="22" t="s">
        <v>898</v>
      </c>
      <c r="B227" t="s">
        <v>899</v>
      </c>
      <c r="C227" s="77">
        <v>46294</v>
      </c>
      <c r="D227" t="s">
        <v>492</v>
      </c>
      <c r="E227" t="s">
        <v>273</v>
      </c>
      <c r="F227" s="2" t="s">
        <v>79</v>
      </c>
      <c r="G227" t="s">
        <v>493</v>
      </c>
      <c r="I227" s="18" t="s">
        <v>266</v>
      </c>
      <c r="J227" s="21" t="s">
        <v>267</v>
      </c>
      <c r="K227" s="21" t="s">
        <v>268</v>
      </c>
      <c r="L227" s="21" t="s">
        <v>269</v>
      </c>
      <c r="Q227" t="s">
        <v>900</v>
      </c>
    </row>
    <row r="228" spans="1:17" ht="38.25" customHeight="1">
      <c r="D228" t="s">
        <v>492</v>
      </c>
      <c r="E228" t="s">
        <v>273</v>
      </c>
      <c r="F228" s="2" t="s">
        <v>79</v>
      </c>
      <c r="G228" t="s">
        <v>493</v>
      </c>
    </row>
    <row r="229" spans="1:17" ht="38.25" customHeight="1">
      <c r="D229" t="s">
        <v>492</v>
      </c>
      <c r="E229" t="s">
        <v>273</v>
      </c>
      <c r="F229" s="2" t="s">
        <v>79</v>
      </c>
      <c r="G229" t="s">
        <v>493</v>
      </c>
    </row>
    <row r="230" spans="1:17" ht="38.25" customHeight="1">
      <c r="D230" t="s">
        <v>492</v>
      </c>
      <c r="E230" t="s">
        <v>273</v>
      </c>
      <c r="F230" s="2" t="s">
        <v>79</v>
      </c>
      <c r="G230" t="s">
        <v>493</v>
      </c>
    </row>
    <row r="231" spans="1:17" ht="38.25" customHeight="1">
      <c r="D231" t="s">
        <v>492</v>
      </c>
      <c r="E231" t="s">
        <v>273</v>
      </c>
      <c r="F231" s="2" t="s">
        <v>79</v>
      </c>
      <c r="G231" t="s">
        <v>493</v>
      </c>
    </row>
    <row r="232" spans="1:17" ht="38.25" customHeight="1">
      <c r="D232" t="s">
        <v>492</v>
      </c>
      <c r="E232" t="s">
        <v>273</v>
      </c>
      <c r="F232" s="2" t="s">
        <v>79</v>
      </c>
      <c r="G232" t="s">
        <v>493</v>
      </c>
      <c r="Q232" s="75"/>
    </row>
    <row r="233" spans="1:17" ht="38.25" customHeight="1">
      <c r="D233" t="s">
        <v>492</v>
      </c>
      <c r="E233" t="s">
        <v>273</v>
      </c>
      <c r="F233" s="2" t="s">
        <v>79</v>
      </c>
      <c r="G233" t="s">
        <v>493</v>
      </c>
    </row>
    <row r="234" spans="1:17" ht="38.25" customHeight="1">
      <c r="D234" t="s">
        <v>492</v>
      </c>
      <c r="E234" t="s">
        <v>273</v>
      </c>
      <c r="F234" s="2" t="s">
        <v>79</v>
      </c>
      <c r="G234" t="s">
        <v>493</v>
      </c>
    </row>
    <row r="235" spans="1:17" ht="38.25" customHeight="1">
      <c r="D235" t="s">
        <v>492</v>
      </c>
      <c r="E235" t="s">
        <v>273</v>
      </c>
      <c r="F235" s="2" t="s">
        <v>79</v>
      </c>
      <c r="G235" t="s">
        <v>493</v>
      </c>
    </row>
    <row r="236" spans="1:17" ht="38.25" customHeight="1">
      <c r="D236" t="s">
        <v>492</v>
      </c>
      <c r="E236" t="s">
        <v>273</v>
      </c>
      <c r="F236" s="2" t="s">
        <v>79</v>
      </c>
      <c r="G236" t="s">
        <v>493</v>
      </c>
    </row>
    <row r="237" spans="1:17" ht="38.25" customHeight="1">
      <c r="D237" t="s">
        <v>492</v>
      </c>
      <c r="E237" t="s">
        <v>273</v>
      </c>
      <c r="F237" s="2" t="s">
        <v>79</v>
      </c>
      <c r="G237" t="s">
        <v>493</v>
      </c>
    </row>
    <row r="238" spans="1:17" ht="38.25" customHeight="1">
      <c r="D238" t="s">
        <v>492</v>
      </c>
      <c r="E238" t="s">
        <v>273</v>
      </c>
      <c r="F238" s="2" t="s">
        <v>79</v>
      </c>
      <c r="G238" t="s">
        <v>493</v>
      </c>
    </row>
    <row r="239" spans="1:17" ht="38.25" customHeight="1">
      <c r="D239" t="s">
        <v>492</v>
      </c>
      <c r="E239" t="s">
        <v>273</v>
      </c>
      <c r="F239" s="2" t="s">
        <v>79</v>
      </c>
      <c r="G239" t="s">
        <v>493</v>
      </c>
    </row>
    <row r="240" spans="1:17" ht="38.25" customHeight="1">
      <c r="D240" t="s">
        <v>492</v>
      </c>
      <c r="E240" t="s">
        <v>273</v>
      </c>
      <c r="F240" s="2" t="s">
        <v>79</v>
      </c>
      <c r="G240" t="s">
        <v>493</v>
      </c>
    </row>
    <row r="241" spans="4:7" ht="38.25" customHeight="1">
      <c r="D241" t="s">
        <v>492</v>
      </c>
      <c r="E241" t="s">
        <v>273</v>
      </c>
      <c r="F241" s="2" t="s">
        <v>79</v>
      </c>
      <c r="G241" t="s">
        <v>493</v>
      </c>
    </row>
  </sheetData>
  <hyperlinks>
    <hyperlink ref="A4" r:id="rId1" xr:uid="{BEF9971B-2483-4339-A3DE-BF1E09AFFCFD}"/>
    <hyperlink ref="B201" r:id="rId2" xr:uid="{34EE6957-2768-4D9E-A72D-A48F5542EECA}"/>
    <hyperlink ref="B193" r:id="rId3" xr:uid="{3F662D70-E6BA-4721-A6FB-254254149FB8}"/>
  </hyperlinks>
  <pageMargins left="0.75" right="0.75" top="1" bottom="1" header="0.5" footer="0.5"/>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F62E-4B44-49E3-90CF-FD619777AA49}">
  <sheetPr>
    <tabColor rgb="FF00B050"/>
  </sheetPr>
  <dimension ref="A1:Q39"/>
  <sheetViews>
    <sheetView topLeftCell="B1" workbookViewId="0">
      <selection activeCell="E35" sqref="E35"/>
    </sheetView>
  </sheetViews>
  <sheetFormatPr defaultColWidth="9.140625" defaultRowHeight="15" customHeight="1"/>
  <cols>
    <col min="2" max="2" width="16" customWidth="1"/>
    <col min="3" max="3" width="10.28515625" customWidth="1"/>
    <col min="4" max="4" width="15.42578125" customWidth="1"/>
    <col min="5" max="5" width="11.140625" customWidth="1"/>
    <col min="6" max="6" width="16.28515625" customWidth="1"/>
    <col min="7" max="7" width="15.140625" customWidth="1"/>
    <col min="8" max="8" width="16.42578125" customWidth="1"/>
    <col min="9" max="9" width="14.7109375" customWidth="1"/>
    <col min="10" max="10" width="9.85546875" customWidth="1"/>
    <col min="11" max="11" width="16" customWidth="1"/>
  </cols>
  <sheetData>
    <row r="1" spans="1:17" ht="15.6" customHeight="1" thickTop="1" thickBot="1">
      <c r="A1" s="43" t="s">
        <v>0</v>
      </c>
      <c r="B1" s="43" t="s">
        <v>1</v>
      </c>
      <c r="C1" s="43" t="s">
        <v>23</v>
      </c>
      <c r="D1" s="43" t="s">
        <v>901</v>
      </c>
      <c r="E1" s="43" t="s">
        <v>25</v>
      </c>
      <c r="F1" s="43" t="s">
        <v>902</v>
      </c>
      <c r="G1" s="43" t="s">
        <v>903</v>
      </c>
      <c r="H1" s="43" t="s">
        <v>26</v>
      </c>
      <c r="I1" s="43" t="s">
        <v>904</v>
      </c>
      <c r="J1" s="43" t="s">
        <v>27</v>
      </c>
      <c r="K1" s="43" t="s">
        <v>905</v>
      </c>
    </row>
    <row r="2" spans="1:17" ht="15.6" thickTop="1" thickBot="1">
      <c r="A2" s="44" t="s">
        <v>5</v>
      </c>
      <c r="B2" s="44" t="s">
        <v>6</v>
      </c>
      <c r="C2" s="45">
        <v>20</v>
      </c>
      <c r="D2" s="46">
        <v>61</v>
      </c>
      <c r="E2" s="46">
        <v>51</v>
      </c>
      <c r="F2" s="46">
        <v>3</v>
      </c>
      <c r="G2" s="46">
        <v>10</v>
      </c>
      <c r="H2" s="46">
        <v>47</v>
      </c>
      <c r="I2" s="46">
        <v>6</v>
      </c>
      <c r="J2" s="46">
        <v>3</v>
      </c>
      <c r="K2" s="46">
        <v>0</v>
      </c>
      <c r="O2" s="2"/>
      <c r="P2" s="2"/>
      <c r="Q2" s="2"/>
    </row>
    <row r="3" spans="1:17" ht="15.6" thickTop="1" thickBot="1">
      <c r="A3" s="47" t="s">
        <v>7</v>
      </c>
      <c r="B3" s="47" t="s">
        <v>8</v>
      </c>
      <c r="C3" s="45">
        <v>40</v>
      </c>
      <c r="D3" s="46"/>
      <c r="E3" s="46"/>
      <c r="F3" s="46"/>
      <c r="G3" s="46"/>
      <c r="H3" s="46"/>
      <c r="I3" s="46"/>
      <c r="J3" s="46">
        <v>8</v>
      </c>
      <c r="K3" s="46">
        <v>18</v>
      </c>
      <c r="O3" s="2"/>
      <c r="P3" s="2"/>
      <c r="Q3" s="2"/>
    </row>
    <row r="4" spans="1:17" ht="15.6" thickTop="1" thickBot="1">
      <c r="A4" s="44" t="s">
        <v>9</v>
      </c>
      <c r="B4" s="44" t="s">
        <v>10</v>
      </c>
      <c r="C4" s="45">
        <v>60</v>
      </c>
      <c r="D4" s="46"/>
      <c r="E4" s="46"/>
      <c r="F4" s="46"/>
      <c r="G4" s="46"/>
      <c r="H4" s="46"/>
      <c r="I4" s="46"/>
      <c r="J4" s="46"/>
      <c r="K4" s="48"/>
      <c r="O4" s="2"/>
      <c r="P4" s="2"/>
      <c r="Q4" s="2"/>
    </row>
    <row r="5" spans="1:17" ht="15.6" thickTop="1" thickBot="1">
      <c r="A5" s="47" t="s">
        <v>11</v>
      </c>
      <c r="B5" s="47" t="s">
        <v>12</v>
      </c>
      <c r="C5" s="45">
        <v>80</v>
      </c>
      <c r="D5" s="46"/>
      <c r="E5" s="46"/>
      <c r="F5" s="46"/>
      <c r="G5" s="46"/>
      <c r="H5" s="46"/>
      <c r="I5" s="46"/>
      <c r="J5" s="46"/>
      <c r="K5" s="48"/>
      <c r="O5" s="2"/>
      <c r="P5" s="2"/>
      <c r="Q5" s="2"/>
    </row>
    <row r="6" spans="1:17" ht="15.6" thickTop="1" thickBot="1">
      <c r="A6" s="44" t="s">
        <v>13</v>
      </c>
      <c r="B6" s="44" t="s">
        <v>14</v>
      </c>
      <c r="C6" s="45">
        <v>100</v>
      </c>
      <c r="D6" s="46"/>
      <c r="E6" s="46"/>
      <c r="F6" s="46"/>
      <c r="G6" s="46"/>
      <c r="H6" s="46"/>
      <c r="I6" s="46"/>
      <c r="J6" s="46"/>
      <c r="K6" s="48"/>
    </row>
    <row r="7" spans="1:17" thickTop="1"/>
    <row r="8" spans="1:17" ht="14.45">
      <c r="G8" t="s">
        <v>906</v>
      </c>
    </row>
    <row r="34" spans="3:7" ht="14.45">
      <c r="C34" s="49" t="s">
        <v>907</v>
      </c>
      <c r="D34" s="50" t="s">
        <v>908</v>
      </c>
      <c r="E34" s="51" t="s">
        <v>909</v>
      </c>
    </row>
    <row r="35" spans="3:7" ht="14.45">
      <c r="C35" s="52">
        <v>450</v>
      </c>
      <c r="D35" s="53">
        <v>230</v>
      </c>
      <c r="E35" s="54">
        <f>D35/C35</f>
        <v>0.51111111111111107</v>
      </c>
      <c r="F35" s="38"/>
      <c r="G35" s="38"/>
    </row>
    <row r="36" spans="3:7" ht="14.45">
      <c r="C36" s="2"/>
      <c r="D36" s="2"/>
    </row>
    <row r="37" spans="3:7" ht="14.45">
      <c r="C37" s="2"/>
      <c r="D37" s="2"/>
      <c r="E37" s="2"/>
      <c r="F37" s="2"/>
      <c r="G37" s="2"/>
    </row>
    <row r="38" spans="3:7" ht="14.45">
      <c r="C38" s="2"/>
      <c r="D38" s="2"/>
      <c r="E38" s="2"/>
      <c r="F38" s="2"/>
      <c r="G38" s="2"/>
    </row>
    <row r="39" spans="3:7" ht="14.45">
      <c r="C39" s="2"/>
      <c r="D39" s="2"/>
      <c r="E39" s="2"/>
      <c r="F39" s="2"/>
      <c r="G39" s="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FA2A-F7BA-4335-B916-D225E8952444}">
  <dimension ref="A2:F25"/>
  <sheetViews>
    <sheetView topLeftCell="A2" zoomScale="80" workbookViewId="0">
      <selection activeCell="E30" sqref="E30"/>
    </sheetView>
  </sheetViews>
  <sheetFormatPr defaultRowHeight="14.45"/>
  <cols>
    <col min="1" max="1" width="28" bestFit="1" customWidth="1"/>
    <col min="2" max="2" width="17.85546875" bestFit="1" customWidth="1"/>
    <col min="3" max="3" width="15.140625" bestFit="1" customWidth="1"/>
    <col min="4" max="4" width="14.42578125" bestFit="1" customWidth="1"/>
    <col min="5" max="5" width="27.28515625" bestFit="1" customWidth="1"/>
    <col min="6" max="7" width="11.28515625" bestFit="1" customWidth="1"/>
    <col min="8" max="8" width="29.140625" bestFit="1" customWidth="1"/>
    <col min="9" max="9" width="3.28515625" bestFit="1" customWidth="1"/>
    <col min="10" max="10" width="32.28515625" bestFit="1" customWidth="1"/>
    <col min="11" max="11" width="11.28515625" bestFit="1" customWidth="1"/>
  </cols>
  <sheetData>
    <row r="2" spans="1:6">
      <c r="A2" s="73" t="s">
        <v>65</v>
      </c>
      <c r="B2" t="s">
        <v>910</v>
      </c>
    </row>
    <row r="3" spans="1:6">
      <c r="A3" s="73" t="s">
        <v>63</v>
      </c>
      <c r="B3" t="s">
        <v>911</v>
      </c>
    </row>
    <row r="5" spans="1:6">
      <c r="A5" s="73" t="s">
        <v>912</v>
      </c>
      <c r="B5" s="73" t="s">
        <v>913</v>
      </c>
    </row>
    <row r="6" spans="1:6">
      <c r="A6" s="73" t="s">
        <v>914</v>
      </c>
      <c r="B6" t="s">
        <v>27</v>
      </c>
      <c r="C6" t="s">
        <v>156</v>
      </c>
      <c r="D6" t="s">
        <v>145</v>
      </c>
      <c r="E6" t="s">
        <v>87</v>
      </c>
      <c r="F6" t="s">
        <v>915</v>
      </c>
    </row>
    <row r="7" spans="1:6">
      <c r="A7" s="74">
        <v>46267</v>
      </c>
      <c r="B7">
        <v>1</v>
      </c>
      <c r="C7">
        <v>0</v>
      </c>
      <c r="D7">
        <v>0</v>
      </c>
      <c r="E7">
        <v>0</v>
      </c>
      <c r="F7">
        <v>1</v>
      </c>
    </row>
    <row r="8" spans="1:6">
      <c r="A8" s="74">
        <v>46272</v>
      </c>
      <c r="B8">
        <v>2</v>
      </c>
      <c r="C8">
        <v>0</v>
      </c>
      <c r="D8">
        <v>0</v>
      </c>
      <c r="E8">
        <v>0</v>
      </c>
      <c r="F8">
        <v>2</v>
      </c>
    </row>
    <row r="9" spans="1:6">
      <c r="A9" s="74">
        <v>46279</v>
      </c>
      <c r="B9">
        <v>6</v>
      </c>
      <c r="C9">
        <v>0</v>
      </c>
      <c r="D9">
        <v>0</v>
      </c>
      <c r="E9">
        <v>0</v>
      </c>
      <c r="F9">
        <v>6</v>
      </c>
    </row>
    <row r="10" spans="1:6">
      <c r="A10" s="74">
        <v>46280</v>
      </c>
      <c r="B10">
        <v>8</v>
      </c>
      <c r="C10">
        <v>0</v>
      </c>
      <c r="D10">
        <v>0</v>
      </c>
      <c r="E10">
        <v>0</v>
      </c>
      <c r="F10">
        <v>8</v>
      </c>
    </row>
    <row r="11" spans="1:6">
      <c r="A11" s="74">
        <v>46281</v>
      </c>
      <c r="B11">
        <v>10</v>
      </c>
      <c r="C11">
        <v>0</v>
      </c>
      <c r="D11">
        <v>0</v>
      </c>
      <c r="E11">
        <v>0</v>
      </c>
      <c r="F11">
        <v>10</v>
      </c>
    </row>
    <row r="12" spans="1:6">
      <c r="A12" s="74">
        <v>46286</v>
      </c>
      <c r="B12">
        <v>20</v>
      </c>
      <c r="C12">
        <v>0</v>
      </c>
      <c r="D12">
        <v>0</v>
      </c>
      <c r="E12">
        <v>0</v>
      </c>
      <c r="F12">
        <v>20</v>
      </c>
    </row>
    <row r="13" spans="1:6">
      <c r="A13" s="74">
        <v>46288</v>
      </c>
      <c r="B13">
        <v>21</v>
      </c>
      <c r="C13">
        <v>0</v>
      </c>
      <c r="D13">
        <v>0</v>
      </c>
      <c r="E13">
        <v>0</v>
      </c>
      <c r="F13">
        <v>21</v>
      </c>
    </row>
    <row r="14" spans="1:6">
      <c r="A14" s="74">
        <v>46293</v>
      </c>
      <c r="B14">
        <v>30</v>
      </c>
      <c r="C14">
        <v>0</v>
      </c>
      <c r="D14">
        <v>0</v>
      </c>
      <c r="E14">
        <v>0</v>
      </c>
      <c r="F14">
        <v>30</v>
      </c>
    </row>
    <row r="15" spans="1:6">
      <c r="A15" s="74">
        <v>46295</v>
      </c>
      <c r="B15">
        <v>30</v>
      </c>
      <c r="C15">
        <v>0</v>
      </c>
      <c r="D15">
        <v>1</v>
      </c>
      <c r="E15">
        <v>1</v>
      </c>
      <c r="F15">
        <v>32</v>
      </c>
    </row>
    <row r="16" spans="1:6">
      <c r="A16" s="74">
        <v>46300</v>
      </c>
      <c r="B16">
        <v>30</v>
      </c>
      <c r="C16">
        <v>0</v>
      </c>
      <c r="D16">
        <v>4</v>
      </c>
      <c r="E16">
        <v>6</v>
      </c>
      <c r="F16">
        <v>40</v>
      </c>
    </row>
    <row r="17" spans="1:6">
      <c r="A17" s="74">
        <v>46302</v>
      </c>
      <c r="B17">
        <v>30</v>
      </c>
      <c r="C17">
        <v>0</v>
      </c>
      <c r="D17">
        <v>4</v>
      </c>
      <c r="E17">
        <v>8</v>
      </c>
      <c r="F17">
        <v>42</v>
      </c>
    </row>
    <row r="18" spans="1:6">
      <c r="A18" s="74">
        <v>46307</v>
      </c>
      <c r="B18">
        <v>30</v>
      </c>
      <c r="C18">
        <v>0</v>
      </c>
      <c r="D18">
        <v>5</v>
      </c>
      <c r="E18">
        <v>12</v>
      </c>
      <c r="F18">
        <v>47</v>
      </c>
    </row>
    <row r="19" spans="1:6">
      <c r="A19" s="74">
        <v>46309</v>
      </c>
      <c r="B19">
        <v>30</v>
      </c>
      <c r="C19">
        <v>0</v>
      </c>
      <c r="D19">
        <v>6</v>
      </c>
      <c r="E19">
        <v>12</v>
      </c>
      <c r="F19">
        <v>48</v>
      </c>
    </row>
    <row r="20" spans="1:6">
      <c r="A20" s="74">
        <v>46314</v>
      </c>
      <c r="B20">
        <v>30</v>
      </c>
      <c r="C20">
        <v>0</v>
      </c>
      <c r="D20">
        <v>6</v>
      </c>
      <c r="E20">
        <v>13</v>
      </c>
      <c r="F20">
        <v>49</v>
      </c>
    </row>
    <row r="21" spans="1:6">
      <c r="A21" s="74">
        <v>46315</v>
      </c>
      <c r="B21">
        <v>30</v>
      </c>
      <c r="C21">
        <v>0</v>
      </c>
      <c r="D21">
        <v>7</v>
      </c>
      <c r="E21">
        <v>13</v>
      </c>
      <c r="F21">
        <v>50</v>
      </c>
    </row>
    <row r="22" spans="1:6">
      <c r="A22" s="74">
        <v>46320</v>
      </c>
      <c r="B22">
        <v>30</v>
      </c>
      <c r="C22">
        <v>1</v>
      </c>
      <c r="D22">
        <v>7</v>
      </c>
      <c r="E22">
        <v>13</v>
      </c>
      <c r="F22">
        <v>51</v>
      </c>
    </row>
    <row r="23" spans="1:6">
      <c r="A23" s="74">
        <v>46321</v>
      </c>
      <c r="B23">
        <v>30</v>
      </c>
      <c r="C23">
        <v>1</v>
      </c>
      <c r="D23">
        <v>8</v>
      </c>
      <c r="E23">
        <v>13</v>
      </c>
      <c r="F23">
        <v>52</v>
      </c>
    </row>
    <row r="24" spans="1:6">
      <c r="A24" s="74">
        <v>46328</v>
      </c>
      <c r="B24">
        <v>30</v>
      </c>
      <c r="C24">
        <v>1</v>
      </c>
      <c r="D24">
        <v>10</v>
      </c>
      <c r="E24">
        <v>15</v>
      </c>
      <c r="F24">
        <v>56</v>
      </c>
    </row>
    <row r="25" spans="1:6">
      <c r="A25" s="26" t="s">
        <v>915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2122-E936-4491-8F47-8BFB26617380}">
  <dimension ref="A3:N30"/>
  <sheetViews>
    <sheetView workbookViewId="0">
      <selection activeCell="A7" sqref="A7"/>
    </sheetView>
  </sheetViews>
  <sheetFormatPr defaultRowHeight="14.45"/>
  <cols>
    <col min="1" max="1" width="14.42578125" bestFit="1" customWidth="1"/>
    <col min="2" max="2" width="16.28515625" bestFit="1" customWidth="1"/>
    <col min="3" max="3" width="9.7109375" bestFit="1" customWidth="1"/>
    <col min="4" max="4" width="9.5703125" bestFit="1" customWidth="1"/>
    <col min="5" max="5" width="9.7109375" bestFit="1" customWidth="1"/>
    <col min="6" max="6" width="10.140625" bestFit="1" customWidth="1"/>
    <col min="7" max="7" width="6" bestFit="1" customWidth="1"/>
    <col min="8" max="8" width="8.28515625" bestFit="1" customWidth="1"/>
    <col min="9" max="9" width="8.85546875" bestFit="1" customWidth="1"/>
    <col min="10" max="10" width="9.28515625" bestFit="1" customWidth="1"/>
    <col min="11" max="11" width="12" bestFit="1" customWidth="1"/>
    <col min="12" max="12" width="12.85546875" bestFit="1" customWidth="1"/>
    <col min="13" max="13" width="7.28515625" bestFit="1" customWidth="1"/>
    <col min="14" max="14" width="11.28515625" bestFit="1" customWidth="1"/>
  </cols>
  <sheetData>
    <row r="3" spans="1:14">
      <c r="A3" s="73" t="s">
        <v>916</v>
      </c>
      <c r="B3" s="73" t="s">
        <v>913</v>
      </c>
    </row>
    <row r="4" spans="1:14">
      <c r="A4" s="73" t="s">
        <v>914</v>
      </c>
      <c r="B4" t="s">
        <v>404</v>
      </c>
      <c r="C4" t="s">
        <v>258</v>
      </c>
      <c r="D4" t="s">
        <v>548</v>
      </c>
      <c r="E4" t="s">
        <v>619</v>
      </c>
      <c r="F4" t="s">
        <v>618</v>
      </c>
      <c r="G4" t="s">
        <v>277</v>
      </c>
      <c r="H4" t="s">
        <v>228</v>
      </c>
      <c r="I4" t="s">
        <v>269</v>
      </c>
      <c r="J4" t="s">
        <v>439</v>
      </c>
      <c r="K4" t="s">
        <v>314</v>
      </c>
      <c r="L4" t="s">
        <v>588</v>
      </c>
      <c r="M4" t="s">
        <v>917</v>
      </c>
      <c r="N4" t="s">
        <v>915</v>
      </c>
    </row>
    <row r="5" spans="1:14">
      <c r="A5" s="26" t="s">
        <v>918</v>
      </c>
    </row>
    <row r="6" spans="1:14">
      <c r="A6" s="26" t="s">
        <v>919</v>
      </c>
      <c r="B6">
        <v>3</v>
      </c>
      <c r="C6">
        <v>27</v>
      </c>
      <c r="G6">
        <v>5</v>
      </c>
      <c r="H6">
        <v>1</v>
      </c>
      <c r="I6">
        <v>19</v>
      </c>
      <c r="J6">
        <v>1</v>
      </c>
      <c r="K6">
        <v>1</v>
      </c>
      <c r="N6">
        <v>57</v>
      </c>
    </row>
    <row r="7" spans="1:14">
      <c r="A7" s="26" t="s">
        <v>920</v>
      </c>
      <c r="C7">
        <v>62</v>
      </c>
      <c r="D7">
        <v>2</v>
      </c>
      <c r="E7">
        <v>1</v>
      </c>
      <c r="F7">
        <v>2</v>
      </c>
      <c r="G7">
        <v>16</v>
      </c>
      <c r="I7">
        <v>73</v>
      </c>
      <c r="J7">
        <v>1</v>
      </c>
      <c r="K7">
        <v>1</v>
      </c>
      <c r="L7">
        <v>5</v>
      </c>
      <c r="N7">
        <v>163</v>
      </c>
    </row>
    <row r="8" spans="1:14">
      <c r="A8" s="103">
        <v>46266</v>
      </c>
      <c r="C8">
        <v>2</v>
      </c>
      <c r="I8">
        <v>3</v>
      </c>
      <c r="J8">
        <v>1</v>
      </c>
      <c r="N8">
        <v>6</v>
      </c>
    </row>
    <row r="9" spans="1:14">
      <c r="A9" s="103">
        <v>46267</v>
      </c>
      <c r="C9">
        <v>2</v>
      </c>
      <c r="G9">
        <v>1</v>
      </c>
      <c r="I9">
        <v>1</v>
      </c>
      <c r="N9">
        <v>4</v>
      </c>
    </row>
    <row r="10" spans="1:14">
      <c r="A10" s="103">
        <v>46268</v>
      </c>
      <c r="C10">
        <v>1</v>
      </c>
      <c r="I10">
        <v>1</v>
      </c>
      <c r="K10">
        <v>1</v>
      </c>
      <c r="N10">
        <v>3</v>
      </c>
    </row>
    <row r="11" spans="1:14">
      <c r="A11" s="103">
        <v>46269</v>
      </c>
      <c r="C11">
        <v>3</v>
      </c>
      <c r="I11">
        <v>2</v>
      </c>
      <c r="N11">
        <v>5</v>
      </c>
    </row>
    <row r="12" spans="1:14">
      <c r="A12" s="103">
        <v>46272</v>
      </c>
      <c r="C12">
        <v>1</v>
      </c>
      <c r="I12">
        <v>3</v>
      </c>
      <c r="N12">
        <v>4</v>
      </c>
    </row>
    <row r="13" spans="1:14">
      <c r="A13" s="103">
        <v>46273</v>
      </c>
      <c r="C13">
        <v>6</v>
      </c>
      <c r="I13">
        <v>5</v>
      </c>
      <c r="N13">
        <v>11</v>
      </c>
    </row>
    <row r="14" spans="1:14">
      <c r="A14" s="103">
        <v>46274</v>
      </c>
      <c r="C14">
        <v>2</v>
      </c>
      <c r="D14">
        <v>1</v>
      </c>
      <c r="I14">
        <v>3</v>
      </c>
      <c r="N14">
        <v>6</v>
      </c>
    </row>
    <row r="15" spans="1:14">
      <c r="A15" s="103">
        <v>46275</v>
      </c>
      <c r="C15">
        <v>3</v>
      </c>
      <c r="D15">
        <v>1</v>
      </c>
      <c r="G15">
        <v>1</v>
      </c>
      <c r="I15">
        <v>7</v>
      </c>
      <c r="N15">
        <v>12</v>
      </c>
    </row>
    <row r="16" spans="1:14">
      <c r="A16" s="103">
        <v>46276</v>
      </c>
      <c r="C16">
        <v>4</v>
      </c>
      <c r="G16">
        <v>1</v>
      </c>
      <c r="I16">
        <v>2</v>
      </c>
      <c r="L16">
        <v>3</v>
      </c>
      <c r="N16">
        <v>10</v>
      </c>
    </row>
    <row r="17" spans="1:14">
      <c r="A17" s="103">
        <v>46277</v>
      </c>
      <c r="C17">
        <v>3</v>
      </c>
      <c r="E17">
        <v>1</v>
      </c>
      <c r="G17">
        <v>3</v>
      </c>
      <c r="I17">
        <v>2</v>
      </c>
      <c r="N17">
        <v>9</v>
      </c>
    </row>
    <row r="18" spans="1:14">
      <c r="A18" s="103">
        <v>46278</v>
      </c>
      <c r="C18">
        <v>10</v>
      </c>
      <c r="I18">
        <v>2</v>
      </c>
      <c r="L18">
        <v>1</v>
      </c>
      <c r="N18">
        <v>13</v>
      </c>
    </row>
    <row r="19" spans="1:14">
      <c r="A19" s="103">
        <v>46279</v>
      </c>
      <c r="C19">
        <v>2</v>
      </c>
      <c r="I19">
        <v>2</v>
      </c>
      <c r="N19">
        <v>4</v>
      </c>
    </row>
    <row r="20" spans="1:14">
      <c r="A20" s="103">
        <v>46280</v>
      </c>
      <c r="C20">
        <v>4</v>
      </c>
      <c r="G20">
        <v>1</v>
      </c>
      <c r="I20">
        <v>9</v>
      </c>
      <c r="N20">
        <v>14</v>
      </c>
    </row>
    <row r="21" spans="1:14">
      <c r="A21" s="103">
        <v>46281</v>
      </c>
      <c r="C21">
        <v>1</v>
      </c>
      <c r="G21">
        <v>3</v>
      </c>
      <c r="I21">
        <v>6</v>
      </c>
      <c r="N21">
        <v>10</v>
      </c>
    </row>
    <row r="22" spans="1:14">
      <c r="A22" s="103">
        <v>46282</v>
      </c>
      <c r="C22">
        <v>3</v>
      </c>
      <c r="F22">
        <v>1</v>
      </c>
      <c r="I22">
        <v>2</v>
      </c>
      <c r="N22">
        <v>6</v>
      </c>
    </row>
    <row r="23" spans="1:14">
      <c r="A23" s="103">
        <v>46283</v>
      </c>
      <c r="C23">
        <v>4</v>
      </c>
      <c r="I23">
        <v>1</v>
      </c>
      <c r="N23">
        <v>5</v>
      </c>
    </row>
    <row r="24" spans="1:14">
      <c r="A24" s="103">
        <v>46286</v>
      </c>
      <c r="C24">
        <v>2</v>
      </c>
      <c r="F24">
        <v>1</v>
      </c>
      <c r="G24">
        <v>1</v>
      </c>
      <c r="I24">
        <v>6</v>
      </c>
      <c r="N24">
        <v>10</v>
      </c>
    </row>
    <row r="25" spans="1:14">
      <c r="A25" s="103">
        <v>46287</v>
      </c>
      <c r="C25">
        <v>2</v>
      </c>
      <c r="G25">
        <v>2</v>
      </c>
      <c r="I25">
        <v>6</v>
      </c>
      <c r="L25">
        <v>1</v>
      </c>
      <c r="N25">
        <v>11</v>
      </c>
    </row>
    <row r="26" spans="1:14">
      <c r="A26" s="103">
        <v>46288</v>
      </c>
      <c r="C26">
        <v>2</v>
      </c>
      <c r="I26">
        <v>4</v>
      </c>
      <c r="N26">
        <v>6</v>
      </c>
    </row>
    <row r="27" spans="1:14">
      <c r="A27" s="103">
        <v>46289</v>
      </c>
      <c r="C27">
        <v>2</v>
      </c>
      <c r="G27">
        <v>1</v>
      </c>
      <c r="I27">
        <v>3</v>
      </c>
      <c r="N27">
        <v>6</v>
      </c>
    </row>
    <row r="28" spans="1:14">
      <c r="A28" s="103">
        <v>46290</v>
      </c>
      <c r="C28">
        <v>2</v>
      </c>
      <c r="N28">
        <v>2</v>
      </c>
    </row>
    <row r="29" spans="1:14">
      <c r="A29" s="103">
        <v>46293</v>
      </c>
      <c r="C29">
        <v>1</v>
      </c>
      <c r="G29">
        <v>2</v>
      </c>
      <c r="I29">
        <v>3</v>
      </c>
      <c r="N29">
        <v>6</v>
      </c>
    </row>
    <row r="30" spans="1:14">
      <c r="A30" s="26" t="s">
        <v>915</v>
      </c>
      <c r="B30">
        <v>3</v>
      </c>
      <c r="C30">
        <v>89</v>
      </c>
      <c r="D30">
        <v>2</v>
      </c>
      <c r="E30">
        <v>1</v>
      </c>
      <c r="F30">
        <v>2</v>
      </c>
      <c r="G30">
        <v>21</v>
      </c>
      <c r="H30">
        <v>1</v>
      </c>
      <c r="I30">
        <v>92</v>
      </c>
      <c r="J30">
        <v>2</v>
      </c>
      <c r="K30">
        <v>2</v>
      </c>
      <c r="L30">
        <v>5</v>
      </c>
      <c r="N30">
        <v>220</v>
      </c>
    </row>
  </sheetData>
  <pageMargins left="0.7" right="0.7" top="0.75" bottom="0.75" header="0.3" footer="0.3"/>
</worksheet>
</file>

<file path=docMetadata/LabelInfo.xml><?xml version="1.0" encoding="utf-8"?>
<clbl:labelList xmlns:clbl="http://schemas.microsoft.com/office/2020/mipLabelMetadata">
  <clbl:label id="{0ffa499d-8334-4b45-bbba-5ec17299202b}" enabled="1" method="Standar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Eltohamy, Ibrahim</dc:creator>
  <cp:keywords/>
  <dc:description/>
  <cp:lastModifiedBy/>
  <cp:revision/>
  <dcterms:created xsi:type="dcterms:W3CDTF">2026-08-04T13:45:38Z</dcterms:created>
  <dcterms:modified xsi:type="dcterms:W3CDTF">2026-09-29T16:18:53Z</dcterms:modified>
  <cp:category/>
  <cp:contentStatus/>
</cp:coreProperties>
</file>