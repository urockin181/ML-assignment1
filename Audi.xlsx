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ostafa_mostafa_capgemini_com1/Documents/"/>
    </mc:Choice>
  </mc:AlternateContent>
  <xr:revisionPtr revIDLastSave="0" documentId="8_{26F774AE-C9E3-499C-A4DE-4F1F2607DE32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Attendance" sheetId="1" r:id="rId1"/>
    <sheet name="PKI" sheetId="9" r:id="rId2"/>
    <sheet name="Audi ID" sheetId="7" r:id="rId3"/>
    <sheet name="Tools Tracker " sheetId="6" r:id="rId4"/>
    <sheet name="H-O Schedule" sheetId="3" r:id="rId5"/>
    <sheet name="Training Room" sheetId="4" r:id="rId6"/>
    <sheet name="Laptop Tracker" sheetId="5" r:id="rId7"/>
    <sheet name="Training Plan" sheetId="8" r:id="rId8"/>
    <sheet name="Learning Tracker" sheetId="10" r:id="rId9"/>
  </sheets>
  <definedNames>
    <definedName name="_xlnm._FilterDatabase" localSheetId="4" hidden="1">'H-O Schedule'!$A$1:$K$119</definedName>
    <definedName name="_xlnm._FilterDatabase" localSheetId="1" hidden="1">PKI!$A$1:$G$49</definedName>
    <definedName name="_xlnm._FilterDatabase" localSheetId="6" hidden="1">'Laptop Tracker'!$A$1:$H$49</definedName>
    <definedName name="_xlnm._FilterDatabase" localSheetId="0" hidden="1">Attendance!$A$1:$AL$89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4" i="9" l="1"/>
  <c r="C49" i="5"/>
  <c r="B49" i="5"/>
  <c r="C50" i="9"/>
  <c r="B50" i="9"/>
  <c r="C89" i="1"/>
  <c r="B89" i="1"/>
  <c r="C88" i="1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80" i="1"/>
  <c r="C81" i="1"/>
  <c r="C82" i="1"/>
  <c r="C83" i="1"/>
  <c r="C84" i="1"/>
  <c r="C85" i="1"/>
  <c r="C86" i="1"/>
  <c r="C87" i="1"/>
  <c r="B80" i="1"/>
  <c r="B81" i="1"/>
  <c r="B82" i="1"/>
  <c r="B83" i="1"/>
  <c r="B84" i="1"/>
  <c r="B85" i="1"/>
  <c r="B86" i="1"/>
  <c r="B87" i="1"/>
  <c r="B88" i="1"/>
  <c r="C36" i="5"/>
  <c r="B36" i="5"/>
  <c r="C38" i="9"/>
  <c r="B38" i="9"/>
  <c r="C38" i="5"/>
  <c r="B38" i="5"/>
  <c r="C37" i="5"/>
  <c r="B37" i="5"/>
  <c r="C40" i="9"/>
  <c r="B40" i="9"/>
  <c r="C39" i="9"/>
  <c r="B39" i="9"/>
  <c r="C75" i="1"/>
  <c r="C76" i="1"/>
  <c r="C77" i="1"/>
  <c r="C78" i="1"/>
  <c r="C79" i="1"/>
  <c r="B75" i="1"/>
  <c r="B76" i="1"/>
  <c r="B77" i="1"/>
  <c r="B78" i="1"/>
  <c r="B79" i="1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B21" i="9"/>
  <c r="C20" i="9"/>
  <c r="B20" i="9"/>
  <c r="C19" i="9"/>
  <c r="B19" i="9"/>
  <c r="C18" i="9"/>
  <c r="B18" i="9"/>
  <c r="B17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74" i="1"/>
  <c r="B74" i="1"/>
  <c r="C73" i="1"/>
  <c r="B73" i="1"/>
  <c r="C72" i="1"/>
  <c r="B72" i="1"/>
  <c r="C71" i="1"/>
  <c r="B71" i="1"/>
  <c r="C70" i="1"/>
  <c r="B70" i="1"/>
  <c r="C69" i="1"/>
  <c r="B69" i="1"/>
  <c r="C35" i="5"/>
  <c r="B35" i="5"/>
  <c r="C34" i="5"/>
  <c r="B34" i="5"/>
  <c r="C33" i="5"/>
  <c r="B33" i="5"/>
  <c r="C32" i="5"/>
  <c r="B32" i="5"/>
  <c r="C31" i="5"/>
  <c r="B31" i="5"/>
  <c r="C30" i="5"/>
  <c r="B30" i="5"/>
  <c r="C30" i="1"/>
  <c r="C31" i="1"/>
  <c r="C32" i="1"/>
  <c r="C33" i="1"/>
  <c r="C34" i="1"/>
  <c r="C35" i="1"/>
  <c r="C36" i="1"/>
  <c r="B30" i="1"/>
  <c r="B31" i="1"/>
  <c r="B32" i="1"/>
  <c r="B33" i="1"/>
  <c r="B34" i="1"/>
  <c r="B35" i="1"/>
  <c r="B36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B60" i="1"/>
  <c r="C59" i="1"/>
  <c r="B59" i="1"/>
  <c r="C58" i="1"/>
  <c r="B58" i="1"/>
  <c r="C57" i="1"/>
  <c r="B57" i="1"/>
  <c r="B56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29" i="1"/>
  <c r="B29" i="1"/>
  <c r="B21" i="1"/>
  <c r="C3" i="1"/>
  <c r="B3" i="1"/>
  <c r="C18" i="1"/>
  <c r="C19" i="1"/>
  <c r="C20" i="1"/>
  <c r="C22" i="1"/>
  <c r="C23" i="1"/>
  <c r="C24" i="1"/>
  <c r="C25" i="1"/>
  <c r="C26" i="1"/>
  <c r="C27" i="1"/>
  <c r="C28" i="1"/>
  <c r="B19" i="1"/>
  <c r="B20" i="1"/>
  <c r="B22" i="1"/>
  <c r="B23" i="1"/>
  <c r="B24" i="1"/>
  <c r="B25" i="1"/>
  <c r="B26" i="1"/>
  <c r="B27" i="1"/>
  <c r="B28" i="1"/>
  <c r="B17" i="1"/>
  <c r="B18" i="1"/>
  <c r="C4" i="1"/>
  <c r="C5" i="1"/>
  <c r="C6" i="1"/>
  <c r="C7" i="1"/>
  <c r="C37" i="1"/>
  <c r="C8" i="1"/>
  <c r="C9" i="1"/>
  <c r="C10" i="1"/>
  <c r="C11" i="1"/>
  <c r="C12" i="1"/>
  <c r="B4" i="1"/>
  <c r="B5" i="1"/>
  <c r="B6" i="1"/>
  <c r="B7" i="1"/>
  <c r="B37" i="1"/>
  <c r="B8" i="1"/>
  <c r="B9" i="1"/>
  <c r="B10" i="1"/>
  <c r="B11" i="1"/>
  <c r="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Mostafa, Mostafa</author>
  </authors>
  <commentList>
    <comment ref="AJ22" authorId="0" shapeId="0" xr:uid="{02846115-F016-49AE-9B52-0450F02E90E9}">
      <text>
        <r>
          <rPr>
            <sz val="11"/>
            <color theme="1"/>
            <rFont val="Aptos Narrow"/>
            <family val="2"/>
            <scheme val="minor"/>
          </rPr>
          <t>Mostafa, Mostafa:
PO in HO for 5h</t>
        </r>
      </text>
    </comment>
    <comment ref="AH37" authorId="0" shapeId="0" xr:uid="{ADDBBD0E-8362-4254-A60D-66E6A0191790}">
      <text>
        <r>
          <rPr>
            <sz val="11"/>
            <color theme="1"/>
            <rFont val="Aptos Narrow"/>
            <family val="2"/>
            <scheme val="minor"/>
          </rPr>
          <t>Mostafa, Mostafa:
previous week was annual counted on previous project</t>
        </r>
      </text>
    </comment>
  </commentList>
</comments>
</file>

<file path=xl/sharedStrings.xml><?xml version="1.0" encoding="utf-8"?>
<sst xmlns="http://schemas.openxmlformats.org/spreadsheetml/2006/main" count="3743" uniqueCount="382">
  <si>
    <t>Month</t>
  </si>
  <si>
    <t>Name</t>
  </si>
  <si>
    <t>First name</t>
  </si>
  <si>
    <t>Last name</t>
  </si>
  <si>
    <t>Email</t>
  </si>
  <si>
    <t>Start Date</t>
  </si>
  <si>
    <t>Position</t>
  </si>
  <si>
    <t>SEP</t>
  </si>
  <si>
    <t>Mostafa Mostafa</t>
  </si>
  <si>
    <t>mostafa.mostafa@capgemini.com</t>
  </si>
  <si>
    <t>Knowledge Gatherer</t>
  </si>
  <si>
    <t>Attended</t>
  </si>
  <si>
    <t>Off</t>
  </si>
  <si>
    <t>Annual</t>
  </si>
  <si>
    <t>Color Code</t>
  </si>
  <si>
    <t>Gamal Sayed</t>
  </si>
  <si>
    <t>gamal.sayed@capgemini.com</t>
  </si>
  <si>
    <t>Emergency</t>
  </si>
  <si>
    <t>Mennatallah Said</t>
  </si>
  <si>
    <t>mennatallah.said@capgemini.com</t>
  </si>
  <si>
    <t>Hossam Zeid</t>
  </si>
  <si>
    <t>hossam.zeid@capgemini.com</t>
  </si>
  <si>
    <t>SD Analyst</t>
  </si>
  <si>
    <t>Makram Mohamed</t>
  </si>
  <si>
    <t>mohamed.makram@capgemini.com</t>
  </si>
  <si>
    <t>Attended L (Tech Issue)</t>
  </si>
  <si>
    <t>Marwan Dahesh</t>
  </si>
  <si>
    <t>marwan.dahesh@capgemini.com</t>
  </si>
  <si>
    <t>Sick</t>
  </si>
  <si>
    <t>Shahd Hassan</t>
  </si>
  <si>
    <t>shahd.hassan@capgemini.com</t>
  </si>
  <si>
    <t>NCNS</t>
  </si>
  <si>
    <t>Nourhan Khafagy</t>
  </si>
  <si>
    <t>nourhan.khafagy@capgemini.com</t>
  </si>
  <si>
    <t>First Day</t>
  </si>
  <si>
    <t>Berta Hanna</t>
  </si>
  <si>
    <t>berta.hanna@capgemini.com</t>
  </si>
  <si>
    <t>Attended L</t>
  </si>
  <si>
    <t>Home exception</t>
  </si>
  <si>
    <t xml:space="preserve">Mohamed Elaidi
 </t>
  </si>
  <si>
    <t xml:space="preserve">mohamed.elaidi@capgemini.com
 </t>
  </si>
  <si>
    <t xml:space="preserve">Late </t>
  </si>
  <si>
    <t xml:space="preserve">Ahmed Farag
 </t>
  </si>
  <si>
    <t>Ahmed</t>
  </si>
  <si>
    <t>Farag</t>
  </si>
  <si>
    <t xml:space="preserve">ahmed.farag@capgemini.com
 </t>
  </si>
  <si>
    <t>30 min Site / 15 min HO - late</t>
  </si>
  <si>
    <t>Mohamed Abdelgawad</t>
  </si>
  <si>
    <t>Mohamed</t>
  </si>
  <si>
    <t>Abdelgawad</t>
  </si>
  <si>
    <t>mohamed.abdelgawad@capgemini.com</t>
  </si>
  <si>
    <t>Home Office Issue</t>
  </si>
  <si>
    <t>Rawan Fadli</t>
  </si>
  <si>
    <t>Rawan</t>
  </si>
  <si>
    <t>Fadli</t>
  </si>
  <si>
    <t>rawan.fadli@capgemini.com</t>
  </si>
  <si>
    <t>Alaa Madkour</t>
  </si>
  <si>
    <t>Alaa</t>
  </si>
  <si>
    <t>Madkour</t>
  </si>
  <si>
    <t>alaa.madkour@capgemini.com</t>
  </si>
  <si>
    <t>QA Analyst</t>
  </si>
  <si>
    <t>Hagar El-sayed</t>
  </si>
  <si>
    <t>El-sayed</t>
  </si>
  <si>
    <t>hagar.el-sayed@capgemini.com</t>
  </si>
  <si>
    <t>Mohamed Mosa</t>
  </si>
  <si>
    <t>mohamed.mosa@capgemini.com</t>
  </si>
  <si>
    <t>Team Leader</t>
  </si>
  <si>
    <t>Nour Mahmoud</t>
  </si>
  <si>
    <t>nour.a.mahmoud@capgemini.com</t>
  </si>
  <si>
    <t>Knowledge Editor</t>
  </si>
  <si>
    <t>Aya Magd-el-din</t>
  </si>
  <si>
    <t>aya.magd-el-din@capgemini.com</t>
  </si>
  <si>
    <t>Ahmed Elbambi</t>
  </si>
  <si>
    <t>elbambi</t>
  </si>
  <si>
    <t>ahmed.elbambi@capgemini.com</t>
  </si>
  <si>
    <t>Mohamed Ibrahim</t>
  </si>
  <si>
    <t>mohamed.e.ibrahim@capgemini.com</t>
  </si>
  <si>
    <t>Home Office Issue - Attendend</t>
  </si>
  <si>
    <t>Banan Elsayed</t>
  </si>
  <si>
    <t>banan.elsayed@capgemini.com</t>
  </si>
  <si>
    <t>Ahmed aboelfadl</t>
  </si>
  <si>
    <t>ahmed.aboelfadl@capgemini.com</t>
  </si>
  <si>
    <t>Ahmed Abdelgawad</t>
  </si>
  <si>
    <t>ahmed.abdelgawad@capgemini.com</t>
  </si>
  <si>
    <t>Marwan Mohamed</t>
  </si>
  <si>
    <t>marwan.mohamed@capgemini.com</t>
  </si>
  <si>
    <t>Mohamed Mahmoud</t>
  </si>
  <si>
    <t>mohamed.a.mahmoud@capgemini.com</t>
  </si>
  <si>
    <t>Mariam Elmallawany</t>
  </si>
  <si>
    <t>mariam.elmallawany@capgemini.com</t>
  </si>
  <si>
    <t>Arwa Ahmed</t>
  </si>
  <si>
    <t>arwa-ali-ibrahim-elsayed.ahmed@capgemini.com</t>
  </si>
  <si>
    <t>Amany Abdelazim</t>
  </si>
  <si>
    <t>amany.abdelazim@capgemini.com</t>
  </si>
  <si>
    <t>Sarah Mohamed</t>
  </si>
  <si>
    <t>sara.a.mohamed@capgemini.com</t>
  </si>
  <si>
    <t>Dalia Elsabbagh</t>
  </si>
  <si>
    <t>dalia.elsabbagh@capgemini.com</t>
  </si>
  <si>
    <t>Salma Dawaly</t>
  </si>
  <si>
    <t>salma.dawaly@capgemini.com</t>
  </si>
  <si>
    <t>Ammar Yasser</t>
  </si>
  <si>
    <t xml:space="preserve">Attended L </t>
  </si>
  <si>
    <t xml:space="preserve">Amr Kotb </t>
  </si>
  <si>
    <t>amr.kotb@capgemini.com</t>
  </si>
  <si>
    <t>Khaled Abdalgalil</t>
  </si>
  <si>
    <t>khaled.abdelgalil@capgemini.com</t>
  </si>
  <si>
    <t>Adham Alzorkany</t>
  </si>
  <si>
    <t>adham.alzorkany@capgemini.com</t>
  </si>
  <si>
    <t>Reporting Analyst</t>
  </si>
  <si>
    <t>Hagar Abdelhameed</t>
  </si>
  <si>
    <t>Hagar</t>
  </si>
  <si>
    <t>Abdelhameed</t>
  </si>
  <si>
    <t>Basel Mohamed</t>
  </si>
  <si>
    <t xml:space="preserve">Basel </t>
  </si>
  <si>
    <t>Haneen Bekhiet</t>
  </si>
  <si>
    <t>Haneen</t>
  </si>
  <si>
    <t>Bekhiet</t>
  </si>
  <si>
    <t>Oct</t>
  </si>
  <si>
    <t>Ammar Ali</t>
  </si>
  <si>
    <t>ammar.ali@capgemini.com</t>
  </si>
  <si>
    <t>Reporting Analyst - English</t>
  </si>
  <si>
    <t>hagar.abdelhameed@capgemini.com</t>
  </si>
  <si>
    <t>Basel Shalaby</t>
  </si>
  <si>
    <t>bassel.shalaby@capgemini.com</t>
  </si>
  <si>
    <t>Hanin Ahmed</t>
  </si>
  <si>
    <t>hanin.ahmed@capgemini.com</t>
  </si>
  <si>
    <t>Mohamed Safwat</t>
  </si>
  <si>
    <t>Senior SD Analyst</t>
  </si>
  <si>
    <t>Hesham Ali Mostafa</t>
  </si>
  <si>
    <t>Mohamed Badr</t>
  </si>
  <si>
    <t>Merna Ashraf</t>
  </si>
  <si>
    <t>Ziad Waleed Eid</t>
  </si>
  <si>
    <t>Incident Coordinator - English</t>
  </si>
  <si>
    <t>Kyrillos Wagdy</t>
  </si>
  <si>
    <t>Mahmoud Salah</t>
  </si>
  <si>
    <t>Nada Gamal</t>
  </si>
  <si>
    <t>Ahmed Mansour</t>
  </si>
  <si>
    <t>Nada Noeman</t>
  </si>
  <si>
    <t>Got PKI</t>
  </si>
  <si>
    <t>Ibrahim Eltohamy</t>
  </si>
  <si>
    <t>Ibrahim</t>
  </si>
  <si>
    <t>Eltohamy</t>
  </si>
  <si>
    <t>ibrahim.eltohamy@capgemini.com</t>
  </si>
  <si>
    <t>Operation Manager</t>
  </si>
  <si>
    <t>Yes</t>
  </si>
  <si>
    <t>PKI &amp; Readers delivered</t>
  </si>
  <si>
    <t>Batch Nr.</t>
  </si>
  <si>
    <t>Color</t>
  </si>
  <si>
    <t>Count</t>
  </si>
  <si>
    <t>Batch Zero</t>
  </si>
  <si>
    <t>Blue</t>
  </si>
  <si>
    <t>First Batch</t>
  </si>
  <si>
    <t>White</t>
  </si>
  <si>
    <t>Second Batch</t>
  </si>
  <si>
    <t>Yellow</t>
  </si>
  <si>
    <t>Total</t>
  </si>
  <si>
    <t>Only Readers / No PKI</t>
  </si>
  <si>
    <t>Location</t>
  </si>
  <si>
    <t>Locker</t>
  </si>
  <si>
    <t xml:space="preserve">Software Team ( Amina) </t>
  </si>
  <si>
    <t>3rd Floor</t>
  </si>
  <si>
    <t>CAI/CFC/TF/L168</t>
  </si>
  <si>
    <t>By CAP deliverd</t>
  </si>
  <si>
    <t>Delivered</t>
  </si>
  <si>
    <t>Hagar Abdelahmeed</t>
  </si>
  <si>
    <t>User ID</t>
  </si>
  <si>
    <t>First Name (Vorname)</t>
  </si>
  <si>
    <t>Last Name (Nachname)</t>
  </si>
  <si>
    <t>U9J02H5</t>
  </si>
  <si>
    <t>Mostafa</t>
  </si>
  <si>
    <t>WAKZGGC</t>
  </si>
  <si>
    <t>Aya</t>
  </si>
  <si>
    <t>Magd El Din</t>
  </si>
  <si>
    <t>FPBPF8W</t>
  </si>
  <si>
    <t>Banan</t>
  </si>
  <si>
    <t>Elsayed</t>
  </si>
  <si>
    <t>WZX47NC</t>
  </si>
  <si>
    <t>Berta</t>
  </si>
  <si>
    <t>Hanna</t>
  </si>
  <si>
    <t>WE805RT</t>
  </si>
  <si>
    <t>Dalia</t>
  </si>
  <si>
    <t>Elsabbagh</t>
  </si>
  <si>
    <t>SUZ07XB</t>
  </si>
  <si>
    <t>Gamal</t>
  </si>
  <si>
    <t>Sayed</t>
  </si>
  <si>
    <t>AOF807Y</t>
  </si>
  <si>
    <t>El Sayed</t>
  </si>
  <si>
    <t>DD7XTEL</t>
  </si>
  <si>
    <t>Hossam</t>
  </si>
  <si>
    <t>Zeid</t>
  </si>
  <si>
    <t>DD5MZF4</t>
  </si>
  <si>
    <t>FCLIXHX</t>
  </si>
  <si>
    <t>Khaled</t>
  </si>
  <si>
    <t>Abdelgalil</t>
  </si>
  <si>
    <t>AKFANTM</t>
  </si>
  <si>
    <t>MARWAN</t>
  </si>
  <si>
    <t>SHZ3N3G</t>
  </si>
  <si>
    <t>Dahesh</t>
  </si>
  <si>
    <t>D5FM025</t>
  </si>
  <si>
    <t>MOHAMED</t>
  </si>
  <si>
    <t>Mahmoud</t>
  </si>
  <si>
    <t>S0KF264</t>
  </si>
  <si>
    <t>Makram</t>
  </si>
  <si>
    <t>FRJT8J7</t>
  </si>
  <si>
    <t>Mariam</t>
  </si>
  <si>
    <t>ElMallawany</t>
  </si>
  <si>
    <t>F44MPLE</t>
  </si>
  <si>
    <t>Mennatallah</t>
  </si>
  <si>
    <t>Said</t>
  </si>
  <si>
    <t>AY3E5FG</t>
  </si>
  <si>
    <t>GLPM75N</t>
  </si>
  <si>
    <t>Elaidi</t>
  </si>
  <si>
    <t>GPBEA02</t>
  </si>
  <si>
    <t>Mosa</t>
  </si>
  <si>
    <t>V04RESW</t>
  </si>
  <si>
    <t>V2Z28TH</t>
  </si>
  <si>
    <t>Nour</t>
  </si>
  <si>
    <t>VBU79CS</t>
  </si>
  <si>
    <t>Adham</t>
  </si>
  <si>
    <t>Alzorkany</t>
  </si>
  <si>
    <t>EAQRWG2</t>
  </si>
  <si>
    <t>Elbambi</t>
  </si>
  <si>
    <t>FQF04P5</t>
  </si>
  <si>
    <t>UDJ6NHO</t>
  </si>
  <si>
    <t>Aboelfadl</t>
  </si>
  <si>
    <t>WIU5ZKQ</t>
  </si>
  <si>
    <t>GX0SJ0M</t>
  </si>
  <si>
    <t>FW0143S</t>
  </si>
  <si>
    <t>Amany</t>
  </si>
  <si>
    <t>Abdelazim</t>
  </si>
  <si>
    <t>FZNKYP7</t>
  </si>
  <si>
    <t>Ammar</t>
  </si>
  <si>
    <t>Ali</t>
  </si>
  <si>
    <t>E9DMB6E</t>
  </si>
  <si>
    <t>Amr</t>
  </si>
  <si>
    <t>Kotb</t>
  </si>
  <si>
    <t>S6QJXDN</t>
  </si>
  <si>
    <t>Arwa Ali Ibrahim Elsayed</t>
  </si>
  <si>
    <t>D6FFP6G</t>
  </si>
  <si>
    <t>Nourhan</t>
  </si>
  <si>
    <t>Khafagy</t>
  </si>
  <si>
    <t>WR5J65C</t>
  </si>
  <si>
    <t>TL9KT77</t>
  </si>
  <si>
    <t>Salma</t>
  </si>
  <si>
    <t>Dawaly</t>
  </si>
  <si>
    <t>AMFH75T</t>
  </si>
  <si>
    <t>Sara</t>
  </si>
  <si>
    <t>UUFA6I4</t>
  </si>
  <si>
    <t>Shahd</t>
  </si>
  <si>
    <t>Hassan</t>
  </si>
  <si>
    <t>Tracker</t>
  </si>
  <si>
    <t>Audi and Volkswagen EHD - SD Transition - Audi Onboarding Tracker - All Items</t>
  </si>
  <si>
    <t>DL</t>
  </si>
  <si>
    <t xml:space="preserve">cisvw.eg@capgemini.com 
 </t>
  </si>
  <si>
    <t>KW</t>
  </si>
  <si>
    <t>Wave</t>
  </si>
  <si>
    <t>Mon 21/9</t>
  </si>
  <si>
    <t>Tue 22/9</t>
  </si>
  <si>
    <t>Wed 23/9</t>
  </si>
  <si>
    <t>Thu 24/9</t>
  </si>
  <si>
    <t>Fri 25/9</t>
  </si>
  <si>
    <t>Sat 26/9</t>
  </si>
  <si>
    <t>Sun 27/9</t>
  </si>
  <si>
    <t>0900-1800</t>
  </si>
  <si>
    <t>Green</t>
  </si>
  <si>
    <t>Site</t>
  </si>
  <si>
    <t xml:space="preserve">White </t>
  </si>
  <si>
    <t>Home</t>
  </si>
  <si>
    <t>Home Exception</t>
  </si>
  <si>
    <t>Mon 28/9</t>
  </si>
  <si>
    <t>Tue 29/9</t>
  </si>
  <si>
    <t>Wed 30/9</t>
  </si>
  <si>
    <t>Thu 01/10</t>
  </si>
  <si>
    <t>Fri 02/10</t>
  </si>
  <si>
    <t>Sat 03/10</t>
  </si>
  <si>
    <t>Sun 04/10</t>
  </si>
  <si>
    <t>Amany Hassan</t>
  </si>
  <si>
    <t>Sarah Abdelwahid</t>
  </si>
  <si>
    <t>Mon 05/10</t>
  </si>
  <si>
    <t>Tue 06/10</t>
  </si>
  <si>
    <t>Wed 07/10</t>
  </si>
  <si>
    <t>Thu 0810</t>
  </si>
  <si>
    <t>Fri 09/10</t>
  </si>
  <si>
    <t>Sat 10/10</t>
  </si>
  <si>
    <t>Sun 11/10</t>
  </si>
  <si>
    <t>Task</t>
  </si>
  <si>
    <t>Shadowing + Recap</t>
  </si>
  <si>
    <t>Training</t>
  </si>
  <si>
    <t>Mon 12/10</t>
  </si>
  <si>
    <t>Tue 13/10</t>
  </si>
  <si>
    <t>Wed 14/10</t>
  </si>
  <si>
    <t>Thu 15/10</t>
  </si>
  <si>
    <t>Fri 16/10</t>
  </si>
  <si>
    <t>Sat 17/10</t>
  </si>
  <si>
    <t>Sun 18/10</t>
  </si>
  <si>
    <t>Training / Shadowing</t>
  </si>
  <si>
    <t>Date</t>
  </si>
  <si>
    <t>Room</t>
  </si>
  <si>
    <t>Floor</t>
  </si>
  <si>
    <t>Duration</t>
  </si>
  <si>
    <t>Capacity</t>
  </si>
  <si>
    <t>Comments</t>
  </si>
  <si>
    <t>Training Room</t>
  </si>
  <si>
    <t>3rd</t>
  </si>
  <si>
    <t>0900-1330 &amp; 1500-1800</t>
  </si>
  <si>
    <t>Luxor</t>
  </si>
  <si>
    <t>1330 - 1500</t>
  </si>
  <si>
    <t>Turing</t>
  </si>
  <si>
    <t>5th</t>
  </si>
  <si>
    <t>0900- 1800</t>
  </si>
  <si>
    <t>4th</t>
  </si>
  <si>
    <t>0900- 1100 &amp; 1200 - 1800</t>
  </si>
  <si>
    <t>1100- 1200</t>
  </si>
  <si>
    <t>0900- 1100</t>
  </si>
  <si>
    <t>1100- 1800</t>
  </si>
  <si>
    <t>28-29 Sep</t>
  </si>
  <si>
    <t>01-02 Oct</t>
  </si>
  <si>
    <t>0900- 1200</t>
  </si>
  <si>
    <t>11-12 Pause due room booking</t>
  </si>
  <si>
    <t>Laptop received</t>
  </si>
  <si>
    <t>Attended Training</t>
  </si>
  <si>
    <t>MS Teams</t>
  </si>
  <si>
    <t>Marwan</t>
  </si>
  <si>
    <t>Mohamed Elaidi</t>
  </si>
  <si>
    <t>mohamed.elaidi@capgemini.com</t>
  </si>
  <si>
    <t>Ahmed Farag</t>
  </si>
  <si>
    <t>ahmed.farag@capgemini.com</t>
  </si>
  <si>
    <t>Rowan Fadli</t>
  </si>
  <si>
    <t>Rowan</t>
  </si>
  <si>
    <t>Noura Mahmoud</t>
  </si>
  <si>
    <t>Noura</t>
  </si>
  <si>
    <t>Magd-el-din</t>
  </si>
  <si>
    <t>Ahmed Galal aboelfadl</t>
  </si>
  <si>
    <t>aboelfadl</t>
  </si>
  <si>
    <t>Mohamed Ezzat</t>
  </si>
  <si>
    <t>Ezzat</t>
  </si>
  <si>
    <t>Elmallawany</t>
  </si>
  <si>
    <t>Arwa Ali</t>
  </si>
  <si>
    <t>Arwa</t>
  </si>
  <si>
    <t>N/A</t>
  </si>
  <si>
    <t>mohamed.k.ahmed@capgemini.com</t>
  </si>
  <si>
    <t>No</t>
  </si>
  <si>
    <t>mohamed.a.badr@capgemini.com</t>
  </si>
  <si>
    <t>merna.ashraf@capgemini.com</t>
  </si>
  <si>
    <t>ziad.eid@capgemini.com</t>
  </si>
  <si>
    <t>kyrillos.asaad@capgemini.com</t>
  </si>
  <si>
    <t>mahmoud.salah-shaker-abdelhafez@capgemini.com</t>
  </si>
  <si>
    <t>nada.a.ahmed@capgemini.com</t>
  </si>
  <si>
    <t>Owner</t>
  </si>
  <si>
    <t>Aufgaben</t>
  </si>
  <si>
    <t>Menna</t>
  </si>
  <si>
    <t>Recap</t>
  </si>
  <si>
    <t>Access check (PKI / WBT / Audi Tools)</t>
  </si>
  <si>
    <t>Onboarding rest of the acess</t>
  </si>
  <si>
    <t xml:space="preserve">Menna </t>
  </si>
  <si>
    <t>Update shadowing Plan / Tracker</t>
  </si>
  <si>
    <t>Local Tools (CAP) SF/Citrix/Nexus</t>
  </si>
  <si>
    <t>Attendance + Shadowing</t>
  </si>
  <si>
    <t>Nour / Mosa</t>
  </si>
  <si>
    <t>Back up Training</t>
  </si>
  <si>
    <t>access test guide (KG task)</t>
  </si>
  <si>
    <t>Assessments (IT or 
audi tools, mock calls, etc.)</t>
  </si>
  <si>
    <t>Menna+Mosa</t>
  </si>
  <si>
    <t>Reverse Shadwoing</t>
  </si>
  <si>
    <t>Training + Self study</t>
  </si>
  <si>
    <t>Mostafa + Menna</t>
  </si>
  <si>
    <t>Onboarding rest of Tools</t>
  </si>
  <si>
    <t xml:space="preserve">Mostafa </t>
  </si>
  <si>
    <t xml:space="preserve">Attendance </t>
  </si>
  <si>
    <t>Tools Tracker</t>
  </si>
  <si>
    <t>New comers</t>
  </si>
  <si>
    <t>Onboarding for NH</t>
  </si>
  <si>
    <t>Wave 1</t>
  </si>
  <si>
    <t>No.</t>
  </si>
  <si>
    <t>Full Name</t>
  </si>
  <si>
    <t>First Name</t>
  </si>
  <si>
    <t>Last Name</t>
  </si>
  <si>
    <t>Email Address</t>
  </si>
  <si>
    <t>HCL Training</t>
  </si>
  <si>
    <t>IT Training</t>
  </si>
  <si>
    <t>Shadowing Week 1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</si>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</sst>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charset val="1"/>
    </font>
    <font>
      <i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4D93D9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2CAE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5496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1F4E78"/>
        <bgColor indexed="64"/>
      </patternFill>
    </fill>
    <fill>
      <patternFill patternType="solid">
        <fgColor rgb="FFDAE9F8"/>
        <bgColor rgb="FF000000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D9E2F3"/>
      </bottom>
      <diagonal/>
    </border>
    <border>
      <left/>
      <right/>
      <top style="thin">
        <color rgb="FF9BC2E6"/>
      </top>
      <bottom style="thin">
        <color rgb="FFD9E2F3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8">
    <xf numFmtId="0" fontId="0" fillId="0" borderId="0" xfId="0"/>
    <xf numFmtId="0" fontId="2" fillId="7" borderId="1" xfId="0" applyFont="1" applyFill="1" applyBorder="1" applyAlignment="1">
      <alignment horizontal="center" vertical="center"/>
    </xf>
    <xf numFmtId="16" fontId="2" fillId="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1"/>
    <xf numFmtId="0" fontId="0" fillId="2" borderId="1" xfId="0" applyFill="1" applyBorder="1"/>
    <xf numFmtId="0" fontId="0" fillId="3" borderId="1" xfId="0" applyFill="1" applyBorder="1"/>
    <xf numFmtId="14" fontId="1" fillId="0" borderId="2" xfId="1" applyNumberFormat="1" applyBorder="1" applyAlignment="1">
      <alignment horizontal="center" vertical="center"/>
    </xf>
    <xf numFmtId="14" fontId="0" fillId="0" borderId="0" xfId="0" applyNumberFormat="1"/>
    <xf numFmtId="0" fontId="0" fillId="0" borderId="4" xfId="0" applyBorder="1" applyAlignment="1">
      <alignment horizontal="center" vertical="center"/>
    </xf>
    <xf numFmtId="0" fontId="0" fillId="2" borderId="7" xfId="0" applyFill="1" applyBorder="1"/>
    <xf numFmtId="0" fontId="0" fillId="0" borderId="20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14" fontId="1" fillId="0" borderId="3" xfId="1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2" xfId="0" applyBorder="1"/>
    <xf numFmtId="0" fontId="0" fillId="8" borderId="13" xfId="0" applyFill="1" applyBorder="1"/>
    <xf numFmtId="0" fontId="3" fillId="0" borderId="1" xfId="0" applyFont="1" applyBorder="1" applyAlignment="1">
      <alignment horizontal="center" vertical="center"/>
    </xf>
    <xf numFmtId="16" fontId="3" fillId="0" borderId="15" xfId="0" applyNumberFormat="1" applyFont="1" applyBorder="1" applyAlignment="1">
      <alignment horizontal="center" vertical="center"/>
    </xf>
    <xf numFmtId="16" fontId="3" fillId="0" borderId="5" xfId="0" applyNumberFormat="1" applyFont="1" applyBorder="1" applyAlignment="1">
      <alignment horizontal="center" vertical="center"/>
    </xf>
    <xf numFmtId="16" fontId="0" fillId="0" borderId="15" xfId="0" applyNumberFormat="1" applyBorder="1" applyAlignment="1">
      <alignment horizontal="center" vertical="center"/>
    </xf>
    <xf numFmtId="16" fontId="0" fillId="0" borderId="25" xfId="0" applyNumberFormat="1" applyBorder="1" applyAlignment="1">
      <alignment horizontal="center" vertical="center"/>
    </xf>
    <xf numFmtId="0" fontId="4" fillId="11" borderId="24" xfId="0" applyFont="1" applyFill="1" applyBorder="1" applyAlignment="1">
      <alignment horizontal="center" vertical="center"/>
    </xf>
    <xf numFmtId="0" fontId="4" fillId="11" borderId="23" xfId="0" applyFont="1" applyFill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13" borderId="1" xfId="0" applyFill="1" applyBorder="1"/>
    <xf numFmtId="14" fontId="0" fillId="0" borderId="2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1" fillId="13" borderId="0" xfId="1" applyFill="1" applyBorder="1" applyAlignment="1">
      <alignment horizontal="center" vertical="center"/>
    </xf>
    <xf numFmtId="16" fontId="1" fillId="0" borderId="1" xfId="1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3" borderId="2" xfId="0" applyFill="1" applyBorder="1"/>
    <xf numFmtId="0" fontId="2" fillId="2" borderId="14" xfId="0" applyFont="1" applyFill="1" applyBorder="1"/>
    <xf numFmtId="0" fontId="2" fillId="0" borderId="5" xfId="0" applyFont="1" applyBorder="1"/>
    <xf numFmtId="0" fontId="2" fillId="8" borderId="5" xfId="0" applyFont="1" applyFill="1" applyBorder="1"/>
    <xf numFmtId="0" fontId="0" fillId="9" borderId="1" xfId="0" applyFill="1" applyBorder="1" applyAlignment="1">
      <alignment horizontal="center"/>
    </xf>
    <xf numFmtId="0" fontId="0" fillId="0" borderId="30" xfId="0" applyBorder="1"/>
    <xf numFmtId="0" fontId="0" fillId="8" borderId="1" xfId="0" applyFill="1" applyBorder="1"/>
    <xf numFmtId="0" fontId="2" fillId="15" borderId="30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2" fillId="2" borderId="6" xfId="0" applyFont="1" applyFill="1" applyBorder="1"/>
    <xf numFmtId="0" fontId="2" fillId="0" borderId="8" xfId="0" applyFont="1" applyBorder="1"/>
    <xf numFmtId="0" fontId="2" fillId="8" borderId="31" xfId="0" applyFont="1" applyFill="1" applyBorder="1"/>
    <xf numFmtId="0" fontId="2" fillId="7" borderId="0" xfId="0" applyFont="1" applyFill="1"/>
    <xf numFmtId="16" fontId="0" fillId="9" borderId="1" xfId="0" applyNumberFormat="1" applyFill="1" applyBorder="1" applyAlignment="1">
      <alignment horizontal="center" vertical="center"/>
    </xf>
    <xf numFmtId="16" fontId="2" fillId="7" borderId="2" xfId="0" applyNumberFormat="1" applyFont="1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6" fillId="0" borderId="0" xfId="0" applyFont="1" applyAlignment="1">
      <alignment horizontal="center"/>
    </xf>
    <xf numFmtId="16" fontId="1" fillId="0" borderId="15" xfId="1" applyNumberFormat="1" applyBorder="1" applyAlignment="1">
      <alignment horizontal="center" vertical="center"/>
    </xf>
    <xf numFmtId="0" fontId="7" fillId="0" borderId="1" xfId="0" applyFont="1" applyBorder="1"/>
    <xf numFmtId="0" fontId="1" fillId="0" borderId="25" xfId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1" fillId="0" borderId="1" xfId="1" applyNumberForma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1" fillId="13" borderId="1" xfId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17" borderId="1" xfId="1" applyFill="1" applyBorder="1" applyAlignment="1">
      <alignment horizontal="center" vertical="center"/>
    </xf>
    <xf numFmtId="0" fontId="2" fillId="20" borderId="0" xfId="0" applyFont="1" applyFill="1"/>
    <xf numFmtId="0" fontId="2" fillId="20" borderId="1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0" fillId="0" borderId="9" xfId="0" applyBorder="1"/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0" fillId="22" borderId="34" xfId="0" applyFill="1" applyBorder="1" applyAlignment="1">
      <alignment horizontal="center" vertical="center"/>
    </xf>
    <xf numFmtId="0" fontId="0" fillId="22" borderId="35" xfId="0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0" fillId="22" borderId="38" xfId="0" applyFill="1" applyBorder="1" applyAlignment="1">
      <alignment horizontal="center" vertical="center"/>
    </xf>
    <xf numFmtId="0" fontId="8" fillId="24" borderId="9" xfId="0" applyFont="1" applyFill="1" applyBorder="1" applyAlignment="1">
      <alignment horizontal="center"/>
    </xf>
    <xf numFmtId="0" fontId="8" fillId="25" borderId="0" xfId="0" applyFont="1" applyFill="1" applyAlignment="1">
      <alignment horizontal="center"/>
    </xf>
    <xf numFmtId="0" fontId="8" fillId="27" borderId="0" xfId="0" applyFont="1" applyFill="1" applyAlignment="1">
      <alignment horizontal="center"/>
    </xf>
    <xf numFmtId="0" fontId="8" fillId="28" borderId="0" xfId="0" applyFont="1" applyFill="1" applyAlignment="1">
      <alignment horizontal="center"/>
    </xf>
    <xf numFmtId="0" fontId="8" fillId="26" borderId="0" xfId="0" applyFont="1" applyFill="1" applyAlignment="1">
      <alignment horizontal="center"/>
    </xf>
    <xf numFmtId="0" fontId="0" fillId="15" borderId="16" xfId="0" applyFill="1" applyBorder="1" applyAlignment="1">
      <alignment horizontal="center" vertical="center"/>
    </xf>
    <xf numFmtId="0" fontId="0" fillId="29" borderId="33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24" borderId="0" xfId="0" applyFont="1" applyFill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0" fillId="15" borderId="34" xfId="0" applyFill="1" applyBorder="1" applyAlignment="1">
      <alignment horizontal="center" vertical="center"/>
    </xf>
    <xf numFmtId="0" fontId="0" fillId="21" borderId="24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1" borderId="15" xfId="0" applyFill="1" applyBorder="1" applyAlignment="1">
      <alignment horizontal="center"/>
    </xf>
    <xf numFmtId="0" fontId="0" fillId="23" borderId="39" xfId="0" applyFill="1" applyBorder="1" applyAlignment="1">
      <alignment horizontal="center"/>
    </xf>
    <xf numFmtId="0" fontId="0" fillId="23" borderId="5" xfId="0" applyFill="1" applyBorder="1" applyAlignment="1">
      <alignment horizontal="center"/>
    </xf>
    <xf numFmtId="0" fontId="2" fillId="7" borderId="40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2" fillId="20" borderId="0" xfId="0" applyFont="1" applyFill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1" fillId="0" borderId="0" xfId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" fillId="0" borderId="1" xfId="1" applyBorder="1" applyAlignment="1"/>
    <xf numFmtId="0" fontId="1" fillId="0" borderId="1" xfId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9" fillId="30" borderId="42" xfId="0" applyFont="1" applyFill="1" applyBorder="1"/>
    <xf numFmtId="0" fontId="9" fillId="30" borderId="43" xfId="0" applyFont="1" applyFill="1" applyBorder="1"/>
    <xf numFmtId="0" fontId="10" fillId="31" borderId="42" xfId="0" applyFont="1" applyFill="1" applyBorder="1"/>
    <xf numFmtId="0" fontId="10" fillId="31" borderId="43" xfId="0" applyFont="1" applyFill="1" applyBorder="1"/>
    <xf numFmtId="0" fontId="10" fillId="0" borderId="42" xfId="0" applyFont="1" applyBorder="1"/>
    <xf numFmtId="0" fontId="10" fillId="0" borderId="43" xfId="0" applyFont="1" applyBorder="1"/>
    <xf numFmtId="0" fontId="10" fillId="31" borderId="44" xfId="0" applyFont="1" applyFill="1" applyBorder="1"/>
    <xf numFmtId="0" fontId="10" fillId="31" borderId="45" xfId="0" applyFont="1" applyFill="1" applyBorder="1"/>
    <xf numFmtId="0" fontId="12" fillId="32" borderId="0" xfId="0" applyFont="1" applyFill="1" applyAlignment="1">
      <alignment horizontal="center"/>
    </xf>
    <xf numFmtId="0" fontId="1" fillId="0" borderId="0" xfId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" fillId="0" borderId="4" xfId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28" xfId="0" applyBorder="1"/>
    <xf numFmtId="0" fontId="0" fillId="0" borderId="33" xfId="0" applyBorder="1"/>
    <xf numFmtId="0" fontId="0" fillId="0" borderId="11" xfId="0" applyBorder="1"/>
    <xf numFmtId="0" fontId="0" fillId="23" borderId="46" xfId="0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13" borderId="3" xfId="0" applyFill="1" applyBorder="1"/>
    <xf numFmtId="0" fontId="0" fillId="13" borderId="15" xfId="0" applyFill="1" applyBorder="1"/>
    <xf numFmtId="0" fontId="0" fillId="13" borderId="32" xfId="0" applyFill="1" applyBorder="1"/>
    <xf numFmtId="0" fontId="0" fillId="13" borderId="25" xfId="0" applyFill="1" applyBorder="1"/>
    <xf numFmtId="0" fontId="0" fillId="13" borderId="4" xfId="0" applyFill="1" applyBorder="1"/>
    <xf numFmtId="0" fontId="0" fillId="13" borderId="20" xfId="0" applyFill="1" applyBorder="1"/>
    <xf numFmtId="0" fontId="10" fillId="0" borderId="4" xfId="0" applyFont="1" applyBorder="1" applyAlignment="1">
      <alignment horizontal="center" vertical="center" wrapText="1"/>
    </xf>
    <xf numFmtId="16" fontId="0" fillId="0" borderId="4" xfId="0" applyNumberFormat="1" applyBorder="1" applyAlignment="1">
      <alignment horizontal="center" vertical="center"/>
    </xf>
    <xf numFmtId="0" fontId="0" fillId="13" borderId="26" xfId="0" applyFill="1" applyBorder="1" applyAlignment="1">
      <alignment vertical="center"/>
    </xf>
    <xf numFmtId="0" fontId="0" fillId="13" borderId="24" xfId="0" applyFill="1" applyBorder="1" applyAlignment="1">
      <alignment vertical="center"/>
    </xf>
    <xf numFmtId="0" fontId="0" fillId="13" borderId="30" xfId="0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13" borderId="23" xfId="0" applyFill="1" applyBorder="1" applyAlignment="1">
      <alignment vertical="center"/>
    </xf>
    <xf numFmtId="0" fontId="4" fillId="3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6" xfId="0" applyBorder="1"/>
    <xf numFmtId="0" fontId="0" fillId="0" borderId="22" xfId="0" applyBorder="1"/>
    <xf numFmtId="0" fontId="0" fillId="8" borderId="3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13" borderId="1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11" fillId="3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525"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4D93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theme="2" tint="-0.249977111117893"/>
        </patternFill>
      </fill>
    </dxf>
  </dxfs>
  <tableStyles count="0" defaultTableStyle="TableStyleMedium2" defaultPivotStyle="PivotStyleMedium9"/>
  <colors>
    <mruColors>
      <color rgb="FFF549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1DD795-E3E1-4B82-A114-4E0AE2A57125}" name="Table1" displayName="Table1" ref="A1:F25" totalsRowShown="0" headerRowDxfId="68" dataDxfId="67" headerRowBorderDxfId="65" tableBorderDxfId="66">
  <tableColumns count="6">
    <tableColumn id="1" xr3:uid="{DE4CFB1F-D694-4442-BFFA-456CD69644E9}" name="Date"/>
    <tableColumn id="2" xr3:uid="{5001E67C-8AB5-41A5-9AEE-272B1309FD91}" name="Room" dataDxfId="64"/>
    <tableColumn id="3" xr3:uid="{59FF3EDF-C98F-43FA-B365-6A4DB987DF5C}" name="Floor" dataDxfId="63"/>
    <tableColumn id="4" xr3:uid="{43F234C7-408C-4A8D-9732-3E52603E10B9}" name="Duration" dataDxfId="62"/>
    <tableColumn id="5" xr3:uid="{BB7A2B26-631B-476F-83DB-2CC0A4EA7A59}" name="Capacity" dataDxfId="61"/>
    <tableColumn id="6" xr3:uid="{59F91D77-B92A-438D-8899-376D96B7869F}" name="Comments" dataDxfId="6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hmed.aboelfadl@capgemini.com" TargetMode="External"/><Relationship Id="rId21" Type="http://schemas.openxmlformats.org/officeDocument/2006/relationships/hyperlink" Target="mailto:mariam.elmallawany@capgemini.com" TargetMode="External"/><Relationship Id="rId42" Type="http://schemas.openxmlformats.org/officeDocument/2006/relationships/hyperlink" Target="mailto:nour.a.mahmoud@capgemini.com" TargetMode="External"/><Relationship Id="rId47" Type="http://schemas.openxmlformats.org/officeDocument/2006/relationships/hyperlink" Target="mailto:mariam.elmallawany@capgemini.com" TargetMode="External"/><Relationship Id="rId63" Type="http://schemas.openxmlformats.org/officeDocument/2006/relationships/hyperlink" Target="mailto:salma.dawaly@capgemini.com" TargetMode="External"/><Relationship Id="rId68" Type="http://schemas.openxmlformats.org/officeDocument/2006/relationships/hyperlink" Target="mailto:bassel.shalaby@capgemini.com" TargetMode="External"/><Relationship Id="rId7" Type="http://schemas.openxmlformats.org/officeDocument/2006/relationships/hyperlink" Target="mailto:marwan.dahesh@capgemini.com" TargetMode="External"/><Relationship Id="rId71" Type="http://schemas.openxmlformats.org/officeDocument/2006/relationships/vmlDrawing" Target="../drawings/vmlDrawing1.vml"/><Relationship Id="rId2" Type="http://schemas.openxmlformats.org/officeDocument/2006/relationships/hyperlink" Target="mailto:mostafa.mostafa@capgemini.com" TargetMode="External"/><Relationship Id="rId16" Type="http://schemas.openxmlformats.org/officeDocument/2006/relationships/hyperlink" Target="mailto:nour.a.mahmoud@capgemini.com" TargetMode="External"/><Relationship Id="rId29" Type="http://schemas.openxmlformats.org/officeDocument/2006/relationships/hyperlink" Target="mailto:mostafa.mostafa@capgemini.com" TargetMode="External"/><Relationship Id="rId11" Type="http://schemas.openxmlformats.org/officeDocument/2006/relationships/hyperlink" Target="mailto:alaa.madkour@capgemini.com" TargetMode="External"/><Relationship Id="rId24" Type="http://schemas.openxmlformats.org/officeDocument/2006/relationships/hyperlink" Target="mailto:mohamed.a.mahmoud@capgemini.com" TargetMode="External"/><Relationship Id="rId32" Type="http://schemas.openxmlformats.org/officeDocument/2006/relationships/hyperlink" Target="mailto:mohamed.makram@capgemini.com" TargetMode="External"/><Relationship Id="rId37" Type="http://schemas.openxmlformats.org/officeDocument/2006/relationships/hyperlink" Target="mailto:alaa.madkour@capgemini.com" TargetMode="External"/><Relationship Id="rId40" Type="http://schemas.openxmlformats.org/officeDocument/2006/relationships/hyperlink" Target="mailto:mohamed.abdelgawad@capgemini.com" TargetMode="External"/><Relationship Id="rId45" Type="http://schemas.openxmlformats.org/officeDocument/2006/relationships/hyperlink" Target="mailto:ahmed.abdelgawad@capgemini.com" TargetMode="External"/><Relationship Id="rId53" Type="http://schemas.openxmlformats.org/officeDocument/2006/relationships/hyperlink" Target="mailto:ahmed.elbambi@capgemini.com" TargetMode="External"/><Relationship Id="rId58" Type="http://schemas.openxmlformats.org/officeDocument/2006/relationships/hyperlink" Target="mailto:khaled.abdelgalil@capgemini.com" TargetMode="External"/><Relationship Id="rId66" Type="http://schemas.openxmlformats.org/officeDocument/2006/relationships/hyperlink" Target="mailto:dalia.elsabbagh@capgemini.com" TargetMode="External"/><Relationship Id="rId5" Type="http://schemas.openxmlformats.org/officeDocument/2006/relationships/hyperlink" Target="mailto:mohamed.makram@capgemini.com" TargetMode="External"/><Relationship Id="rId61" Type="http://schemas.openxmlformats.org/officeDocument/2006/relationships/hyperlink" Target="mailto:amr.kotb@capgemini.com" TargetMode="External"/><Relationship Id="rId19" Type="http://schemas.openxmlformats.org/officeDocument/2006/relationships/hyperlink" Target="mailto:ahmed.abdelgawad@capgemini.com" TargetMode="External"/><Relationship Id="rId14" Type="http://schemas.openxmlformats.org/officeDocument/2006/relationships/hyperlink" Target="mailto:mohamed.abdelgawad@capgemini.com" TargetMode="External"/><Relationship Id="rId22" Type="http://schemas.openxmlformats.org/officeDocument/2006/relationships/hyperlink" Target="mailto:mohamed.e.ibrahim@capgemini.com" TargetMode="External"/><Relationship Id="rId27" Type="http://schemas.openxmlformats.org/officeDocument/2006/relationships/hyperlink" Target="mailto:ahmed.elbambi@capgemini.com" TargetMode="External"/><Relationship Id="rId30" Type="http://schemas.openxmlformats.org/officeDocument/2006/relationships/hyperlink" Target="mailto:gamal.sayed@capgemini.com" TargetMode="External"/><Relationship Id="rId35" Type="http://schemas.openxmlformats.org/officeDocument/2006/relationships/hyperlink" Target="mailto:nourhan.khafagy@capgemini.com" TargetMode="External"/><Relationship Id="rId43" Type="http://schemas.openxmlformats.org/officeDocument/2006/relationships/hyperlink" Target="mailto:aya.magd-el-din@capgemini.com" TargetMode="External"/><Relationship Id="rId48" Type="http://schemas.openxmlformats.org/officeDocument/2006/relationships/hyperlink" Target="mailto:mohamed.e.ibrahim@capgemini.com" TargetMode="External"/><Relationship Id="rId56" Type="http://schemas.openxmlformats.org/officeDocument/2006/relationships/hyperlink" Target="mailto:salma.dawaly@capgemini.com" TargetMode="External"/><Relationship Id="rId64" Type="http://schemas.openxmlformats.org/officeDocument/2006/relationships/hyperlink" Target="mailto:amany.abdelazim@capgemini.com" TargetMode="External"/><Relationship Id="rId69" Type="http://schemas.openxmlformats.org/officeDocument/2006/relationships/hyperlink" Target="mailto:hanin.ahmed@capgemini.com" TargetMode="External"/><Relationship Id="rId8" Type="http://schemas.openxmlformats.org/officeDocument/2006/relationships/hyperlink" Target="mailto:shahd.hassan@capgemini.com" TargetMode="External"/><Relationship Id="rId51" Type="http://schemas.openxmlformats.org/officeDocument/2006/relationships/hyperlink" Target="mailto:mohamed.mosa@capgemini.com" TargetMode="External"/><Relationship Id="rId72" Type="http://schemas.openxmlformats.org/officeDocument/2006/relationships/comments" Target="../comments1.xml"/><Relationship Id="rId3" Type="http://schemas.openxmlformats.org/officeDocument/2006/relationships/hyperlink" Target="mailto:gamal.sayed@capgemini.com" TargetMode="External"/><Relationship Id="rId12" Type="http://schemas.openxmlformats.org/officeDocument/2006/relationships/hyperlink" Target="mailto:mohamed.abdelgawad@capgemini.com" TargetMode="External"/><Relationship Id="rId17" Type="http://schemas.openxmlformats.org/officeDocument/2006/relationships/hyperlink" Target="mailto:aya.magd-el-din@capgemini.com" TargetMode="External"/><Relationship Id="rId25" Type="http://schemas.openxmlformats.org/officeDocument/2006/relationships/hyperlink" Target="mailto:mohamed.mosa@capgemini.com" TargetMode="External"/><Relationship Id="rId33" Type="http://schemas.openxmlformats.org/officeDocument/2006/relationships/hyperlink" Target="mailto:marwan.dahesh@capgemini.com" TargetMode="External"/><Relationship Id="rId38" Type="http://schemas.openxmlformats.org/officeDocument/2006/relationships/hyperlink" Target="mailto:mohamed.abdelgawad@capgemini.com" TargetMode="External"/><Relationship Id="rId46" Type="http://schemas.openxmlformats.org/officeDocument/2006/relationships/hyperlink" Target="mailto:marwan.mohamed@capgemini.com" TargetMode="External"/><Relationship Id="rId59" Type="http://schemas.openxmlformats.org/officeDocument/2006/relationships/hyperlink" Target="mailto:dalia.elsabbagh@capgemini.com" TargetMode="External"/><Relationship Id="rId67" Type="http://schemas.openxmlformats.org/officeDocument/2006/relationships/hyperlink" Target="mailto:ammar.ali@capgemini.com" TargetMode="External"/><Relationship Id="rId20" Type="http://schemas.openxmlformats.org/officeDocument/2006/relationships/hyperlink" Target="mailto:marwan.mohamed@capgemini.com" TargetMode="External"/><Relationship Id="rId41" Type="http://schemas.openxmlformats.org/officeDocument/2006/relationships/hyperlink" Target="mailto:hagar.el-sayed@capgemini.com" TargetMode="External"/><Relationship Id="rId54" Type="http://schemas.openxmlformats.org/officeDocument/2006/relationships/hyperlink" Target="mailto:amr.kotb@capgemini.com" TargetMode="External"/><Relationship Id="rId62" Type="http://schemas.openxmlformats.org/officeDocument/2006/relationships/hyperlink" Target="mailto:sara.a.mohamed@capgemini.com" TargetMode="External"/><Relationship Id="rId70" Type="http://schemas.openxmlformats.org/officeDocument/2006/relationships/hyperlink" Target="mailto:hagar.abdelhameed@capgemini.com" TargetMode="External"/><Relationship Id="rId1" Type="http://schemas.openxmlformats.org/officeDocument/2006/relationships/hyperlink" Target="mailto:mennatallah.said@capgemini.com" TargetMode="External"/><Relationship Id="rId6" Type="http://schemas.openxmlformats.org/officeDocument/2006/relationships/hyperlink" Target="mailto:adham.alzorkany@capgemini.com" TargetMode="External"/><Relationship Id="rId15" Type="http://schemas.openxmlformats.org/officeDocument/2006/relationships/hyperlink" Target="mailto:hagar.el-sayed@capgemini.com" TargetMode="External"/><Relationship Id="rId23" Type="http://schemas.openxmlformats.org/officeDocument/2006/relationships/hyperlink" Target="mailto:arwa-ali-ibrahim-elsayed.ahmed@capgemini.com" TargetMode="External"/><Relationship Id="rId28" Type="http://schemas.openxmlformats.org/officeDocument/2006/relationships/hyperlink" Target="mailto:mennatallah.said@capgemini.com" TargetMode="External"/><Relationship Id="rId36" Type="http://schemas.openxmlformats.org/officeDocument/2006/relationships/hyperlink" Target="mailto:berta.hanna@capgemini.com" TargetMode="External"/><Relationship Id="rId49" Type="http://schemas.openxmlformats.org/officeDocument/2006/relationships/hyperlink" Target="mailto:arwa-ali-ibrahim-elsayed.ahmed@capgemini.com" TargetMode="External"/><Relationship Id="rId57" Type="http://schemas.openxmlformats.org/officeDocument/2006/relationships/hyperlink" Target="mailto:amany.abdelazim@capgemini.com" TargetMode="External"/><Relationship Id="rId10" Type="http://schemas.openxmlformats.org/officeDocument/2006/relationships/hyperlink" Target="mailto:berta.hanna@capgemini.com" TargetMode="External"/><Relationship Id="rId31" Type="http://schemas.openxmlformats.org/officeDocument/2006/relationships/hyperlink" Target="mailto:hossam.zeid@capgemini.com" TargetMode="External"/><Relationship Id="rId44" Type="http://schemas.openxmlformats.org/officeDocument/2006/relationships/hyperlink" Target="mailto:banan.elsayed@capgemini.com" TargetMode="External"/><Relationship Id="rId52" Type="http://schemas.openxmlformats.org/officeDocument/2006/relationships/hyperlink" Target="mailto:ahmed.aboelfadl@capgemini.com" TargetMode="External"/><Relationship Id="rId60" Type="http://schemas.openxmlformats.org/officeDocument/2006/relationships/hyperlink" Target="mailto:adham.alzorkany@capgemini.com" TargetMode="External"/><Relationship Id="rId65" Type="http://schemas.openxmlformats.org/officeDocument/2006/relationships/hyperlink" Target="mailto:khaled.abdelgalil@capgemini.com" TargetMode="External"/><Relationship Id="rId4" Type="http://schemas.openxmlformats.org/officeDocument/2006/relationships/hyperlink" Target="mailto:hossam.zeid@capgemini.com" TargetMode="External"/><Relationship Id="rId9" Type="http://schemas.openxmlformats.org/officeDocument/2006/relationships/hyperlink" Target="mailto:nourhan.khafagy@capgemini.com" TargetMode="External"/><Relationship Id="rId13" Type="http://schemas.openxmlformats.org/officeDocument/2006/relationships/hyperlink" Target="mailto:alaa.madkour@capgemini.com" TargetMode="External"/><Relationship Id="rId18" Type="http://schemas.openxmlformats.org/officeDocument/2006/relationships/hyperlink" Target="mailto:banan.elsayed@capgemini.com" TargetMode="External"/><Relationship Id="rId39" Type="http://schemas.openxmlformats.org/officeDocument/2006/relationships/hyperlink" Target="mailto:alaa.madkour@capgemini.com" TargetMode="External"/><Relationship Id="rId34" Type="http://schemas.openxmlformats.org/officeDocument/2006/relationships/hyperlink" Target="mailto:shahd.hassan@capgemini.com" TargetMode="External"/><Relationship Id="rId50" Type="http://schemas.openxmlformats.org/officeDocument/2006/relationships/hyperlink" Target="mailto:mohamed.a.mahmoud@capgemini.com" TargetMode="External"/><Relationship Id="rId55" Type="http://schemas.openxmlformats.org/officeDocument/2006/relationships/hyperlink" Target="mailto:sara.a.mohamed@capgemini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mohamed.abdelgawad@capgemini.com" TargetMode="External"/><Relationship Id="rId18" Type="http://schemas.openxmlformats.org/officeDocument/2006/relationships/hyperlink" Target="mailto:ahmed.abdelgawad@capgemini.com" TargetMode="External"/><Relationship Id="rId26" Type="http://schemas.openxmlformats.org/officeDocument/2006/relationships/hyperlink" Target="mailto:ahmed.elbambi@capgemini.com" TargetMode="External"/><Relationship Id="rId21" Type="http://schemas.openxmlformats.org/officeDocument/2006/relationships/hyperlink" Target="mailto:mohamed.e.ibrahim@capgemini.com" TargetMode="External"/><Relationship Id="rId34" Type="http://schemas.openxmlformats.org/officeDocument/2006/relationships/hyperlink" Target="mailto:ammar.ali@capgemini.com" TargetMode="External"/><Relationship Id="rId7" Type="http://schemas.openxmlformats.org/officeDocument/2006/relationships/hyperlink" Target="mailto:shahd.hassan@capgemini.com" TargetMode="External"/><Relationship Id="rId12" Type="http://schemas.openxmlformats.org/officeDocument/2006/relationships/hyperlink" Target="mailto:alaa.madkour@capgemini.com" TargetMode="External"/><Relationship Id="rId17" Type="http://schemas.openxmlformats.org/officeDocument/2006/relationships/hyperlink" Target="mailto:banan.elsayed@capgemini.com" TargetMode="External"/><Relationship Id="rId25" Type="http://schemas.openxmlformats.org/officeDocument/2006/relationships/hyperlink" Target="mailto:ahmed.aboelfadl@capgemini.com" TargetMode="External"/><Relationship Id="rId33" Type="http://schemas.openxmlformats.org/officeDocument/2006/relationships/hyperlink" Target="mailto:dalia.elsabbagh@capgemini.com" TargetMode="External"/><Relationship Id="rId38" Type="http://schemas.openxmlformats.org/officeDocument/2006/relationships/hyperlink" Target="mailto:ibrahim.eltohamy@capgemini.com" TargetMode="External"/><Relationship Id="rId2" Type="http://schemas.openxmlformats.org/officeDocument/2006/relationships/hyperlink" Target="mailto:mostafa.mostafa@capgemini.com" TargetMode="External"/><Relationship Id="rId16" Type="http://schemas.openxmlformats.org/officeDocument/2006/relationships/hyperlink" Target="mailto:aya.magd-el-din@capgemini.com" TargetMode="External"/><Relationship Id="rId20" Type="http://schemas.openxmlformats.org/officeDocument/2006/relationships/hyperlink" Target="mailto:mariam.elmallawany@capgemini.com" TargetMode="External"/><Relationship Id="rId29" Type="http://schemas.openxmlformats.org/officeDocument/2006/relationships/hyperlink" Target="mailto:sara.a.mohamed@capgemini.com" TargetMode="External"/><Relationship Id="rId1" Type="http://schemas.openxmlformats.org/officeDocument/2006/relationships/hyperlink" Target="mailto:mennatallah.said@capgemini.com" TargetMode="External"/><Relationship Id="rId6" Type="http://schemas.openxmlformats.org/officeDocument/2006/relationships/hyperlink" Target="mailto:marwan.dahesh@capgemini.com" TargetMode="External"/><Relationship Id="rId11" Type="http://schemas.openxmlformats.org/officeDocument/2006/relationships/hyperlink" Target="mailto:mohamed.abdelgawad@capgemini.com" TargetMode="External"/><Relationship Id="rId24" Type="http://schemas.openxmlformats.org/officeDocument/2006/relationships/hyperlink" Target="mailto:mohamed.mosa@capgemini.com" TargetMode="External"/><Relationship Id="rId32" Type="http://schemas.openxmlformats.org/officeDocument/2006/relationships/hyperlink" Target="mailto:khaled.abdelgalil@capgemini.com" TargetMode="External"/><Relationship Id="rId37" Type="http://schemas.openxmlformats.org/officeDocument/2006/relationships/hyperlink" Target="mailto:hagar.abdelhameed@capgemini.com" TargetMode="External"/><Relationship Id="rId5" Type="http://schemas.openxmlformats.org/officeDocument/2006/relationships/hyperlink" Target="mailto:mohamed.makram@capgemini.com" TargetMode="External"/><Relationship Id="rId15" Type="http://schemas.openxmlformats.org/officeDocument/2006/relationships/hyperlink" Target="mailto:nour.a.mahmoud@capgemini.com" TargetMode="External"/><Relationship Id="rId23" Type="http://schemas.openxmlformats.org/officeDocument/2006/relationships/hyperlink" Target="mailto:mohamed.a.mahmoud@capgemini.com" TargetMode="External"/><Relationship Id="rId28" Type="http://schemas.openxmlformats.org/officeDocument/2006/relationships/hyperlink" Target="mailto:amr.kotb@capgemini.com" TargetMode="External"/><Relationship Id="rId36" Type="http://schemas.openxmlformats.org/officeDocument/2006/relationships/hyperlink" Target="mailto:hanin.ahmed@capgemini.com" TargetMode="External"/><Relationship Id="rId10" Type="http://schemas.openxmlformats.org/officeDocument/2006/relationships/hyperlink" Target="mailto:alaa.madkour@capgemini.com" TargetMode="External"/><Relationship Id="rId19" Type="http://schemas.openxmlformats.org/officeDocument/2006/relationships/hyperlink" Target="mailto:marwan.mohamed@capgemini.com" TargetMode="External"/><Relationship Id="rId31" Type="http://schemas.openxmlformats.org/officeDocument/2006/relationships/hyperlink" Target="mailto:amany.abdelazim@capgemini.com" TargetMode="External"/><Relationship Id="rId4" Type="http://schemas.openxmlformats.org/officeDocument/2006/relationships/hyperlink" Target="mailto:hossam.zeid@capgemini.com" TargetMode="External"/><Relationship Id="rId9" Type="http://schemas.openxmlformats.org/officeDocument/2006/relationships/hyperlink" Target="mailto:berta.hanna@capgemini.com" TargetMode="External"/><Relationship Id="rId14" Type="http://schemas.openxmlformats.org/officeDocument/2006/relationships/hyperlink" Target="mailto:hagar.el-sayed@capgemini.com" TargetMode="External"/><Relationship Id="rId22" Type="http://schemas.openxmlformats.org/officeDocument/2006/relationships/hyperlink" Target="mailto:arwa-ali-ibrahim-elsayed.ahmed@capgemini.com" TargetMode="External"/><Relationship Id="rId27" Type="http://schemas.openxmlformats.org/officeDocument/2006/relationships/hyperlink" Target="mailto:adham.alzorkany@capgemini.com" TargetMode="External"/><Relationship Id="rId30" Type="http://schemas.openxmlformats.org/officeDocument/2006/relationships/hyperlink" Target="mailto:salma.dawaly@capgemini.com" TargetMode="External"/><Relationship Id="rId35" Type="http://schemas.openxmlformats.org/officeDocument/2006/relationships/hyperlink" Target="mailto:bassel.shalaby@capgemini.com" TargetMode="External"/><Relationship Id="rId8" Type="http://schemas.openxmlformats.org/officeDocument/2006/relationships/hyperlink" Target="mailto:nourhan.khafagy@capgemini.com" TargetMode="External"/><Relationship Id="rId3" Type="http://schemas.openxmlformats.org/officeDocument/2006/relationships/hyperlink" Target="mailto:gamal.sayed@capgemini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apgemini.sharepoint.com/sites/AudiEHD-SDTransition/Lists/Audi%20Onboarding%20Tracker/AllItems.aspx?npsAction=createList&amp;TeamsCID=1bb9f5ad%2D6e9f%2D42b8%2D9d89%2D1051a8392c70&amp;linkOpenTime=1789043006776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ohamed.abdelgawad@capgemini.com" TargetMode="External"/><Relationship Id="rId3" Type="http://schemas.openxmlformats.org/officeDocument/2006/relationships/hyperlink" Target="mailto:alaa.madkour@capgemini.com" TargetMode="External"/><Relationship Id="rId7" Type="http://schemas.openxmlformats.org/officeDocument/2006/relationships/hyperlink" Target="mailto:alaa.madkour@capgemini.com" TargetMode="External"/><Relationship Id="rId2" Type="http://schemas.openxmlformats.org/officeDocument/2006/relationships/hyperlink" Target="mailto:mohamed.abdelgawad@capgemini.com" TargetMode="External"/><Relationship Id="rId1" Type="http://schemas.openxmlformats.org/officeDocument/2006/relationships/hyperlink" Target="mailto:alaa.madkour@capgemini.com" TargetMode="External"/><Relationship Id="rId6" Type="http://schemas.openxmlformats.org/officeDocument/2006/relationships/hyperlink" Target="mailto:mohamed.abdelgawad@capgemini.com" TargetMode="External"/><Relationship Id="rId5" Type="http://schemas.openxmlformats.org/officeDocument/2006/relationships/hyperlink" Target="mailto:alaa.madkour@capgemini.com" TargetMode="External"/><Relationship Id="rId10" Type="http://schemas.openxmlformats.org/officeDocument/2006/relationships/hyperlink" Target="mailto:mohamed.abdelgawad@capgemini.com" TargetMode="External"/><Relationship Id="rId4" Type="http://schemas.openxmlformats.org/officeDocument/2006/relationships/hyperlink" Target="mailto:mohamed.abdelgawad@capgemini.com" TargetMode="External"/><Relationship Id="rId9" Type="http://schemas.openxmlformats.org/officeDocument/2006/relationships/hyperlink" Target="mailto:alaa.madkour@capgemini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alaa.madkour@capgemini.com" TargetMode="External"/><Relationship Id="rId18" Type="http://schemas.openxmlformats.org/officeDocument/2006/relationships/hyperlink" Target="mailto:ahmed.elbambi@capgemini.com" TargetMode="External"/><Relationship Id="rId26" Type="http://schemas.openxmlformats.org/officeDocument/2006/relationships/hyperlink" Target="mailto:arwa-ali-ibrahim-elsayed.ahmed@capgemini.com" TargetMode="External"/><Relationship Id="rId39" Type="http://schemas.openxmlformats.org/officeDocument/2006/relationships/hyperlink" Target="mailto:bassel.shalaby@capgemini.com" TargetMode="External"/><Relationship Id="rId21" Type="http://schemas.openxmlformats.org/officeDocument/2006/relationships/hyperlink" Target="mailto:ahmed.aboelfadl@capgemini.com" TargetMode="External"/><Relationship Id="rId34" Type="http://schemas.openxmlformats.org/officeDocument/2006/relationships/hyperlink" Target="mailto:ammar.ali@capgemini.com" TargetMode="External"/><Relationship Id="rId42" Type="http://schemas.openxmlformats.org/officeDocument/2006/relationships/hyperlink" Target="mailto:kyrillos.asaad@capgemini.com" TargetMode="External"/><Relationship Id="rId47" Type="http://schemas.openxmlformats.org/officeDocument/2006/relationships/hyperlink" Target="mailto:mohamed.a.badr@capgemini.com" TargetMode="External"/><Relationship Id="rId7" Type="http://schemas.openxmlformats.org/officeDocument/2006/relationships/hyperlink" Target="mailto:shahd.hassan@capgemini.com" TargetMode="External"/><Relationship Id="rId2" Type="http://schemas.openxmlformats.org/officeDocument/2006/relationships/hyperlink" Target="mailto:gamal.sayed@capgemini.com" TargetMode="External"/><Relationship Id="rId16" Type="http://schemas.openxmlformats.org/officeDocument/2006/relationships/hyperlink" Target="mailto:nour.a.mahmoud@capgemini.com" TargetMode="External"/><Relationship Id="rId29" Type="http://schemas.openxmlformats.org/officeDocument/2006/relationships/hyperlink" Target="mailto:sara.a.mohamed@capgemini.com" TargetMode="External"/><Relationship Id="rId1" Type="http://schemas.openxmlformats.org/officeDocument/2006/relationships/hyperlink" Target="mailto:mostafa.mostafa@capgemini.com" TargetMode="External"/><Relationship Id="rId6" Type="http://schemas.openxmlformats.org/officeDocument/2006/relationships/hyperlink" Target="mailto:marwan.dahesh@capgemini.com" TargetMode="External"/><Relationship Id="rId11" Type="http://schemas.openxmlformats.org/officeDocument/2006/relationships/hyperlink" Target="mailto:mohamed.abdelgawad@capgemini.com" TargetMode="External"/><Relationship Id="rId24" Type="http://schemas.openxmlformats.org/officeDocument/2006/relationships/hyperlink" Target="mailto:mohamed.a.mahmoud@capgemini.com" TargetMode="External"/><Relationship Id="rId32" Type="http://schemas.openxmlformats.org/officeDocument/2006/relationships/hyperlink" Target="mailto:dalia.elsabbagh@capgemini.com" TargetMode="External"/><Relationship Id="rId37" Type="http://schemas.openxmlformats.org/officeDocument/2006/relationships/hyperlink" Target="mailto:khaled.abdelgalil@capgemini.com" TargetMode="External"/><Relationship Id="rId40" Type="http://schemas.openxmlformats.org/officeDocument/2006/relationships/hyperlink" Target="mailto:hanin.ahmed@capgemini.com" TargetMode="External"/><Relationship Id="rId45" Type="http://schemas.openxmlformats.org/officeDocument/2006/relationships/hyperlink" Target="mailto:merna.ashraf@capgemini.com" TargetMode="External"/><Relationship Id="rId5" Type="http://schemas.openxmlformats.org/officeDocument/2006/relationships/hyperlink" Target="mailto:mohamed.makram@capgemini.com" TargetMode="External"/><Relationship Id="rId15" Type="http://schemas.openxmlformats.org/officeDocument/2006/relationships/hyperlink" Target="mailto:mohamed.mosa@capgemini.com" TargetMode="External"/><Relationship Id="rId23" Type="http://schemas.openxmlformats.org/officeDocument/2006/relationships/hyperlink" Target="mailto:marwan.mohamed@capgemini.com" TargetMode="External"/><Relationship Id="rId28" Type="http://schemas.openxmlformats.org/officeDocument/2006/relationships/hyperlink" Target="mailto:amr.kotb@capgemini.com" TargetMode="External"/><Relationship Id="rId36" Type="http://schemas.openxmlformats.org/officeDocument/2006/relationships/hyperlink" Target="mailto:salma.dawaly@capgemini.com" TargetMode="External"/><Relationship Id="rId10" Type="http://schemas.openxmlformats.org/officeDocument/2006/relationships/hyperlink" Target="mailto:mohamed.abdelgawad@capgemini.com" TargetMode="External"/><Relationship Id="rId19" Type="http://schemas.openxmlformats.org/officeDocument/2006/relationships/hyperlink" Target="mailto:mohamed.e.ibrahim@capgemini.com" TargetMode="External"/><Relationship Id="rId31" Type="http://schemas.openxmlformats.org/officeDocument/2006/relationships/hyperlink" Target="mailto:amany.abdelazim@capgemini.com" TargetMode="External"/><Relationship Id="rId44" Type="http://schemas.openxmlformats.org/officeDocument/2006/relationships/hyperlink" Target="mailto:mahmoud.salah-shaker-abdelhafez@capgemini.com" TargetMode="External"/><Relationship Id="rId4" Type="http://schemas.openxmlformats.org/officeDocument/2006/relationships/hyperlink" Target="mailto:hossam.zeid@capgemini.com" TargetMode="External"/><Relationship Id="rId9" Type="http://schemas.openxmlformats.org/officeDocument/2006/relationships/hyperlink" Target="mailto:berta.hanna@capgemini.com" TargetMode="External"/><Relationship Id="rId14" Type="http://schemas.openxmlformats.org/officeDocument/2006/relationships/hyperlink" Target="mailto:hagar.el-sayed@capgemini.com" TargetMode="External"/><Relationship Id="rId22" Type="http://schemas.openxmlformats.org/officeDocument/2006/relationships/hyperlink" Target="mailto:ahmed.abdelgawad@capgemini.com" TargetMode="External"/><Relationship Id="rId27" Type="http://schemas.openxmlformats.org/officeDocument/2006/relationships/hyperlink" Target="mailto:adham.alzorkany@capgemini.com" TargetMode="External"/><Relationship Id="rId30" Type="http://schemas.openxmlformats.org/officeDocument/2006/relationships/hyperlink" Target="mailto:salma.dawaly@capgemini.com" TargetMode="External"/><Relationship Id="rId35" Type="http://schemas.openxmlformats.org/officeDocument/2006/relationships/hyperlink" Target="mailto:amr.kotb@capgemini.com" TargetMode="External"/><Relationship Id="rId43" Type="http://schemas.openxmlformats.org/officeDocument/2006/relationships/hyperlink" Target="mailto:ziad.eid@capgemini.com" TargetMode="External"/><Relationship Id="rId48" Type="http://schemas.openxmlformats.org/officeDocument/2006/relationships/hyperlink" Target="mailto:nada.a.ahmed@capgemini.com" TargetMode="External"/><Relationship Id="rId8" Type="http://schemas.openxmlformats.org/officeDocument/2006/relationships/hyperlink" Target="mailto:nourhan.khafagy@capgemini.com" TargetMode="External"/><Relationship Id="rId3" Type="http://schemas.openxmlformats.org/officeDocument/2006/relationships/hyperlink" Target="mailto:mennatallah.said@capgemini.com" TargetMode="External"/><Relationship Id="rId12" Type="http://schemas.openxmlformats.org/officeDocument/2006/relationships/hyperlink" Target="mailto:alaa.madkour@capgemini.com" TargetMode="External"/><Relationship Id="rId17" Type="http://schemas.openxmlformats.org/officeDocument/2006/relationships/hyperlink" Target="mailto:aya.magd-el-din@capgemini.com" TargetMode="External"/><Relationship Id="rId25" Type="http://schemas.openxmlformats.org/officeDocument/2006/relationships/hyperlink" Target="mailto:mariam.elmallawany@capgemini.com" TargetMode="External"/><Relationship Id="rId33" Type="http://schemas.openxmlformats.org/officeDocument/2006/relationships/hyperlink" Target="mailto:khaled.abdelgalil@capgemini.com" TargetMode="External"/><Relationship Id="rId38" Type="http://schemas.openxmlformats.org/officeDocument/2006/relationships/hyperlink" Target="mailto:ammar.ali@capgemini.com" TargetMode="External"/><Relationship Id="rId46" Type="http://schemas.openxmlformats.org/officeDocument/2006/relationships/hyperlink" Target="mailto:mohamed.k.ahmed@capgemini.com" TargetMode="External"/><Relationship Id="rId20" Type="http://schemas.openxmlformats.org/officeDocument/2006/relationships/hyperlink" Target="mailto:banan.elsayed@capgemini.com" TargetMode="External"/><Relationship Id="rId41" Type="http://schemas.openxmlformats.org/officeDocument/2006/relationships/hyperlink" Target="mailto:hagar.abdelhameed@capgemini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mohamed.abdelgawad@capgemini.com" TargetMode="External"/><Relationship Id="rId1" Type="http://schemas.openxmlformats.org/officeDocument/2006/relationships/hyperlink" Target="mailto:alaa.madkour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1"/>
  <sheetViews>
    <sheetView workbookViewId="0">
      <pane xSplit="1" topLeftCell="E50" activePane="topRight" state="frozen"/>
      <selection pane="topRight" activeCell="V56" sqref="V56"/>
    </sheetView>
  </sheetViews>
  <sheetFormatPr defaultColWidth="8.140625" defaultRowHeight="15" customHeight="1"/>
  <cols>
    <col min="1" max="1" width="20" customWidth="1"/>
    <col min="2" max="3" width="16.140625" customWidth="1"/>
    <col min="4" max="4" width="45" bestFit="1" customWidth="1"/>
    <col min="5" max="6" width="31.7109375" customWidth="1"/>
    <col min="7" max="7" width="11" customWidth="1"/>
    <col min="8" max="8" width="9.7109375" customWidth="1"/>
    <col min="9" max="10" width="8.85546875" bestFit="1" customWidth="1"/>
    <col min="11" max="11" width="12.28515625" customWidth="1"/>
    <col min="12" max="12" width="10.5703125" customWidth="1"/>
    <col min="13" max="17" width="8.85546875" bestFit="1" customWidth="1"/>
    <col min="18" max="18" width="11.140625" customWidth="1"/>
    <col min="19" max="19" width="7.28515625" bestFit="1" customWidth="1"/>
    <col min="20" max="20" width="9" customWidth="1"/>
    <col min="21" max="21" width="7.28515625" bestFit="1" customWidth="1"/>
    <col min="22" max="23" width="8.85546875" bestFit="1" customWidth="1"/>
    <col min="24" max="26" width="7.28515625" bestFit="1" customWidth="1"/>
    <col min="27" max="27" width="10.85546875" customWidth="1"/>
    <col min="28" max="31" width="10.28515625" bestFit="1" customWidth="1"/>
    <col min="32" max="33" width="7.28515625" bestFit="1" customWidth="1"/>
    <col min="34" max="34" width="10" customWidth="1"/>
    <col min="35" max="35" width="12.140625" customWidth="1"/>
    <col min="36" max="36" width="25.42578125" customWidth="1"/>
    <col min="37" max="37" width="11.140625" customWidth="1"/>
    <col min="40" max="40" width="19" customWidth="1"/>
  </cols>
  <sheetData>
    <row r="1" spans="1:41">
      <c r="AL1" s="62" t="s">
        <v>0</v>
      </c>
    </row>
    <row r="2" spans="1:41" hidden="1">
      <c r="A2" s="1" t="s">
        <v>1</v>
      </c>
      <c r="B2" s="6" t="s">
        <v>2</v>
      </c>
      <c r="C2" s="6" t="s">
        <v>3</v>
      </c>
      <c r="D2" s="1" t="s">
        <v>4</v>
      </c>
      <c r="E2" s="6" t="s">
        <v>5</v>
      </c>
      <c r="F2" s="6" t="s">
        <v>6</v>
      </c>
      <c r="G2" s="2">
        <v>46266</v>
      </c>
      <c r="H2" s="2">
        <v>46267</v>
      </c>
      <c r="I2" s="2">
        <v>46268</v>
      </c>
      <c r="J2" s="2">
        <v>46269</v>
      </c>
      <c r="K2" s="2">
        <v>46270</v>
      </c>
      <c r="L2" s="2">
        <v>46271</v>
      </c>
      <c r="M2" s="2">
        <v>46272</v>
      </c>
      <c r="N2" s="2">
        <v>46273</v>
      </c>
      <c r="O2" s="2">
        <v>46274</v>
      </c>
      <c r="P2" s="2">
        <v>46275</v>
      </c>
      <c r="Q2" s="2">
        <v>46276</v>
      </c>
      <c r="R2" s="2">
        <v>46277</v>
      </c>
      <c r="S2" s="2">
        <v>46278</v>
      </c>
      <c r="T2" s="2">
        <v>46279</v>
      </c>
      <c r="U2" s="2">
        <v>46280</v>
      </c>
      <c r="V2" s="2">
        <v>46281</v>
      </c>
      <c r="W2" s="2">
        <v>46282</v>
      </c>
      <c r="X2" s="2">
        <v>46283</v>
      </c>
      <c r="Y2" s="2">
        <v>46284</v>
      </c>
      <c r="Z2" s="2">
        <v>46285</v>
      </c>
      <c r="AA2" s="2">
        <v>46286</v>
      </c>
      <c r="AB2" s="2">
        <v>46287</v>
      </c>
      <c r="AC2" s="2">
        <v>46288</v>
      </c>
      <c r="AD2" s="2">
        <v>46289</v>
      </c>
      <c r="AE2" s="2">
        <v>46290</v>
      </c>
      <c r="AF2" s="2">
        <v>46291</v>
      </c>
      <c r="AG2" s="2">
        <v>46292</v>
      </c>
      <c r="AH2" s="2">
        <v>46293</v>
      </c>
      <c r="AI2" s="2">
        <v>46294</v>
      </c>
      <c r="AJ2" s="64">
        <v>46295</v>
      </c>
      <c r="AL2" s="63" t="s">
        <v>7</v>
      </c>
    </row>
    <row r="3" spans="1:41" ht="15.75" hidden="1">
      <c r="A3" s="47" t="s">
        <v>8</v>
      </c>
      <c r="B3" s="7" t="str">
        <f>PROPER(_xlfn.TEXTBEFORE(TRIM(A3), " ", 1))</f>
        <v>Mostafa</v>
      </c>
      <c r="C3" s="7" t="str">
        <f>_xlfn.TEXTAFTER(TRIM(A3), " ", -1)</f>
        <v>Mostafa</v>
      </c>
      <c r="D3" s="4" t="s">
        <v>9</v>
      </c>
      <c r="E3" s="12">
        <v>46235</v>
      </c>
      <c r="F3" s="7" t="s">
        <v>10</v>
      </c>
      <c r="G3" s="36" t="s">
        <v>11</v>
      </c>
      <c r="H3" s="36" t="s">
        <v>11</v>
      </c>
      <c r="I3" s="36" t="s">
        <v>11</v>
      </c>
      <c r="J3" s="36" t="s">
        <v>11</v>
      </c>
      <c r="K3" s="3" t="s">
        <v>12</v>
      </c>
      <c r="L3" s="3" t="s">
        <v>12</v>
      </c>
      <c r="M3" s="36" t="s">
        <v>11</v>
      </c>
      <c r="N3" s="36" t="s">
        <v>11</v>
      </c>
      <c r="O3" s="36" t="s">
        <v>11</v>
      </c>
      <c r="P3" s="36" t="s">
        <v>11</v>
      </c>
      <c r="Q3" s="36" t="s">
        <v>11</v>
      </c>
      <c r="R3" s="3" t="s">
        <v>12</v>
      </c>
      <c r="S3" s="3" t="s">
        <v>12</v>
      </c>
      <c r="T3" s="36" t="s">
        <v>11</v>
      </c>
      <c r="U3" s="36" t="s">
        <v>11</v>
      </c>
      <c r="V3" s="36" t="s">
        <v>11</v>
      </c>
      <c r="W3" s="36" t="s">
        <v>11</v>
      </c>
      <c r="X3" s="3" t="s">
        <v>13</v>
      </c>
      <c r="Y3" s="3" t="s">
        <v>12</v>
      </c>
      <c r="Z3" s="3" t="s">
        <v>12</v>
      </c>
      <c r="AA3" s="36" t="s">
        <v>11</v>
      </c>
      <c r="AB3" s="36" t="s">
        <v>11</v>
      </c>
      <c r="AC3" s="36" t="s">
        <v>11</v>
      </c>
      <c r="AD3" s="36" t="s">
        <v>11</v>
      </c>
      <c r="AE3" s="36" t="s">
        <v>11</v>
      </c>
      <c r="AF3" s="3" t="s">
        <v>12</v>
      </c>
      <c r="AG3" s="3" t="s">
        <v>12</v>
      </c>
      <c r="AH3" s="36" t="s">
        <v>11</v>
      </c>
      <c r="AI3" s="36" t="s">
        <v>11</v>
      </c>
      <c r="AJ3" s="36" t="s">
        <v>11</v>
      </c>
      <c r="AL3" s="63" t="s">
        <v>7</v>
      </c>
      <c r="AN3" s="77" t="s">
        <v>14</v>
      </c>
    </row>
    <row r="4" spans="1:41" hidden="1">
      <c r="A4" s="47" t="s">
        <v>15</v>
      </c>
      <c r="B4" s="7" t="str">
        <f t="shared" ref="B3:B12" si="0">PROPER(_xlfn.TEXTBEFORE(TRIM(A4), " ", 1))</f>
        <v>Gamal</v>
      </c>
      <c r="C4" s="7" t="str">
        <f t="shared" ref="C3:C12" si="1">_xlfn.TEXTAFTER(TRIM(A4), " ", -1)</f>
        <v>Sayed</v>
      </c>
      <c r="D4" s="4" t="s">
        <v>16</v>
      </c>
      <c r="E4" s="12">
        <v>46251</v>
      </c>
      <c r="F4" s="7" t="s">
        <v>10</v>
      </c>
      <c r="G4" s="36" t="s">
        <v>11</v>
      </c>
      <c r="H4" s="36" t="s">
        <v>11</v>
      </c>
      <c r="I4" s="36" t="s">
        <v>11</v>
      </c>
      <c r="J4" s="36" t="s">
        <v>11</v>
      </c>
      <c r="K4" s="3" t="s">
        <v>12</v>
      </c>
      <c r="L4" s="3" t="s">
        <v>12</v>
      </c>
      <c r="M4" s="36" t="s">
        <v>11</v>
      </c>
      <c r="N4" s="36" t="s">
        <v>11</v>
      </c>
      <c r="O4" s="36" t="s">
        <v>11</v>
      </c>
      <c r="P4" s="36" t="s">
        <v>11</v>
      </c>
      <c r="Q4" s="36" t="s">
        <v>11</v>
      </c>
      <c r="R4" s="3" t="s">
        <v>12</v>
      </c>
      <c r="S4" s="3" t="s">
        <v>12</v>
      </c>
      <c r="T4" s="36" t="s">
        <v>11</v>
      </c>
      <c r="U4" s="36" t="s">
        <v>11</v>
      </c>
      <c r="V4" s="36" t="s">
        <v>11</v>
      </c>
      <c r="W4" s="36" t="s">
        <v>11</v>
      </c>
      <c r="X4" s="36" t="s">
        <v>11</v>
      </c>
      <c r="Y4" s="3" t="s">
        <v>12</v>
      </c>
      <c r="Z4" s="3" t="s">
        <v>12</v>
      </c>
      <c r="AA4" s="36" t="s">
        <v>11</v>
      </c>
      <c r="AB4" s="36" t="s">
        <v>11</v>
      </c>
      <c r="AC4" s="36" t="s">
        <v>11</v>
      </c>
      <c r="AD4" s="36" t="s">
        <v>11</v>
      </c>
      <c r="AE4" s="36" t="s">
        <v>11</v>
      </c>
      <c r="AF4" s="3" t="s">
        <v>12</v>
      </c>
      <c r="AG4" s="3" t="s">
        <v>12</v>
      </c>
      <c r="AH4" s="36" t="s">
        <v>11</v>
      </c>
      <c r="AI4" s="36" t="s">
        <v>11</v>
      </c>
      <c r="AJ4" s="36" t="s">
        <v>11</v>
      </c>
      <c r="AL4" s="63" t="s">
        <v>7</v>
      </c>
      <c r="AN4" s="67" t="s">
        <v>17</v>
      </c>
    </row>
    <row r="5" spans="1:41" hidden="1">
      <c r="A5" s="47" t="s">
        <v>18</v>
      </c>
      <c r="B5" s="8" t="str">
        <f t="shared" si="0"/>
        <v>Mennatallah</v>
      </c>
      <c r="C5" s="8" t="str">
        <f t="shared" si="1"/>
        <v>Said</v>
      </c>
      <c r="D5" s="4" t="s">
        <v>19</v>
      </c>
      <c r="E5" s="12">
        <v>46235</v>
      </c>
      <c r="F5" s="7" t="s">
        <v>10</v>
      </c>
      <c r="G5" s="37" t="s">
        <v>13</v>
      </c>
      <c r="H5" s="37" t="s">
        <v>13</v>
      </c>
      <c r="I5" s="36" t="s">
        <v>11</v>
      </c>
      <c r="J5" s="36" t="s">
        <v>11</v>
      </c>
      <c r="K5" s="14" t="s">
        <v>12</v>
      </c>
      <c r="L5" s="14" t="s">
        <v>12</v>
      </c>
      <c r="M5" s="36" t="s">
        <v>11</v>
      </c>
      <c r="N5" s="36" t="s">
        <v>11</v>
      </c>
      <c r="O5" s="36" t="s">
        <v>11</v>
      </c>
      <c r="P5" s="36" t="s">
        <v>11</v>
      </c>
      <c r="Q5" s="36" t="s">
        <v>11</v>
      </c>
      <c r="R5" s="3" t="s">
        <v>12</v>
      </c>
      <c r="S5" s="3" t="s">
        <v>12</v>
      </c>
      <c r="T5" s="36" t="s">
        <v>11</v>
      </c>
      <c r="U5" s="36" t="s">
        <v>11</v>
      </c>
      <c r="V5" s="36" t="s">
        <v>11</v>
      </c>
      <c r="W5" s="36" t="s">
        <v>11</v>
      </c>
      <c r="X5" s="36" t="s">
        <v>11</v>
      </c>
      <c r="Y5" s="3" t="s">
        <v>12</v>
      </c>
      <c r="Z5" s="3" t="s">
        <v>12</v>
      </c>
      <c r="AA5" s="36" t="s">
        <v>11</v>
      </c>
      <c r="AB5" s="36" t="s">
        <v>11</v>
      </c>
      <c r="AC5" s="36" t="s">
        <v>11</v>
      </c>
      <c r="AD5" s="36" t="s">
        <v>11</v>
      </c>
      <c r="AE5" s="36" t="s">
        <v>11</v>
      </c>
      <c r="AF5" s="3" t="s">
        <v>12</v>
      </c>
      <c r="AG5" s="3" t="s">
        <v>12</v>
      </c>
      <c r="AH5" s="36" t="s">
        <v>11</v>
      </c>
      <c r="AI5" s="36" t="s">
        <v>11</v>
      </c>
      <c r="AJ5" s="36" t="s">
        <v>11</v>
      </c>
      <c r="AL5" s="63" t="s">
        <v>7</v>
      </c>
      <c r="AN5" s="68" t="s">
        <v>11</v>
      </c>
    </row>
    <row r="6" spans="1:41" hidden="1">
      <c r="A6" s="3" t="s">
        <v>20</v>
      </c>
      <c r="B6" s="3" t="str">
        <f t="shared" si="0"/>
        <v>Hossam</v>
      </c>
      <c r="C6" s="3" t="str">
        <f t="shared" si="1"/>
        <v>Zeid</v>
      </c>
      <c r="D6" s="4" t="s">
        <v>21</v>
      </c>
      <c r="E6" s="12">
        <v>46272</v>
      </c>
      <c r="F6" s="7" t="s">
        <v>22</v>
      </c>
      <c r="G6" s="189"/>
      <c r="H6" s="190"/>
      <c r="I6" s="190"/>
      <c r="J6" s="190"/>
      <c r="K6" s="190"/>
      <c r="L6" s="191"/>
      <c r="M6" s="38" t="s">
        <v>11</v>
      </c>
      <c r="N6" s="36" t="s">
        <v>11</v>
      </c>
      <c r="O6" s="36" t="s">
        <v>11</v>
      </c>
      <c r="P6" s="36" t="s">
        <v>11</v>
      </c>
      <c r="Q6" s="36" t="s">
        <v>11</v>
      </c>
      <c r="R6" s="3" t="s">
        <v>12</v>
      </c>
      <c r="S6" s="3" t="s">
        <v>12</v>
      </c>
      <c r="T6" s="36" t="s">
        <v>11</v>
      </c>
      <c r="U6" s="36" t="s">
        <v>11</v>
      </c>
      <c r="V6" s="39" t="s">
        <v>11</v>
      </c>
      <c r="W6" s="36" t="s">
        <v>11</v>
      </c>
      <c r="X6" s="36" t="s">
        <v>11</v>
      </c>
      <c r="Y6" s="3" t="s">
        <v>12</v>
      </c>
      <c r="Z6" s="3" t="s">
        <v>12</v>
      </c>
      <c r="AA6" s="36" t="s">
        <v>11</v>
      </c>
      <c r="AB6" s="36" t="s">
        <v>11</v>
      </c>
      <c r="AC6" s="36" t="s">
        <v>11</v>
      </c>
      <c r="AD6" s="36" t="s">
        <v>11</v>
      </c>
      <c r="AE6" s="36" t="s">
        <v>11</v>
      </c>
      <c r="AF6" s="3" t="s">
        <v>12</v>
      </c>
      <c r="AG6" s="3" t="s">
        <v>12</v>
      </c>
      <c r="AH6" s="36" t="s">
        <v>11</v>
      </c>
      <c r="AI6" s="36" t="s">
        <v>11</v>
      </c>
      <c r="AJ6" s="36" t="s">
        <v>11</v>
      </c>
      <c r="AL6" s="63" t="s">
        <v>7</v>
      </c>
      <c r="AN6" s="69" t="s">
        <v>13</v>
      </c>
    </row>
    <row r="7" spans="1:41" hidden="1">
      <c r="A7" s="14" t="s">
        <v>23</v>
      </c>
      <c r="B7" s="14" t="str">
        <f t="shared" si="0"/>
        <v>Makram</v>
      </c>
      <c r="C7" s="14" t="str">
        <f t="shared" si="1"/>
        <v>Mohamed</v>
      </c>
      <c r="D7" s="18" t="s">
        <v>24</v>
      </c>
      <c r="E7" s="19">
        <v>46267</v>
      </c>
      <c r="F7" s="8" t="s">
        <v>22</v>
      </c>
      <c r="G7" s="40"/>
      <c r="H7" s="38" t="s">
        <v>11</v>
      </c>
      <c r="I7" s="36" t="s">
        <v>11</v>
      </c>
      <c r="J7" s="36" t="s">
        <v>11</v>
      </c>
      <c r="K7" s="16" t="s">
        <v>12</v>
      </c>
      <c r="L7" s="16" t="s">
        <v>12</v>
      </c>
      <c r="M7" s="36" t="s">
        <v>11</v>
      </c>
      <c r="N7" s="36" t="s">
        <v>11</v>
      </c>
      <c r="O7" s="36" t="s">
        <v>11</v>
      </c>
      <c r="P7" s="36" t="s">
        <v>11</v>
      </c>
      <c r="Q7" s="36" t="s">
        <v>11</v>
      </c>
      <c r="R7" s="14" t="s">
        <v>12</v>
      </c>
      <c r="S7" s="14" t="s">
        <v>12</v>
      </c>
      <c r="T7" s="36" t="s">
        <v>11</v>
      </c>
      <c r="U7" s="36" t="s">
        <v>11</v>
      </c>
      <c r="V7" s="36" t="s">
        <v>11</v>
      </c>
      <c r="W7" s="36" t="s">
        <v>11</v>
      </c>
      <c r="X7" s="36" t="s">
        <v>11</v>
      </c>
      <c r="Y7" s="3" t="s">
        <v>12</v>
      </c>
      <c r="Z7" s="3" t="s">
        <v>12</v>
      </c>
      <c r="AA7" s="36" t="s">
        <v>11</v>
      </c>
      <c r="AB7" s="36" t="s">
        <v>11</v>
      </c>
      <c r="AC7" s="36" t="s">
        <v>11</v>
      </c>
      <c r="AD7" s="36" t="s">
        <v>11</v>
      </c>
      <c r="AE7" s="36" t="s">
        <v>11</v>
      </c>
      <c r="AF7" s="3" t="s">
        <v>12</v>
      </c>
      <c r="AG7" s="3" t="s">
        <v>12</v>
      </c>
      <c r="AH7" s="36" t="s">
        <v>11</v>
      </c>
      <c r="AI7" s="36" t="s">
        <v>11</v>
      </c>
      <c r="AJ7" s="41" t="s">
        <v>25</v>
      </c>
      <c r="AL7" s="63" t="s">
        <v>7</v>
      </c>
      <c r="AN7" s="70" t="s">
        <v>12</v>
      </c>
    </row>
    <row r="8" spans="1:41" hidden="1">
      <c r="A8" s="14" t="s">
        <v>26</v>
      </c>
      <c r="B8" s="14" t="str">
        <f t="shared" si="0"/>
        <v>Marwan</v>
      </c>
      <c r="C8" s="14" t="str">
        <f t="shared" si="1"/>
        <v>Dahesh</v>
      </c>
      <c r="D8" s="18" t="s">
        <v>27</v>
      </c>
      <c r="E8" s="20">
        <v>46279</v>
      </c>
      <c r="F8" s="8" t="s">
        <v>22</v>
      </c>
      <c r="G8" s="189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3"/>
      <c r="T8" s="38" t="s">
        <v>11</v>
      </c>
      <c r="U8" s="36" t="s">
        <v>11</v>
      </c>
      <c r="V8" s="36" t="s">
        <v>11</v>
      </c>
      <c r="W8" s="36" t="s">
        <v>11</v>
      </c>
      <c r="X8" s="36" t="s">
        <v>11</v>
      </c>
      <c r="Y8" s="3" t="s">
        <v>12</v>
      </c>
      <c r="Z8" s="3" t="s">
        <v>12</v>
      </c>
      <c r="AA8" s="36" t="s">
        <v>11</v>
      </c>
      <c r="AB8" s="36" t="s">
        <v>11</v>
      </c>
      <c r="AC8" s="36" t="s">
        <v>11</v>
      </c>
      <c r="AD8" s="36" t="s">
        <v>11</v>
      </c>
      <c r="AE8" s="36" t="s">
        <v>11</v>
      </c>
      <c r="AF8" s="3" t="s">
        <v>12</v>
      </c>
      <c r="AG8" s="3" t="s">
        <v>12</v>
      </c>
      <c r="AH8" s="36" t="s">
        <v>11</v>
      </c>
      <c r="AI8" s="36" t="s">
        <v>11</v>
      </c>
      <c r="AJ8" s="36" t="s">
        <v>11</v>
      </c>
      <c r="AL8" s="63" t="s">
        <v>7</v>
      </c>
      <c r="AN8" s="71" t="s">
        <v>28</v>
      </c>
    </row>
    <row r="9" spans="1:41" hidden="1">
      <c r="A9" s="3" t="s">
        <v>29</v>
      </c>
      <c r="B9" s="3" t="str">
        <f t="shared" si="0"/>
        <v>Shahd</v>
      </c>
      <c r="C9" s="3" t="str">
        <f t="shared" si="1"/>
        <v>Hassan</v>
      </c>
      <c r="D9" s="4" t="s">
        <v>30</v>
      </c>
      <c r="E9" s="17">
        <v>46279</v>
      </c>
      <c r="F9" s="3" t="s">
        <v>22</v>
      </c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5"/>
      <c r="T9" s="38" t="s">
        <v>11</v>
      </c>
      <c r="U9" s="36" t="s">
        <v>11</v>
      </c>
      <c r="V9" s="36" t="s">
        <v>11</v>
      </c>
      <c r="W9" s="36" t="s">
        <v>11</v>
      </c>
      <c r="X9" s="36" t="s">
        <v>11</v>
      </c>
      <c r="Y9" s="3" t="s">
        <v>12</v>
      </c>
      <c r="Z9" s="3" t="s">
        <v>12</v>
      </c>
      <c r="AA9" s="36" t="s">
        <v>11</v>
      </c>
      <c r="AB9" s="36" t="s">
        <v>11</v>
      </c>
      <c r="AC9" s="36" t="s">
        <v>11</v>
      </c>
      <c r="AD9" s="36" t="s">
        <v>11</v>
      </c>
      <c r="AE9" s="36" t="s">
        <v>11</v>
      </c>
      <c r="AF9" s="3" t="s">
        <v>12</v>
      </c>
      <c r="AG9" s="3" t="s">
        <v>12</v>
      </c>
      <c r="AH9" s="36" t="s">
        <v>11</v>
      </c>
      <c r="AI9" s="36" t="s">
        <v>11</v>
      </c>
      <c r="AJ9" s="41" t="s">
        <v>25</v>
      </c>
      <c r="AL9" s="63" t="s">
        <v>7</v>
      </c>
      <c r="AN9" s="72" t="s">
        <v>31</v>
      </c>
    </row>
    <row r="10" spans="1:41" hidden="1">
      <c r="A10" s="3" t="s">
        <v>32</v>
      </c>
      <c r="B10" s="3" t="str">
        <f t="shared" si="0"/>
        <v>Nourhan</v>
      </c>
      <c r="C10" s="3" t="str">
        <f t="shared" si="1"/>
        <v>Khafagy</v>
      </c>
      <c r="D10" s="4" t="s">
        <v>33</v>
      </c>
      <c r="E10" s="17">
        <v>46279</v>
      </c>
      <c r="F10" s="3" t="s">
        <v>22</v>
      </c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5"/>
      <c r="T10" s="38" t="s">
        <v>11</v>
      </c>
      <c r="U10" s="36" t="s">
        <v>11</v>
      </c>
      <c r="V10" s="36" t="s">
        <v>11</v>
      </c>
      <c r="W10" s="36" t="s">
        <v>11</v>
      </c>
      <c r="X10" s="36" t="s">
        <v>11</v>
      </c>
      <c r="Y10" s="3" t="s">
        <v>12</v>
      </c>
      <c r="Z10" s="3" t="s">
        <v>12</v>
      </c>
      <c r="AA10" s="36" t="s">
        <v>11</v>
      </c>
      <c r="AB10" s="36" t="s">
        <v>11</v>
      </c>
      <c r="AC10" s="36" t="s">
        <v>11</v>
      </c>
      <c r="AD10" s="36" t="s">
        <v>11</v>
      </c>
      <c r="AE10" s="36" t="s">
        <v>11</v>
      </c>
      <c r="AF10" s="3" t="s">
        <v>12</v>
      </c>
      <c r="AG10" s="3" t="s">
        <v>12</v>
      </c>
      <c r="AH10" s="36" t="s">
        <v>11</v>
      </c>
      <c r="AI10" s="36" t="s">
        <v>11</v>
      </c>
      <c r="AJ10" s="36" t="s">
        <v>11</v>
      </c>
      <c r="AL10" s="63" t="s">
        <v>7</v>
      </c>
      <c r="AN10" s="73" t="s">
        <v>11</v>
      </c>
      <c r="AO10" t="s">
        <v>34</v>
      </c>
    </row>
    <row r="11" spans="1:41" hidden="1">
      <c r="A11" s="3" t="s">
        <v>35</v>
      </c>
      <c r="B11" s="3" t="str">
        <f t="shared" si="0"/>
        <v>Berta</v>
      </c>
      <c r="C11" s="3" t="str">
        <f t="shared" si="1"/>
        <v>Hanna</v>
      </c>
      <c r="D11" s="4" t="s">
        <v>36</v>
      </c>
      <c r="E11" s="17">
        <v>46279</v>
      </c>
      <c r="F11" s="3" t="s">
        <v>22</v>
      </c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5"/>
      <c r="T11" s="38" t="s">
        <v>11</v>
      </c>
      <c r="U11" s="36" t="s">
        <v>11</v>
      </c>
      <c r="V11" s="36" t="s">
        <v>11</v>
      </c>
      <c r="W11" s="36" t="s">
        <v>11</v>
      </c>
      <c r="X11" s="36" t="s">
        <v>11</v>
      </c>
      <c r="Y11" s="3" t="s">
        <v>12</v>
      </c>
      <c r="Z11" s="3" t="s">
        <v>12</v>
      </c>
      <c r="AA11" s="41" t="s">
        <v>37</v>
      </c>
      <c r="AB11" s="36" t="s">
        <v>11</v>
      </c>
      <c r="AC11" s="36" t="s">
        <v>11</v>
      </c>
      <c r="AD11" s="36" t="s">
        <v>11</v>
      </c>
      <c r="AE11" s="36" t="s">
        <v>11</v>
      </c>
      <c r="AF11" s="3" t="s">
        <v>12</v>
      </c>
      <c r="AG11" s="3" t="s">
        <v>12</v>
      </c>
      <c r="AH11" s="36" t="s">
        <v>11</v>
      </c>
      <c r="AI11" s="36" t="s">
        <v>11</v>
      </c>
      <c r="AJ11" s="36" t="s">
        <v>11</v>
      </c>
      <c r="AL11" s="63" t="s">
        <v>7</v>
      </c>
      <c r="AN11" s="74" t="s">
        <v>11</v>
      </c>
      <c r="AO11" t="s">
        <v>38</v>
      </c>
    </row>
    <row r="12" spans="1:41" hidden="1">
      <c r="A12" s="3" t="s">
        <v>39</v>
      </c>
      <c r="B12" s="3" t="str">
        <f t="shared" si="0"/>
        <v>Mohamed</v>
      </c>
      <c r="C12" s="3" t="str">
        <f t="shared" si="1"/>
        <v xml:space="preserve">Elaidi
</v>
      </c>
      <c r="D12" s="18" t="s">
        <v>40</v>
      </c>
      <c r="E12" s="17">
        <v>46280</v>
      </c>
      <c r="F12" s="7" t="s">
        <v>22</v>
      </c>
      <c r="G12" s="189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3"/>
      <c r="U12" s="38" t="s">
        <v>11</v>
      </c>
      <c r="V12" s="36" t="s">
        <v>11</v>
      </c>
      <c r="W12" s="36" t="s">
        <v>11</v>
      </c>
      <c r="X12" s="36" t="s">
        <v>11</v>
      </c>
      <c r="Y12" s="3" t="s">
        <v>12</v>
      </c>
      <c r="Z12" s="3" t="s">
        <v>12</v>
      </c>
      <c r="AA12" s="36" t="s">
        <v>11</v>
      </c>
      <c r="AB12" s="36" t="s">
        <v>11</v>
      </c>
      <c r="AC12" s="36" t="s">
        <v>11</v>
      </c>
      <c r="AD12" s="36" t="s">
        <v>11</v>
      </c>
      <c r="AE12" s="36" t="s">
        <v>11</v>
      </c>
      <c r="AF12" s="3" t="s">
        <v>12</v>
      </c>
      <c r="AG12" s="3" t="s">
        <v>12</v>
      </c>
      <c r="AH12" s="36" t="s">
        <v>11</v>
      </c>
      <c r="AI12" s="36" t="s">
        <v>11</v>
      </c>
      <c r="AJ12" s="36" t="s">
        <v>11</v>
      </c>
      <c r="AL12" s="63" t="s">
        <v>7</v>
      </c>
      <c r="AN12" s="75" t="s">
        <v>37</v>
      </c>
      <c r="AO12" t="s">
        <v>41</v>
      </c>
    </row>
    <row r="13" spans="1:41" hidden="1">
      <c r="A13" s="3" t="s">
        <v>42</v>
      </c>
      <c r="B13" s="3" t="s">
        <v>43</v>
      </c>
      <c r="C13" s="3" t="s">
        <v>44</v>
      </c>
      <c r="D13" s="18" t="s">
        <v>45</v>
      </c>
      <c r="E13" s="17">
        <v>46281</v>
      </c>
      <c r="F13" s="7" t="s">
        <v>22</v>
      </c>
      <c r="G13" s="189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1"/>
      <c r="V13" s="38" t="s">
        <v>11</v>
      </c>
      <c r="W13" s="36" t="s">
        <v>11</v>
      </c>
      <c r="X13" s="36" t="s">
        <v>11</v>
      </c>
      <c r="Y13" s="3" t="s">
        <v>12</v>
      </c>
      <c r="Z13" s="3" t="s">
        <v>12</v>
      </c>
      <c r="AA13" s="36" t="s">
        <v>11</v>
      </c>
      <c r="AB13" s="36" t="s">
        <v>11</v>
      </c>
      <c r="AC13" s="41" t="s">
        <v>37</v>
      </c>
      <c r="AD13" s="36" t="s">
        <v>11</v>
      </c>
      <c r="AE13" s="36" t="s">
        <v>11</v>
      </c>
      <c r="AF13" s="3" t="s">
        <v>12</v>
      </c>
      <c r="AG13" s="3" t="s">
        <v>12</v>
      </c>
      <c r="AH13" s="41" t="s">
        <v>37</v>
      </c>
      <c r="AI13" s="36" t="s">
        <v>11</v>
      </c>
      <c r="AJ13" s="36" t="s">
        <v>11</v>
      </c>
      <c r="AL13" s="63" t="s">
        <v>7</v>
      </c>
      <c r="AN13" s="65" t="s">
        <v>37</v>
      </c>
      <c r="AO13" t="s">
        <v>46</v>
      </c>
    </row>
    <row r="14" spans="1:41" hidden="1">
      <c r="A14" s="3" t="s">
        <v>47</v>
      </c>
      <c r="B14" s="3" t="s">
        <v>48</v>
      </c>
      <c r="C14" s="3" t="s">
        <v>49</v>
      </c>
      <c r="D14" s="4" t="s">
        <v>50</v>
      </c>
      <c r="E14" s="17">
        <v>46280</v>
      </c>
      <c r="F14" s="7" t="s">
        <v>22</v>
      </c>
      <c r="G14" s="189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3"/>
      <c r="U14" s="38" t="s">
        <v>11</v>
      </c>
      <c r="V14" s="36" t="s">
        <v>11</v>
      </c>
      <c r="W14" s="36" t="s">
        <v>11</v>
      </c>
      <c r="X14" s="36" t="s">
        <v>11</v>
      </c>
      <c r="Y14" s="3" t="s">
        <v>12</v>
      </c>
      <c r="Z14" s="3" t="s">
        <v>12</v>
      </c>
      <c r="AA14" s="36" t="s">
        <v>11</v>
      </c>
      <c r="AB14" s="41" t="s">
        <v>37</v>
      </c>
      <c r="AC14" s="41" t="s">
        <v>37</v>
      </c>
      <c r="AD14" s="36" t="s">
        <v>11</v>
      </c>
      <c r="AE14" s="36" t="s">
        <v>11</v>
      </c>
      <c r="AF14" s="3" t="s">
        <v>12</v>
      </c>
      <c r="AG14" s="3" t="s">
        <v>12</v>
      </c>
      <c r="AH14" s="36" t="s">
        <v>11</v>
      </c>
      <c r="AI14" s="36" t="s">
        <v>11</v>
      </c>
      <c r="AJ14" s="36" t="s">
        <v>11</v>
      </c>
      <c r="AL14" s="63" t="s">
        <v>7</v>
      </c>
      <c r="AN14" s="76" t="s">
        <v>51</v>
      </c>
    </row>
    <row r="15" spans="1:41" hidden="1">
      <c r="A15" s="3" t="s">
        <v>52</v>
      </c>
      <c r="B15" s="3" t="s">
        <v>53</v>
      </c>
      <c r="C15" s="3" t="s">
        <v>54</v>
      </c>
      <c r="D15" s="43" t="s">
        <v>55</v>
      </c>
      <c r="E15" s="17">
        <v>46281</v>
      </c>
      <c r="F15" s="7" t="s">
        <v>22</v>
      </c>
      <c r="G15" s="196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1"/>
      <c r="V15" s="38" t="s">
        <v>11</v>
      </c>
      <c r="W15" s="36" t="s">
        <v>11</v>
      </c>
      <c r="X15" s="36" t="s">
        <v>11</v>
      </c>
      <c r="Y15" s="3" t="s">
        <v>12</v>
      </c>
      <c r="Z15" s="3" t="s">
        <v>12</v>
      </c>
      <c r="AA15" s="41" t="s">
        <v>37</v>
      </c>
      <c r="AB15" s="36" t="s">
        <v>11</v>
      </c>
      <c r="AC15" s="36" t="s">
        <v>11</v>
      </c>
      <c r="AD15" s="41" t="s">
        <v>25</v>
      </c>
      <c r="AE15" s="41" t="s">
        <v>25</v>
      </c>
      <c r="AF15" s="3" t="s">
        <v>12</v>
      </c>
      <c r="AG15" s="3" t="s">
        <v>12</v>
      </c>
      <c r="AH15" s="41" t="s">
        <v>37</v>
      </c>
      <c r="AI15" s="36" t="s">
        <v>11</v>
      </c>
      <c r="AJ15" s="65" t="s">
        <v>25</v>
      </c>
      <c r="AL15" s="63" t="s">
        <v>7</v>
      </c>
    </row>
    <row r="16" spans="1:41" hidden="1">
      <c r="A16" s="3" t="s">
        <v>56</v>
      </c>
      <c r="B16" s="14" t="s">
        <v>57</v>
      </c>
      <c r="C16" s="14" t="s">
        <v>58</v>
      </c>
      <c r="D16" s="18" t="s">
        <v>59</v>
      </c>
      <c r="E16" s="20">
        <v>46279</v>
      </c>
      <c r="F16" s="8" t="s">
        <v>60</v>
      </c>
      <c r="G16" s="196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1"/>
      <c r="T16" s="38" t="s">
        <v>11</v>
      </c>
      <c r="U16" s="36" t="s">
        <v>11</v>
      </c>
      <c r="V16" s="36" t="s">
        <v>11</v>
      </c>
      <c r="W16" s="36" t="s">
        <v>11</v>
      </c>
      <c r="X16" s="36" t="s">
        <v>11</v>
      </c>
      <c r="Y16" s="3" t="s">
        <v>12</v>
      </c>
      <c r="Z16" s="3" t="s">
        <v>12</v>
      </c>
      <c r="AA16" s="36" t="s">
        <v>11</v>
      </c>
      <c r="AB16" s="36" t="s">
        <v>11</v>
      </c>
      <c r="AC16" s="36" t="s">
        <v>11</v>
      </c>
      <c r="AD16" s="36" t="s">
        <v>11</v>
      </c>
      <c r="AE16" s="36" t="s">
        <v>11</v>
      </c>
      <c r="AF16" s="3" t="s">
        <v>12</v>
      </c>
      <c r="AG16" s="3" t="s">
        <v>12</v>
      </c>
      <c r="AH16" s="41" t="s">
        <v>37</v>
      </c>
      <c r="AI16" s="36" t="s">
        <v>11</v>
      </c>
      <c r="AJ16" s="36" t="s">
        <v>11</v>
      </c>
      <c r="AL16" s="63" t="s">
        <v>7</v>
      </c>
    </row>
    <row r="17" spans="1:38" hidden="1">
      <c r="A17" s="3" t="s">
        <v>61</v>
      </c>
      <c r="B17" s="3" t="str">
        <f t="shared" ref="B17:B36" si="2">PROPER(_xlfn.TEXTBEFORE(TRIM(A17), " ", 1))</f>
        <v>Hagar</v>
      </c>
      <c r="C17" s="3" t="s">
        <v>62</v>
      </c>
      <c r="D17" s="44" t="s">
        <v>63</v>
      </c>
      <c r="E17" s="33">
        <v>46286</v>
      </c>
      <c r="F17" s="7" t="s">
        <v>22</v>
      </c>
      <c r="G17" s="189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3"/>
      <c r="AA17" s="38" t="s">
        <v>11</v>
      </c>
      <c r="AB17" s="36" t="s">
        <v>11</v>
      </c>
      <c r="AC17" s="41" t="s">
        <v>37</v>
      </c>
      <c r="AD17" s="41" t="s">
        <v>25</v>
      </c>
      <c r="AE17" s="41" t="s">
        <v>25</v>
      </c>
      <c r="AF17" s="3" t="s">
        <v>12</v>
      </c>
      <c r="AG17" s="3" t="s">
        <v>12</v>
      </c>
      <c r="AH17" s="41" t="s">
        <v>37</v>
      </c>
      <c r="AI17" s="36" t="s">
        <v>11</v>
      </c>
      <c r="AJ17" s="36" t="s">
        <v>11</v>
      </c>
      <c r="AL17" s="63" t="s">
        <v>7</v>
      </c>
    </row>
    <row r="18" spans="1:38" hidden="1">
      <c r="A18" s="3" t="s">
        <v>64</v>
      </c>
      <c r="B18" s="3" t="str">
        <f t="shared" si="2"/>
        <v>Mohamed</v>
      </c>
      <c r="C18" s="3" t="str">
        <f t="shared" ref="C17:C36" si="3">_xlfn.TEXTAFTER(TRIM(A18), " ", -1)</f>
        <v>Mosa</v>
      </c>
      <c r="D18" s="4" t="s">
        <v>65</v>
      </c>
      <c r="E18" s="33">
        <v>46286</v>
      </c>
      <c r="F18" s="7" t="s">
        <v>66</v>
      </c>
      <c r="G18" s="197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5"/>
      <c r="AA18" s="38" t="s">
        <v>11</v>
      </c>
      <c r="AB18" s="36" t="s">
        <v>11</v>
      </c>
      <c r="AC18" s="36" t="s">
        <v>11</v>
      </c>
      <c r="AD18" s="36" t="s">
        <v>11</v>
      </c>
      <c r="AE18" s="36" t="s">
        <v>11</v>
      </c>
      <c r="AF18" s="3" t="s">
        <v>12</v>
      </c>
      <c r="AG18" s="3" t="s">
        <v>12</v>
      </c>
      <c r="AH18" s="36" t="s">
        <v>11</v>
      </c>
      <c r="AI18" s="36" t="s">
        <v>11</v>
      </c>
      <c r="AJ18" s="36" t="s">
        <v>11</v>
      </c>
      <c r="AL18" s="63" t="s">
        <v>7</v>
      </c>
    </row>
    <row r="19" spans="1:38" hidden="1">
      <c r="A19" s="3" t="s">
        <v>67</v>
      </c>
      <c r="B19" s="3" t="str">
        <f t="shared" si="2"/>
        <v>Nour</v>
      </c>
      <c r="C19" s="3" t="str">
        <f t="shared" si="3"/>
        <v>Mahmoud</v>
      </c>
      <c r="D19" s="44" t="s">
        <v>68</v>
      </c>
      <c r="E19" s="33">
        <v>46286</v>
      </c>
      <c r="F19" s="7" t="s">
        <v>69</v>
      </c>
      <c r="G19" s="197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5"/>
      <c r="AA19" s="38" t="s">
        <v>11</v>
      </c>
      <c r="AB19" s="36" t="s">
        <v>11</v>
      </c>
      <c r="AC19" s="36" t="s">
        <v>11</v>
      </c>
      <c r="AD19" s="36" t="s">
        <v>11</v>
      </c>
      <c r="AE19" s="36" t="s">
        <v>11</v>
      </c>
      <c r="AF19" s="3" t="s">
        <v>12</v>
      </c>
      <c r="AG19" s="3" t="s">
        <v>12</v>
      </c>
      <c r="AH19" s="36" t="s">
        <v>11</v>
      </c>
      <c r="AI19" s="36" t="s">
        <v>11</v>
      </c>
      <c r="AJ19" s="36" t="s">
        <v>11</v>
      </c>
      <c r="AL19" s="63" t="s">
        <v>7</v>
      </c>
    </row>
    <row r="20" spans="1:38" hidden="1">
      <c r="A20" s="3" t="s">
        <v>70</v>
      </c>
      <c r="B20" s="3" t="str">
        <f t="shared" si="2"/>
        <v>Aya</v>
      </c>
      <c r="C20" s="3" t="str">
        <f t="shared" si="3"/>
        <v>Magd-el-din</v>
      </c>
      <c r="D20" s="44" t="s">
        <v>71</v>
      </c>
      <c r="E20" s="33">
        <v>46286</v>
      </c>
      <c r="F20" s="7" t="s">
        <v>60</v>
      </c>
      <c r="G20" s="197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5"/>
      <c r="AA20" s="38" t="s">
        <v>11</v>
      </c>
      <c r="AB20" s="36" t="s">
        <v>11</v>
      </c>
      <c r="AC20" s="36" t="s">
        <v>11</v>
      </c>
      <c r="AD20" s="36" t="s">
        <v>11</v>
      </c>
      <c r="AE20" s="41" t="s">
        <v>25</v>
      </c>
      <c r="AF20" s="3" t="s">
        <v>12</v>
      </c>
      <c r="AG20" s="3" t="s">
        <v>12</v>
      </c>
      <c r="AH20" s="36" t="s">
        <v>11</v>
      </c>
      <c r="AI20" s="36" t="s">
        <v>11</v>
      </c>
      <c r="AJ20" s="36" t="s">
        <v>11</v>
      </c>
      <c r="AL20" s="63" t="s">
        <v>7</v>
      </c>
    </row>
    <row r="21" spans="1:38" hidden="1">
      <c r="A21" s="3" t="s">
        <v>72</v>
      </c>
      <c r="B21" s="3" t="str">
        <f t="shared" si="2"/>
        <v>Ahmed</v>
      </c>
      <c r="C21" s="3" t="s">
        <v>73</v>
      </c>
      <c r="D21" s="46" t="s">
        <v>74</v>
      </c>
      <c r="E21" s="17">
        <v>46287</v>
      </c>
      <c r="F21" s="34" t="s">
        <v>22</v>
      </c>
      <c r="G21" s="196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1"/>
      <c r="AB21" s="38" t="s">
        <v>11</v>
      </c>
      <c r="AC21" s="41" t="s">
        <v>37</v>
      </c>
      <c r="AD21" s="36" t="s">
        <v>11</v>
      </c>
      <c r="AE21" s="36" t="s">
        <v>11</v>
      </c>
      <c r="AF21" s="3" t="s">
        <v>12</v>
      </c>
      <c r="AG21" s="3" t="s">
        <v>12</v>
      </c>
      <c r="AH21" s="36" t="s">
        <v>11</v>
      </c>
      <c r="AI21" s="36" t="s">
        <v>11</v>
      </c>
      <c r="AJ21" s="36" t="s">
        <v>11</v>
      </c>
      <c r="AL21" s="63" t="s">
        <v>7</v>
      </c>
    </row>
    <row r="22" spans="1:38" hidden="1">
      <c r="A22" s="23" t="s">
        <v>75</v>
      </c>
      <c r="B22" s="3" t="str">
        <f t="shared" si="2"/>
        <v>Mohamed</v>
      </c>
      <c r="C22" s="3" t="str">
        <f t="shared" si="3"/>
        <v>Ibrahim</v>
      </c>
      <c r="D22" s="45" t="s">
        <v>76</v>
      </c>
      <c r="E22" s="17">
        <v>46286</v>
      </c>
      <c r="F22" s="7" t="s">
        <v>22</v>
      </c>
      <c r="G22" s="197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5"/>
      <c r="AA22" s="38" t="s">
        <v>11</v>
      </c>
      <c r="AB22" s="36" t="s">
        <v>11</v>
      </c>
      <c r="AC22" s="41" t="s">
        <v>37</v>
      </c>
      <c r="AD22" s="36" t="s">
        <v>11</v>
      </c>
      <c r="AE22" s="36" t="s">
        <v>11</v>
      </c>
      <c r="AF22" s="3" t="s">
        <v>12</v>
      </c>
      <c r="AG22" s="3" t="s">
        <v>12</v>
      </c>
      <c r="AH22" s="65" t="s">
        <v>37</v>
      </c>
      <c r="AI22" s="36" t="s">
        <v>11</v>
      </c>
      <c r="AJ22" s="66" t="s">
        <v>77</v>
      </c>
      <c r="AL22" s="63" t="s">
        <v>7</v>
      </c>
    </row>
    <row r="23" spans="1:38" hidden="1">
      <c r="A23" s="23" t="s">
        <v>78</v>
      </c>
      <c r="B23" s="3" t="str">
        <f t="shared" si="2"/>
        <v>Banan</v>
      </c>
      <c r="C23" s="3" t="str">
        <f t="shared" si="3"/>
        <v>Elsayed</v>
      </c>
      <c r="D23" s="44" t="s">
        <v>79</v>
      </c>
      <c r="E23" s="17">
        <v>46286</v>
      </c>
      <c r="F23" s="7" t="s">
        <v>22</v>
      </c>
      <c r="G23" s="197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5"/>
      <c r="AA23" s="38" t="s">
        <v>11</v>
      </c>
      <c r="AB23" s="36" t="s">
        <v>11</v>
      </c>
      <c r="AC23" s="36" t="s">
        <v>11</v>
      </c>
      <c r="AD23" s="36" t="s">
        <v>11</v>
      </c>
      <c r="AE23" s="36" t="s">
        <v>11</v>
      </c>
      <c r="AF23" s="3" t="s">
        <v>12</v>
      </c>
      <c r="AG23" s="3" t="s">
        <v>12</v>
      </c>
      <c r="AH23" s="36" t="s">
        <v>11</v>
      </c>
      <c r="AI23" s="36" t="s">
        <v>11</v>
      </c>
      <c r="AJ23" s="36" t="s">
        <v>11</v>
      </c>
      <c r="AL23" s="63" t="s">
        <v>7</v>
      </c>
    </row>
    <row r="24" spans="1:38" hidden="1">
      <c r="A24" s="23" t="s">
        <v>80</v>
      </c>
      <c r="B24" s="3" t="str">
        <f t="shared" si="2"/>
        <v>Ahmed</v>
      </c>
      <c r="C24" s="3" t="str">
        <f t="shared" si="3"/>
        <v>aboelfadl</v>
      </c>
      <c r="D24" s="46" t="s">
        <v>81</v>
      </c>
      <c r="E24" s="17">
        <v>46286</v>
      </c>
      <c r="F24" s="7" t="s">
        <v>22</v>
      </c>
      <c r="G24" s="189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1"/>
      <c r="AB24" s="38" t="s">
        <v>11</v>
      </c>
      <c r="AC24" s="41" t="s">
        <v>37</v>
      </c>
      <c r="AD24" s="36" t="s">
        <v>11</v>
      </c>
      <c r="AE24" s="36" t="s">
        <v>11</v>
      </c>
      <c r="AF24" s="3" t="s">
        <v>12</v>
      </c>
      <c r="AG24" s="3" t="s">
        <v>12</v>
      </c>
      <c r="AH24" s="65" t="s">
        <v>37</v>
      </c>
      <c r="AI24" s="36" t="s">
        <v>11</v>
      </c>
      <c r="AJ24" s="36" t="s">
        <v>11</v>
      </c>
      <c r="AL24" s="63" t="s">
        <v>7</v>
      </c>
    </row>
    <row r="25" spans="1:38" hidden="1">
      <c r="A25" s="23" t="s">
        <v>82</v>
      </c>
      <c r="B25" s="3" t="str">
        <f t="shared" si="2"/>
        <v>Ahmed</v>
      </c>
      <c r="C25" s="3" t="str">
        <f t="shared" si="3"/>
        <v>Abdelgawad</v>
      </c>
      <c r="D25" s="44" t="s">
        <v>83</v>
      </c>
      <c r="E25" s="17">
        <v>46286</v>
      </c>
      <c r="F25" s="7" t="s">
        <v>22</v>
      </c>
      <c r="G25" s="189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3"/>
      <c r="AA25" s="38" t="s">
        <v>11</v>
      </c>
      <c r="AB25" s="36" t="s">
        <v>11</v>
      </c>
      <c r="AC25" s="41" t="s">
        <v>37</v>
      </c>
      <c r="AD25" s="36" t="s">
        <v>11</v>
      </c>
      <c r="AE25" s="36" t="s">
        <v>11</v>
      </c>
      <c r="AF25" s="3" t="s">
        <v>12</v>
      </c>
      <c r="AG25" s="3" t="s">
        <v>12</v>
      </c>
      <c r="AH25" s="36" t="s">
        <v>11</v>
      </c>
      <c r="AI25" s="36" t="s">
        <v>11</v>
      </c>
      <c r="AJ25" s="36" t="s">
        <v>11</v>
      </c>
      <c r="AL25" s="63" t="s">
        <v>7</v>
      </c>
    </row>
    <row r="26" spans="1:38" hidden="1">
      <c r="A26" s="23" t="s">
        <v>84</v>
      </c>
      <c r="B26" s="3" t="str">
        <f t="shared" si="2"/>
        <v>Marwan</v>
      </c>
      <c r="C26" s="3" t="str">
        <f t="shared" si="3"/>
        <v>Mohamed</v>
      </c>
      <c r="D26" s="44" t="s">
        <v>85</v>
      </c>
      <c r="E26" s="17">
        <v>46286</v>
      </c>
      <c r="F26" s="7" t="s">
        <v>22</v>
      </c>
      <c r="G26" s="197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5"/>
      <c r="AA26" s="38" t="s">
        <v>11</v>
      </c>
      <c r="AB26" s="36" t="s">
        <v>11</v>
      </c>
      <c r="AC26" s="36" t="s">
        <v>11</v>
      </c>
      <c r="AD26" s="41" t="s">
        <v>25</v>
      </c>
      <c r="AE26" s="41" t="s">
        <v>25</v>
      </c>
      <c r="AF26" s="3" t="s">
        <v>12</v>
      </c>
      <c r="AG26" s="3" t="s">
        <v>12</v>
      </c>
      <c r="AH26" s="36" t="s">
        <v>11</v>
      </c>
      <c r="AI26" s="36" t="s">
        <v>11</v>
      </c>
      <c r="AJ26" s="36" t="s">
        <v>11</v>
      </c>
      <c r="AL26" s="63" t="s">
        <v>7</v>
      </c>
    </row>
    <row r="27" spans="1:38" hidden="1">
      <c r="A27" s="23" t="s">
        <v>86</v>
      </c>
      <c r="B27" s="3" t="str">
        <f t="shared" si="2"/>
        <v>Mohamed</v>
      </c>
      <c r="C27" s="3" t="str">
        <f t="shared" si="3"/>
        <v>Mahmoud</v>
      </c>
      <c r="D27" s="4" t="s">
        <v>87</v>
      </c>
      <c r="E27" s="17">
        <v>46286</v>
      </c>
      <c r="F27" s="7" t="s">
        <v>22</v>
      </c>
      <c r="G27" s="197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5"/>
      <c r="AA27" s="38" t="s">
        <v>11</v>
      </c>
      <c r="AB27" s="36" t="s">
        <v>11</v>
      </c>
      <c r="AC27" s="41" t="s">
        <v>37</v>
      </c>
      <c r="AD27" s="41" t="s">
        <v>37</v>
      </c>
      <c r="AE27" s="36" t="s">
        <v>11</v>
      </c>
      <c r="AF27" s="3" t="s">
        <v>12</v>
      </c>
      <c r="AG27" s="3" t="s">
        <v>12</v>
      </c>
      <c r="AH27" s="36" t="s">
        <v>11</v>
      </c>
      <c r="AI27" s="36" t="s">
        <v>11</v>
      </c>
      <c r="AJ27" s="36" t="s">
        <v>11</v>
      </c>
      <c r="AL27" s="63" t="s">
        <v>7</v>
      </c>
    </row>
    <row r="28" spans="1:38" hidden="1">
      <c r="A28" s="23" t="s">
        <v>88</v>
      </c>
      <c r="B28" s="3" t="str">
        <f t="shared" si="2"/>
        <v>Mariam</v>
      </c>
      <c r="C28" s="3" t="str">
        <f t="shared" si="3"/>
        <v>Elmallawany</v>
      </c>
      <c r="D28" s="44" t="s">
        <v>89</v>
      </c>
      <c r="E28" s="17">
        <v>46286</v>
      </c>
      <c r="F28" s="7" t="s">
        <v>22</v>
      </c>
      <c r="G28" s="197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5"/>
      <c r="AA28" s="38" t="s">
        <v>11</v>
      </c>
      <c r="AB28" s="36" t="s">
        <v>11</v>
      </c>
      <c r="AC28" s="36" t="s">
        <v>11</v>
      </c>
      <c r="AD28" s="36" t="s">
        <v>11</v>
      </c>
      <c r="AE28" s="36" t="s">
        <v>11</v>
      </c>
      <c r="AF28" s="3" t="s">
        <v>12</v>
      </c>
      <c r="AG28" s="3" t="s">
        <v>12</v>
      </c>
      <c r="AH28" s="36" t="s">
        <v>11</v>
      </c>
      <c r="AI28" s="36" t="s">
        <v>11</v>
      </c>
      <c r="AJ28" s="36" t="s">
        <v>11</v>
      </c>
      <c r="AL28" s="63" t="s">
        <v>7</v>
      </c>
    </row>
    <row r="29" spans="1:38" hidden="1">
      <c r="A29" s="31" t="s">
        <v>90</v>
      </c>
      <c r="B29" s="14" t="str">
        <f t="shared" si="2"/>
        <v>Arwa</v>
      </c>
      <c r="C29" s="14" t="str">
        <f t="shared" si="3"/>
        <v>Ahmed</v>
      </c>
      <c r="D29" s="18" t="s">
        <v>91</v>
      </c>
      <c r="E29" s="20">
        <v>46286</v>
      </c>
      <c r="F29" s="8" t="s">
        <v>22</v>
      </c>
      <c r="G29" s="197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5"/>
      <c r="AA29" s="38" t="s">
        <v>11</v>
      </c>
      <c r="AB29" s="36" t="s">
        <v>11</v>
      </c>
      <c r="AC29" s="41" t="s">
        <v>37</v>
      </c>
      <c r="AD29" s="36" t="s">
        <v>11</v>
      </c>
      <c r="AE29" s="36" t="s">
        <v>11</v>
      </c>
      <c r="AF29" s="3" t="s">
        <v>12</v>
      </c>
      <c r="AG29" s="3" t="s">
        <v>12</v>
      </c>
      <c r="AH29" s="41" t="s">
        <v>25</v>
      </c>
      <c r="AI29" s="36" t="s">
        <v>11</v>
      </c>
      <c r="AJ29" s="36" t="s">
        <v>11</v>
      </c>
      <c r="AL29" s="63" t="s">
        <v>7</v>
      </c>
    </row>
    <row r="30" spans="1:38" hidden="1">
      <c r="A30" s="3" t="s">
        <v>92</v>
      </c>
      <c r="B30" s="3" t="str">
        <f>PROPER(_xlfn.TEXTBEFORE(TRIM(A30), " ", 1))</f>
        <v>Amany</v>
      </c>
      <c r="C30" s="3" t="str">
        <f t="shared" si="3"/>
        <v>Abdelazim</v>
      </c>
      <c r="D30" s="78" t="s">
        <v>93</v>
      </c>
      <c r="E30" s="20">
        <v>46288</v>
      </c>
      <c r="F30" s="14" t="s">
        <v>22</v>
      </c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3"/>
      <c r="AC30" s="38" t="s">
        <v>11</v>
      </c>
      <c r="AD30" s="36" t="s">
        <v>11</v>
      </c>
      <c r="AE30" s="36" t="s">
        <v>11</v>
      </c>
      <c r="AF30" s="14" t="s">
        <v>12</v>
      </c>
      <c r="AG30" s="14" t="s">
        <v>12</v>
      </c>
      <c r="AH30" s="65" t="s">
        <v>37</v>
      </c>
      <c r="AI30" s="41" t="s">
        <v>37</v>
      </c>
      <c r="AJ30" s="36" t="s">
        <v>11</v>
      </c>
      <c r="AL30" s="63" t="s">
        <v>7</v>
      </c>
    </row>
    <row r="31" spans="1:38" hidden="1">
      <c r="A31" s="3" t="s">
        <v>94</v>
      </c>
      <c r="B31" s="3" t="str">
        <f t="shared" si="2"/>
        <v>Sarah</v>
      </c>
      <c r="C31" s="7" t="str">
        <f t="shared" si="3"/>
        <v>Mohamed</v>
      </c>
      <c r="D31" s="46" t="s">
        <v>95</v>
      </c>
      <c r="E31" s="17">
        <v>46293</v>
      </c>
      <c r="F31" s="3" t="s">
        <v>22</v>
      </c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3"/>
      <c r="AH31" s="38" t="s">
        <v>11</v>
      </c>
      <c r="AI31" s="36" t="s">
        <v>11</v>
      </c>
      <c r="AJ31" s="41" t="s">
        <v>25</v>
      </c>
      <c r="AL31" s="63" t="s">
        <v>7</v>
      </c>
    </row>
    <row r="32" spans="1:38" hidden="1">
      <c r="A32" s="3" t="s">
        <v>96</v>
      </c>
      <c r="B32" s="3" t="str">
        <f t="shared" si="2"/>
        <v>Dalia</v>
      </c>
      <c r="C32" s="7" t="str">
        <f t="shared" si="3"/>
        <v>Elsabbagh</v>
      </c>
      <c r="D32" s="46" t="s">
        <v>97</v>
      </c>
      <c r="E32" s="17">
        <v>46293</v>
      </c>
      <c r="F32" s="3" t="s">
        <v>22</v>
      </c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5"/>
      <c r="AH32" s="38" t="s">
        <v>11</v>
      </c>
      <c r="AI32" s="36" t="s">
        <v>11</v>
      </c>
      <c r="AJ32" s="36" t="s">
        <v>11</v>
      </c>
      <c r="AL32" s="63" t="s">
        <v>7</v>
      </c>
    </row>
    <row r="33" spans="1:40" hidden="1">
      <c r="A33" s="3" t="s">
        <v>98</v>
      </c>
      <c r="B33" s="3" t="str">
        <f t="shared" si="2"/>
        <v>Salma</v>
      </c>
      <c r="C33" s="7" t="str">
        <f t="shared" si="3"/>
        <v>Dawaly</v>
      </c>
      <c r="D33" s="46" t="s">
        <v>99</v>
      </c>
      <c r="E33" s="17">
        <v>46293</v>
      </c>
      <c r="F33" s="3" t="s">
        <v>22</v>
      </c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5"/>
      <c r="AH33" s="38" t="s">
        <v>11</v>
      </c>
      <c r="AI33" s="36" t="s">
        <v>11</v>
      </c>
      <c r="AJ33" s="36" t="s">
        <v>11</v>
      </c>
      <c r="AL33" s="63" t="s">
        <v>7</v>
      </c>
    </row>
    <row r="34" spans="1:40" hidden="1">
      <c r="A34" s="3" t="s">
        <v>100</v>
      </c>
      <c r="B34" s="3" t="str">
        <f t="shared" si="2"/>
        <v>Ammar</v>
      </c>
      <c r="C34" s="7" t="str">
        <f t="shared" si="3"/>
        <v>Yasser</v>
      </c>
      <c r="D34" s="35">
        <v>46293</v>
      </c>
      <c r="E34" s="17">
        <v>46293</v>
      </c>
      <c r="F34" s="3" t="s">
        <v>22</v>
      </c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5"/>
      <c r="AH34" s="38" t="s">
        <v>11</v>
      </c>
      <c r="AI34" s="36" t="s">
        <v>11</v>
      </c>
      <c r="AJ34" s="65" t="s">
        <v>101</v>
      </c>
      <c r="AL34" s="63" t="s">
        <v>7</v>
      </c>
    </row>
    <row r="35" spans="1:40" hidden="1">
      <c r="A35" s="3" t="s">
        <v>102</v>
      </c>
      <c r="B35" s="3" t="str">
        <f t="shared" si="2"/>
        <v>Amr</v>
      </c>
      <c r="C35" s="7" t="str">
        <f t="shared" si="3"/>
        <v>Kotb</v>
      </c>
      <c r="D35" s="46" t="s">
        <v>103</v>
      </c>
      <c r="E35" s="17">
        <v>46293</v>
      </c>
      <c r="F35" s="3" t="s">
        <v>22</v>
      </c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5"/>
      <c r="AH35" s="38" t="s">
        <v>11</v>
      </c>
      <c r="AI35" s="36" t="s">
        <v>11</v>
      </c>
      <c r="AJ35" s="65" t="s">
        <v>25</v>
      </c>
      <c r="AL35" s="63" t="s">
        <v>7</v>
      </c>
    </row>
    <row r="36" spans="1:40" hidden="1">
      <c r="A36" s="3" t="s">
        <v>104</v>
      </c>
      <c r="B36" s="3" t="str">
        <f t="shared" si="2"/>
        <v>Khaled</v>
      </c>
      <c r="C36" s="7" t="str">
        <f t="shared" si="3"/>
        <v>Abdalgalil</v>
      </c>
      <c r="D36" s="46" t="s">
        <v>105</v>
      </c>
      <c r="E36" s="17">
        <v>46293</v>
      </c>
      <c r="F36" s="3" t="s">
        <v>22</v>
      </c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5"/>
      <c r="AH36" s="38" t="s">
        <v>11</v>
      </c>
      <c r="AI36" s="65" t="s">
        <v>37</v>
      </c>
      <c r="AJ36" s="36" t="s">
        <v>11</v>
      </c>
      <c r="AL36" s="63" t="s">
        <v>7</v>
      </c>
    </row>
    <row r="37" spans="1:40" hidden="1">
      <c r="A37" s="14" t="s">
        <v>106</v>
      </c>
      <c r="B37" s="14" t="str">
        <f>PROPER(_xlfn.TEXTBEFORE(TRIM(A37), " ", 1))</f>
        <v>Adham</v>
      </c>
      <c r="C37" s="14" t="str">
        <f>_xlfn.TEXTAFTER(TRIM(A37), " ", -1)</f>
        <v>Alzorkany</v>
      </c>
      <c r="D37" s="80" t="s">
        <v>107</v>
      </c>
      <c r="E37" s="20">
        <v>46293</v>
      </c>
      <c r="F37" s="81" t="s">
        <v>108</v>
      </c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5"/>
      <c r="AH37" s="38" t="s">
        <v>11</v>
      </c>
      <c r="AI37" s="36" t="s">
        <v>11</v>
      </c>
      <c r="AJ37" s="36" t="s">
        <v>11</v>
      </c>
      <c r="AL37" s="63" t="s">
        <v>7</v>
      </c>
    </row>
    <row r="38" spans="1:40" hidden="1">
      <c r="A38" s="3" t="s">
        <v>109</v>
      </c>
      <c r="B38" s="3" t="s">
        <v>110</v>
      </c>
      <c r="C38" s="3" t="s">
        <v>111</v>
      </c>
      <c r="D38" s="35">
        <v>46295</v>
      </c>
      <c r="E38" s="17">
        <v>46295</v>
      </c>
      <c r="F38" s="3" t="s">
        <v>22</v>
      </c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9"/>
      <c r="AJ38" s="38" t="s">
        <v>11</v>
      </c>
      <c r="AL38" s="63" t="s">
        <v>7</v>
      </c>
    </row>
    <row r="39" spans="1:40" hidden="1">
      <c r="A39" s="3" t="s">
        <v>112</v>
      </c>
      <c r="B39" s="3" t="s">
        <v>113</v>
      </c>
      <c r="C39" s="79" t="s">
        <v>48</v>
      </c>
      <c r="D39" s="35">
        <v>46295</v>
      </c>
      <c r="E39" s="17">
        <v>46295</v>
      </c>
      <c r="F39" s="3" t="s">
        <v>22</v>
      </c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0"/>
      <c r="AI39" s="201"/>
      <c r="AJ39" s="38" t="s">
        <v>11</v>
      </c>
      <c r="AL39" s="63" t="s">
        <v>7</v>
      </c>
    </row>
    <row r="40" spans="1:40" hidden="1">
      <c r="A40" s="3" t="s">
        <v>114</v>
      </c>
      <c r="B40" s="3" t="s">
        <v>115</v>
      </c>
      <c r="C40" s="3" t="s">
        <v>116</v>
      </c>
      <c r="D40" s="35">
        <v>46295</v>
      </c>
      <c r="E40" s="17">
        <v>46295</v>
      </c>
      <c r="F40" s="3" t="s">
        <v>22</v>
      </c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3"/>
      <c r="AJ40" s="38" t="s">
        <v>11</v>
      </c>
      <c r="AL40" s="63" t="s">
        <v>7</v>
      </c>
    </row>
    <row r="41" spans="1:40">
      <c r="A41" s="1" t="s">
        <v>1</v>
      </c>
      <c r="B41" s="1" t="s">
        <v>2</v>
      </c>
      <c r="C41" s="1" t="s">
        <v>3</v>
      </c>
      <c r="D41" s="1" t="s">
        <v>4</v>
      </c>
      <c r="E41" s="1" t="s">
        <v>5</v>
      </c>
      <c r="F41" s="1" t="s">
        <v>6</v>
      </c>
      <c r="G41" s="2">
        <v>46296</v>
      </c>
      <c r="H41" s="2">
        <v>46297</v>
      </c>
      <c r="I41" s="2">
        <v>46298</v>
      </c>
      <c r="J41" s="2">
        <v>46299</v>
      </c>
      <c r="K41" s="2">
        <v>46300</v>
      </c>
      <c r="L41" s="2">
        <v>46301</v>
      </c>
      <c r="M41" s="2">
        <v>46302</v>
      </c>
      <c r="N41" s="2">
        <v>46303</v>
      </c>
      <c r="O41" s="2">
        <v>46304</v>
      </c>
      <c r="P41" s="2">
        <v>46305</v>
      </c>
      <c r="Q41" s="2">
        <v>46306</v>
      </c>
      <c r="R41" s="2">
        <v>46307</v>
      </c>
      <c r="S41" s="2">
        <v>46308</v>
      </c>
      <c r="T41" s="2">
        <v>46309</v>
      </c>
      <c r="U41" s="2">
        <v>46310</v>
      </c>
      <c r="V41" s="2">
        <v>46311</v>
      </c>
      <c r="W41" s="2">
        <v>46312</v>
      </c>
      <c r="X41" s="2">
        <v>46313</v>
      </c>
      <c r="Y41" s="2">
        <v>46314</v>
      </c>
      <c r="Z41" s="2">
        <v>46315</v>
      </c>
      <c r="AA41" s="2">
        <v>46316</v>
      </c>
      <c r="AB41" s="2">
        <v>46317</v>
      </c>
      <c r="AC41" s="2">
        <v>46318</v>
      </c>
      <c r="AD41" s="2">
        <v>46319</v>
      </c>
      <c r="AE41" s="2">
        <v>46320</v>
      </c>
      <c r="AF41" s="2">
        <v>46321</v>
      </c>
      <c r="AG41" s="2">
        <v>46322</v>
      </c>
      <c r="AH41" s="2">
        <v>46323</v>
      </c>
      <c r="AI41" s="2">
        <v>46324</v>
      </c>
      <c r="AJ41" s="2">
        <v>46325</v>
      </c>
      <c r="AK41" s="2">
        <v>46326</v>
      </c>
      <c r="AL41" s="63" t="s">
        <v>117</v>
      </c>
    </row>
    <row r="42" spans="1:40">
      <c r="A42" s="3" t="s">
        <v>8</v>
      </c>
      <c r="B42" s="3" t="str">
        <f>PROPER(_xlfn.TEXTBEFORE(TRIM(A42), " ", 1))</f>
        <v>Mostafa</v>
      </c>
      <c r="C42" s="3" t="str">
        <f>_xlfn.TEXTAFTER(TRIM(A42), " ", -1)</f>
        <v>Mostafa</v>
      </c>
      <c r="D42" s="4" t="s">
        <v>9</v>
      </c>
      <c r="E42" s="82">
        <v>46235</v>
      </c>
      <c r="F42" s="3" t="s">
        <v>10</v>
      </c>
      <c r="G42" s="39" t="s">
        <v>37</v>
      </c>
      <c r="H42" s="36" t="s">
        <v>11</v>
      </c>
      <c r="I42" s="3" t="s">
        <v>12</v>
      </c>
      <c r="J42" s="3" t="s">
        <v>12</v>
      </c>
      <c r="K42" s="36" t="s">
        <v>11</v>
      </c>
      <c r="L42" s="36" t="s">
        <v>11</v>
      </c>
      <c r="M42" s="36" t="s">
        <v>11</v>
      </c>
      <c r="N42" s="36" t="s">
        <v>11</v>
      </c>
      <c r="O42" s="36" t="s">
        <v>11</v>
      </c>
      <c r="P42" s="3" t="s">
        <v>12</v>
      </c>
      <c r="Q42" s="3" t="s">
        <v>12</v>
      </c>
      <c r="R42" s="36" t="s">
        <v>11</v>
      </c>
      <c r="S42" s="83"/>
      <c r="T42" s="83"/>
      <c r="U42" s="83"/>
      <c r="V42" s="83"/>
      <c r="W42" s="3" t="s">
        <v>12</v>
      </c>
      <c r="X42" s="3" t="s">
        <v>12</v>
      </c>
      <c r="Y42" s="83"/>
      <c r="Z42" s="83"/>
      <c r="AA42" s="83"/>
      <c r="AB42" s="83"/>
      <c r="AC42" s="83"/>
      <c r="AD42" s="3" t="s">
        <v>12</v>
      </c>
      <c r="AE42" s="3" t="s">
        <v>12</v>
      </c>
      <c r="AF42" s="83"/>
      <c r="AG42" s="83"/>
      <c r="AH42" s="83"/>
      <c r="AI42" s="83"/>
      <c r="AJ42" s="83"/>
      <c r="AK42" s="3" t="s">
        <v>12</v>
      </c>
      <c r="AL42" s="63" t="s">
        <v>117</v>
      </c>
    </row>
    <row r="43" spans="1:40">
      <c r="A43" s="3" t="s">
        <v>15</v>
      </c>
      <c r="B43" s="3" t="str">
        <f t="shared" ref="B43:B52" si="4">PROPER(_xlfn.TEXTBEFORE(TRIM(A43), " ", 1))</f>
        <v>Gamal</v>
      </c>
      <c r="C43" s="3" t="str">
        <f t="shared" ref="C43:C52" si="5">_xlfn.TEXTAFTER(TRIM(A43), " ", -1)</f>
        <v>Sayed</v>
      </c>
      <c r="D43" s="4" t="s">
        <v>16</v>
      </c>
      <c r="E43" s="82">
        <v>46251</v>
      </c>
      <c r="F43" s="3" t="s">
        <v>10</v>
      </c>
      <c r="G43" s="36" t="s">
        <v>11</v>
      </c>
      <c r="H43" s="36" t="s">
        <v>11</v>
      </c>
      <c r="I43" s="3" t="s">
        <v>12</v>
      </c>
      <c r="J43" s="3" t="s">
        <v>12</v>
      </c>
      <c r="K43" s="36" t="s">
        <v>11</v>
      </c>
      <c r="L43" s="36" t="s">
        <v>11</v>
      </c>
      <c r="M43" s="36" t="s">
        <v>11</v>
      </c>
      <c r="N43" s="36" t="s">
        <v>11</v>
      </c>
      <c r="O43" s="36" t="s">
        <v>11</v>
      </c>
      <c r="P43" s="3" t="s">
        <v>12</v>
      </c>
      <c r="Q43" s="3" t="s">
        <v>12</v>
      </c>
      <c r="R43" s="36" t="s">
        <v>11</v>
      </c>
      <c r="S43" s="83"/>
      <c r="T43" s="83"/>
      <c r="U43" s="83"/>
      <c r="V43" s="83"/>
      <c r="W43" s="3" t="s">
        <v>12</v>
      </c>
      <c r="X43" s="3" t="s">
        <v>12</v>
      </c>
      <c r="Y43" s="83"/>
      <c r="Z43" s="83"/>
      <c r="AA43" s="83"/>
      <c r="AB43" s="83"/>
      <c r="AC43" s="83"/>
      <c r="AD43" s="3" t="s">
        <v>12</v>
      </c>
      <c r="AE43" s="3" t="s">
        <v>12</v>
      </c>
      <c r="AF43" s="83"/>
      <c r="AG43" s="83"/>
      <c r="AH43" s="83"/>
      <c r="AI43" s="83"/>
      <c r="AJ43" s="83"/>
      <c r="AK43" s="3" t="s">
        <v>12</v>
      </c>
      <c r="AL43" s="63" t="s">
        <v>117</v>
      </c>
    </row>
    <row r="44" spans="1:40">
      <c r="A44" s="3" t="s">
        <v>18</v>
      </c>
      <c r="B44" s="3" t="str">
        <f t="shared" si="4"/>
        <v>Mennatallah</v>
      </c>
      <c r="C44" s="3" t="str">
        <f t="shared" si="5"/>
        <v>Said</v>
      </c>
      <c r="D44" s="4" t="s">
        <v>19</v>
      </c>
      <c r="E44" s="82">
        <v>46235</v>
      </c>
      <c r="F44" s="3" t="s">
        <v>10</v>
      </c>
      <c r="G44" s="36" t="s">
        <v>11</v>
      </c>
      <c r="H44" s="36" t="s">
        <v>11</v>
      </c>
      <c r="I44" s="3" t="s">
        <v>12</v>
      </c>
      <c r="J44" s="3" t="s">
        <v>12</v>
      </c>
      <c r="K44" s="36" t="s">
        <v>11</v>
      </c>
      <c r="L44" s="36" t="s">
        <v>11</v>
      </c>
      <c r="M44" s="36" t="s">
        <v>11</v>
      </c>
      <c r="N44" s="36" t="s">
        <v>11</v>
      </c>
      <c r="O44" s="69" t="s">
        <v>13</v>
      </c>
      <c r="P44" s="3" t="s">
        <v>12</v>
      </c>
      <c r="Q44" s="3" t="s">
        <v>12</v>
      </c>
      <c r="R44" s="36" t="s">
        <v>11</v>
      </c>
      <c r="S44" s="83"/>
      <c r="T44" s="83"/>
      <c r="U44" s="83"/>
      <c r="V44" s="83"/>
      <c r="W44" s="3" t="s">
        <v>12</v>
      </c>
      <c r="X44" s="3" t="s">
        <v>12</v>
      </c>
      <c r="Y44" s="83"/>
      <c r="Z44" s="83"/>
      <c r="AA44" s="83"/>
      <c r="AB44" s="83"/>
      <c r="AC44" s="83"/>
      <c r="AD44" s="3" t="s">
        <v>12</v>
      </c>
      <c r="AE44" s="3" t="s">
        <v>12</v>
      </c>
      <c r="AF44" s="83"/>
      <c r="AG44" s="83"/>
      <c r="AH44" s="83"/>
      <c r="AI44" s="83"/>
      <c r="AJ44" s="83"/>
      <c r="AK44" s="3" t="s">
        <v>12</v>
      </c>
      <c r="AL44" s="63" t="s">
        <v>117</v>
      </c>
    </row>
    <row r="45" spans="1:40" ht="15.75">
      <c r="A45" s="3" t="s">
        <v>20</v>
      </c>
      <c r="B45" s="3" t="str">
        <f t="shared" si="4"/>
        <v>Hossam</v>
      </c>
      <c r="C45" s="3" t="str">
        <f t="shared" si="5"/>
        <v>Zeid</v>
      </c>
      <c r="D45" s="4" t="s">
        <v>21</v>
      </c>
      <c r="E45" s="82">
        <v>46272</v>
      </c>
      <c r="F45" s="3" t="s">
        <v>22</v>
      </c>
      <c r="G45" s="36" t="s">
        <v>11</v>
      </c>
      <c r="H45" s="36" t="s">
        <v>11</v>
      </c>
      <c r="I45" s="3" t="s">
        <v>12</v>
      </c>
      <c r="J45" s="3" t="s">
        <v>12</v>
      </c>
      <c r="K45" s="36" t="s">
        <v>11</v>
      </c>
      <c r="L45" s="36" t="s">
        <v>11</v>
      </c>
      <c r="M45" s="36" t="s">
        <v>11</v>
      </c>
      <c r="N45" s="39" t="s">
        <v>37</v>
      </c>
      <c r="O45" s="36" t="s">
        <v>11</v>
      </c>
      <c r="P45" s="3" t="s">
        <v>12</v>
      </c>
      <c r="Q45" s="3" t="s">
        <v>12</v>
      </c>
      <c r="R45" s="36" t="s">
        <v>11</v>
      </c>
      <c r="S45" s="83"/>
      <c r="T45" s="83"/>
      <c r="U45" s="83"/>
      <c r="V45" s="83"/>
      <c r="W45" s="3" t="s">
        <v>12</v>
      </c>
      <c r="X45" s="3" t="s">
        <v>12</v>
      </c>
      <c r="Y45" s="83"/>
      <c r="Z45" s="83"/>
      <c r="AA45" s="83"/>
      <c r="AB45" s="83"/>
      <c r="AC45" s="83"/>
      <c r="AD45" s="3" t="s">
        <v>12</v>
      </c>
      <c r="AE45" s="3" t="s">
        <v>12</v>
      </c>
      <c r="AF45" s="83"/>
      <c r="AG45" s="83"/>
      <c r="AH45" s="83"/>
      <c r="AI45" s="83"/>
      <c r="AJ45" s="83"/>
      <c r="AK45" s="3" t="s">
        <v>12</v>
      </c>
      <c r="AL45" s="63" t="s">
        <v>117</v>
      </c>
      <c r="AN45" s="77" t="s">
        <v>14</v>
      </c>
    </row>
    <row r="46" spans="1:40">
      <c r="A46" s="3" t="s">
        <v>23</v>
      </c>
      <c r="B46" s="3" t="str">
        <f t="shared" si="4"/>
        <v>Makram</v>
      </c>
      <c r="C46" s="3" t="str">
        <f t="shared" si="5"/>
        <v>Mohamed</v>
      </c>
      <c r="D46" s="4" t="s">
        <v>24</v>
      </c>
      <c r="E46" s="82">
        <v>46267</v>
      </c>
      <c r="F46" s="3" t="s">
        <v>22</v>
      </c>
      <c r="G46" s="36" t="s">
        <v>11</v>
      </c>
      <c r="H46" s="36" t="s">
        <v>11</v>
      </c>
      <c r="I46" s="3" t="s">
        <v>12</v>
      </c>
      <c r="J46" s="3" t="s">
        <v>12</v>
      </c>
      <c r="K46" s="65" t="s">
        <v>37</v>
      </c>
      <c r="L46" s="36" t="s">
        <v>11</v>
      </c>
      <c r="M46" s="36" t="s">
        <v>11</v>
      </c>
      <c r="N46" s="36" t="s">
        <v>11</v>
      </c>
      <c r="O46" s="36" t="s">
        <v>11</v>
      </c>
      <c r="P46" s="3" t="s">
        <v>12</v>
      </c>
      <c r="Q46" s="3" t="s">
        <v>12</v>
      </c>
      <c r="R46" s="36" t="s">
        <v>11</v>
      </c>
      <c r="S46" s="83"/>
      <c r="T46" s="83"/>
      <c r="U46" s="83"/>
      <c r="V46" s="83"/>
      <c r="W46" s="3" t="s">
        <v>12</v>
      </c>
      <c r="X46" s="3" t="s">
        <v>12</v>
      </c>
      <c r="Y46" s="83"/>
      <c r="Z46" s="83"/>
      <c r="AA46" s="83"/>
      <c r="AB46" s="83"/>
      <c r="AC46" s="83"/>
      <c r="AD46" s="3" t="s">
        <v>12</v>
      </c>
      <c r="AE46" s="3" t="s">
        <v>12</v>
      </c>
      <c r="AF46" s="83"/>
      <c r="AG46" s="83"/>
      <c r="AH46" s="83"/>
      <c r="AI46" s="83"/>
      <c r="AJ46" s="83"/>
      <c r="AK46" s="3" t="s">
        <v>12</v>
      </c>
      <c r="AL46" s="63" t="s">
        <v>117</v>
      </c>
      <c r="AN46" s="67" t="s">
        <v>17</v>
      </c>
    </row>
    <row r="47" spans="1:40">
      <c r="A47" s="3" t="s">
        <v>26</v>
      </c>
      <c r="B47" s="3" t="str">
        <f t="shared" si="4"/>
        <v>Marwan</v>
      </c>
      <c r="C47" s="3" t="str">
        <f t="shared" si="5"/>
        <v>Dahesh</v>
      </c>
      <c r="D47" s="4" t="s">
        <v>27</v>
      </c>
      <c r="E47" s="17">
        <v>46279</v>
      </c>
      <c r="F47" s="3" t="s">
        <v>22</v>
      </c>
      <c r="G47" s="36" t="s">
        <v>11</v>
      </c>
      <c r="H47" s="36" t="s">
        <v>11</v>
      </c>
      <c r="I47" s="3" t="s">
        <v>12</v>
      </c>
      <c r="J47" s="3" t="s">
        <v>12</v>
      </c>
      <c r="K47" s="65" t="s">
        <v>37</v>
      </c>
      <c r="L47" s="36" t="s">
        <v>11</v>
      </c>
      <c r="M47" s="36" t="s">
        <v>11</v>
      </c>
      <c r="N47" s="36" t="s">
        <v>11</v>
      </c>
      <c r="O47" s="36" t="s">
        <v>11</v>
      </c>
      <c r="P47" s="3" t="s">
        <v>12</v>
      </c>
      <c r="Q47" s="3" t="s">
        <v>12</v>
      </c>
      <c r="R47" s="36" t="s">
        <v>11</v>
      </c>
      <c r="S47" s="83"/>
      <c r="T47" s="83"/>
      <c r="U47" s="83"/>
      <c r="V47" s="83"/>
      <c r="W47" s="3" t="s">
        <v>12</v>
      </c>
      <c r="X47" s="3" t="s">
        <v>12</v>
      </c>
      <c r="Y47" s="83"/>
      <c r="Z47" s="83"/>
      <c r="AA47" s="83"/>
      <c r="AB47" s="83"/>
      <c r="AC47" s="83"/>
      <c r="AD47" s="3" t="s">
        <v>12</v>
      </c>
      <c r="AE47" s="3" t="s">
        <v>12</v>
      </c>
      <c r="AF47" s="83"/>
      <c r="AG47" s="83"/>
      <c r="AH47" s="83"/>
      <c r="AI47" s="83"/>
      <c r="AJ47" s="83"/>
      <c r="AK47" s="3" t="s">
        <v>12</v>
      </c>
      <c r="AL47" s="63" t="s">
        <v>117</v>
      </c>
      <c r="AN47" s="68" t="s">
        <v>11</v>
      </c>
    </row>
    <row r="48" spans="1:40">
      <c r="A48" s="3" t="s">
        <v>29</v>
      </c>
      <c r="B48" s="3" t="str">
        <f t="shared" si="4"/>
        <v>Shahd</v>
      </c>
      <c r="C48" s="3" t="str">
        <f t="shared" si="5"/>
        <v>Hassan</v>
      </c>
      <c r="D48" s="4" t="s">
        <v>30</v>
      </c>
      <c r="E48" s="17">
        <v>46279</v>
      </c>
      <c r="F48" s="3" t="s">
        <v>22</v>
      </c>
      <c r="G48" s="36" t="s">
        <v>11</v>
      </c>
      <c r="H48" s="36" t="s">
        <v>11</v>
      </c>
      <c r="I48" s="3" t="s">
        <v>12</v>
      </c>
      <c r="J48" s="3" t="s">
        <v>12</v>
      </c>
      <c r="K48" s="36" t="s">
        <v>11</v>
      </c>
      <c r="L48" s="36" t="s">
        <v>11</v>
      </c>
      <c r="M48" s="36" t="s">
        <v>11</v>
      </c>
      <c r="N48" s="36" t="s">
        <v>11</v>
      </c>
      <c r="O48" s="36" t="s">
        <v>11</v>
      </c>
      <c r="P48" s="3" t="s">
        <v>12</v>
      </c>
      <c r="Q48" s="3" t="s">
        <v>12</v>
      </c>
      <c r="R48" s="36" t="s">
        <v>11</v>
      </c>
      <c r="S48" s="83"/>
      <c r="T48" s="83"/>
      <c r="U48" s="83"/>
      <c r="V48" s="83"/>
      <c r="W48" s="3" t="s">
        <v>12</v>
      </c>
      <c r="X48" s="3" t="s">
        <v>12</v>
      </c>
      <c r="Y48" s="83"/>
      <c r="Z48" s="83"/>
      <c r="AA48" s="83"/>
      <c r="AB48" s="83"/>
      <c r="AC48" s="83"/>
      <c r="AD48" s="3" t="s">
        <v>12</v>
      </c>
      <c r="AE48" s="3" t="s">
        <v>12</v>
      </c>
      <c r="AF48" s="83"/>
      <c r="AG48" s="83"/>
      <c r="AH48" s="83"/>
      <c r="AI48" s="83"/>
      <c r="AJ48" s="83"/>
      <c r="AK48" s="3" t="s">
        <v>12</v>
      </c>
      <c r="AL48" s="63" t="s">
        <v>117</v>
      </c>
      <c r="AN48" s="69" t="s">
        <v>13</v>
      </c>
    </row>
    <row r="49" spans="1:41">
      <c r="A49" s="3" t="s">
        <v>32</v>
      </c>
      <c r="B49" s="3" t="str">
        <f t="shared" si="4"/>
        <v>Nourhan</v>
      </c>
      <c r="C49" s="3" t="str">
        <f t="shared" si="5"/>
        <v>Khafagy</v>
      </c>
      <c r="D49" s="4" t="s">
        <v>33</v>
      </c>
      <c r="E49" s="17">
        <v>46279</v>
      </c>
      <c r="F49" s="3" t="s">
        <v>22</v>
      </c>
      <c r="G49" s="36" t="s">
        <v>11</v>
      </c>
      <c r="H49" s="36" t="s">
        <v>11</v>
      </c>
      <c r="I49" s="3" t="s">
        <v>12</v>
      </c>
      <c r="J49" s="3" t="s">
        <v>12</v>
      </c>
      <c r="K49" s="36" t="s">
        <v>11</v>
      </c>
      <c r="L49" s="36" t="s">
        <v>11</v>
      </c>
      <c r="M49" s="36" t="s">
        <v>11</v>
      </c>
      <c r="N49" s="36" t="s">
        <v>11</v>
      </c>
      <c r="O49" s="36" t="s">
        <v>11</v>
      </c>
      <c r="P49" s="3" t="s">
        <v>12</v>
      </c>
      <c r="Q49" s="3" t="s">
        <v>12</v>
      </c>
      <c r="R49" s="36" t="s">
        <v>11</v>
      </c>
      <c r="S49" s="83"/>
      <c r="T49" s="83"/>
      <c r="U49" s="83"/>
      <c r="V49" s="83"/>
      <c r="W49" s="3" t="s">
        <v>12</v>
      </c>
      <c r="X49" s="3" t="s">
        <v>12</v>
      </c>
      <c r="Y49" s="83"/>
      <c r="Z49" s="83"/>
      <c r="AA49" s="83"/>
      <c r="AB49" s="83"/>
      <c r="AC49" s="83"/>
      <c r="AD49" s="3" t="s">
        <v>12</v>
      </c>
      <c r="AE49" s="3" t="s">
        <v>12</v>
      </c>
      <c r="AF49" s="83"/>
      <c r="AG49" s="83"/>
      <c r="AH49" s="83"/>
      <c r="AI49" s="83"/>
      <c r="AJ49" s="83"/>
      <c r="AK49" s="3" t="s">
        <v>12</v>
      </c>
      <c r="AL49" s="63" t="s">
        <v>117</v>
      </c>
      <c r="AN49" s="70" t="s">
        <v>12</v>
      </c>
    </row>
    <row r="50" spans="1:41">
      <c r="A50" s="3" t="s">
        <v>35</v>
      </c>
      <c r="B50" s="3" t="str">
        <f t="shared" si="4"/>
        <v>Berta</v>
      </c>
      <c r="C50" s="3" t="str">
        <f t="shared" si="5"/>
        <v>Hanna</v>
      </c>
      <c r="D50" s="4" t="s">
        <v>36</v>
      </c>
      <c r="E50" s="17">
        <v>46279</v>
      </c>
      <c r="F50" s="3" t="s">
        <v>22</v>
      </c>
      <c r="G50" s="36" t="s">
        <v>11</v>
      </c>
      <c r="H50" s="36" t="s">
        <v>11</v>
      </c>
      <c r="I50" s="3" t="s">
        <v>12</v>
      </c>
      <c r="J50" s="3" t="s">
        <v>12</v>
      </c>
      <c r="K50" s="36" t="s">
        <v>11</v>
      </c>
      <c r="L50" s="36" t="s">
        <v>11</v>
      </c>
      <c r="M50" s="36" t="s">
        <v>11</v>
      </c>
      <c r="N50" s="36" t="s">
        <v>11</v>
      </c>
      <c r="O50" s="39" t="s">
        <v>37</v>
      </c>
      <c r="P50" s="3" t="s">
        <v>12</v>
      </c>
      <c r="Q50" s="3" t="s">
        <v>12</v>
      </c>
      <c r="R50" s="36" t="s">
        <v>11</v>
      </c>
      <c r="S50" s="83"/>
      <c r="T50" s="83"/>
      <c r="U50" s="83"/>
      <c r="V50" s="83"/>
      <c r="W50" s="3" t="s">
        <v>12</v>
      </c>
      <c r="X50" s="3" t="s">
        <v>12</v>
      </c>
      <c r="Y50" s="83"/>
      <c r="Z50" s="83"/>
      <c r="AA50" s="83"/>
      <c r="AB50" s="83"/>
      <c r="AC50" s="83"/>
      <c r="AD50" s="3" t="s">
        <v>12</v>
      </c>
      <c r="AE50" s="3" t="s">
        <v>12</v>
      </c>
      <c r="AF50" s="83"/>
      <c r="AG50" s="83"/>
      <c r="AH50" s="83"/>
      <c r="AI50" s="83"/>
      <c r="AJ50" s="83"/>
      <c r="AK50" s="3" t="s">
        <v>12</v>
      </c>
      <c r="AL50" s="63" t="s">
        <v>117</v>
      </c>
      <c r="AN50" s="71" t="s">
        <v>28</v>
      </c>
    </row>
    <row r="51" spans="1:41">
      <c r="A51" s="3" t="s">
        <v>39</v>
      </c>
      <c r="B51" s="3" t="str">
        <f t="shared" si="4"/>
        <v>Mohamed</v>
      </c>
      <c r="C51" s="3" t="str">
        <f t="shared" si="5"/>
        <v xml:space="preserve">Elaidi
</v>
      </c>
      <c r="D51" s="4" t="s">
        <v>40</v>
      </c>
      <c r="E51" s="17">
        <v>46280</v>
      </c>
      <c r="F51" s="3" t="s">
        <v>22</v>
      </c>
      <c r="G51" s="36" t="s">
        <v>11</v>
      </c>
      <c r="H51" s="36" t="s">
        <v>11</v>
      </c>
      <c r="I51" s="3" t="s">
        <v>12</v>
      </c>
      <c r="J51" s="3" t="s">
        <v>12</v>
      </c>
      <c r="K51" s="36" t="s">
        <v>11</v>
      </c>
      <c r="L51" s="36" t="s">
        <v>11</v>
      </c>
      <c r="M51" s="36" t="s">
        <v>11</v>
      </c>
      <c r="N51" s="65" t="s">
        <v>37</v>
      </c>
      <c r="O51" s="36" t="s">
        <v>11</v>
      </c>
      <c r="P51" s="3" t="s">
        <v>12</v>
      </c>
      <c r="Q51" s="3" t="s">
        <v>12</v>
      </c>
      <c r="R51" s="36" t="s">
        <v>11</v>
      </c>
      <c r="S51" s="83"/>
      <c r="T51" s="83"/>
      <c r="U51" s="83"/>
      <c r="V51" s="83"/>
      <c r="W51" s="3" t="s">
        <v>12</v>
      </c>
      <c r="X51" s="3" t="s">
        <v>12</v>
      </c>
      <c r="Y51" s="83"/>
      <c r="Z51" s="83"/>
      <c r="AA51" s="83"/>
      <c r="AB51" s="83"/>
      <c r="AC51" s="83"/>
      <c r="AD51" s="3" t="s">
        <v>12</v>
      </c>
      <c r="AE51" s="3" t="s">
        <v>12</v>
      </c>
      <c r="AF51" s="83"/>
      <c r="AG51" s="83"/>
      <c r="AH51" s="83"/>
      <c r="AI51" s="83"/>
      <c r="AJ51" s="83"/>
      <c r="AK51" s="3" t="s">
        <v>12</v>
      </c>
      <c r="AL51" s="63" t="s">
        <v>117</v>
      </c>
      <c r="AN51" s="72" t="s">
        <v>31</v>
      </c>
    </row>
    <row r="52" spans="1:41">
      <c r="A52" s="3" t="s">
        <v>42</v>
      </c>
      <c r="B52" s="3" t="s">
        <v>43</v>
      </c>
      <c r="C52" s="3" t="s">
        <v>44</v>
      </c>
      <c r="D52" s="4" t="s">
        <v>45</v>
      </c>
      <c r="E52" s="17">
        <v>46281</v>
      </c>
      <c r="F52" s="3" t="s">
        <v>22</v>
      </c>
      <c r="G52" s="36" t="s">
        <v>11</v>
      </c>
      <c r="H52" s="36" t="s">
        <v>11</v>
      </c>
      <c r="I52" s="3" t="s">
        <v>12</v>
      </c>
      <c r="J52" s="3" t="s">
        <v>12</v>
      </c>
      <c r="K52" s="36" t="s">
        <v>11</v>
      </c>
      <c r="L52" s="36" t="s">
        <v>11</v>
      </c>
      <c r="M52" s="36" t="s">
        <v>11</v>
      </c>
      <c r="N52" s="36" t="s">
        <v>11</v>
      </c>
      <c r="O52" s="36" t="s">
        <v>11</v>
      </c>
      <c r="P52" s="3" t="s">
        <v>12</v>
      </c>
      <c r="Q52" s="3" t="s">
        <v>12</v>
      </c>
      <c r="R52" s="36" t="s">
        <v>11</v>
      </c>
      <c r="S52" s="83"/>
      <c r="T52" s="83"/>
      <c r="U52" s="83"/>
      <c r="V52" s="83"/>
      <c r="W52" s="3" t="s">
        <v>12</v>
      </c>
      <c r="X52" s="3" t="s">
        <v>12</v>
      </c>
      <c r="Y52" s="83"/>
      <c r="Z52" s="83"/>
      <c r="AA52" s="83"/>
      <c r="AB52" s="83"/>
      <c r="AC52" s="83"/>
      <c r="AD52" s="3" t="s">
        <v>12</v>
      </c>
      <c r="AE52" s="3" t="s">
        <v>12</v>
      </c>
      <c r="AF52" s="83"/>
      <c r="AG52" s="83"/>
      <c r="AH52" s="83"/>
      <c r="AI52" s="83"/>
      <c r="AJ52" s="83"/>
      <c r="AK52" s="3" t="s">
        <v>12</v>
      </c>
      <c r="AL52" s="63" t="s">
        <v>117</v>
      </c>
      <c r="AN52" s="73" t="s">
        <v>11</v>
      </c>
      <c r="AO52" t="s">
        <v>34</v>
      </c>
    </row>
    <row r="53" spans="1:41">
      <c r="A53" s="3" t="s">
        <v>47</v>
      </c>
      <c r="B53" s="3" t="s">
        <v>48</v>
      </c>
      <c r="C53" s="3" t="s">
        <v>49</v>
      </c>
      <c r="D53" s="4" t="s">
        <v>50</v>
      </c>
      <c r="E53" s="17">
        <v>46280</v>
      </c>
      <c r="F53" s="3" t="s">
        <v>22</v>
      </c>
      <c r="G53" s="36" t="s">
        <v>11</v>
      </c>
      <c r="H53" s="36" t="s">
        <v>11</v>
      </c>
      <c r="I53" s="3" t="s">
        <v>12</v>
      </c>
      <c r="J53" s="3" t="s">
        <v>12</v>
      </c>
      <c r="K53" s="36" t="s">
        <v>11</v>
      </c>
      <c r="L53" s="36" t="s">
        <v>11</v>
      </c>
      <c r="M53" s="36" t="s">
        <v>11</v>
      </c>
      <c r="N53" s="36" t="s">
        <v>11</v>
      </c>
      <c r="O53" s="36" t="s">
        <v>11</v>
      </c>
      <c r="P53" s="3" t="s">
        <v>12</v>
      </c>
      <c r="Q53" s="3" t="s">
        <v>12</v>
      </c>
      <c r="R53" s="36" t="s">
        <v>11</v>
      </c>
      <c r="S53" s="83"/>
      <c r="T53" s="83"/>
      <c r="U53" s="83"/>
      <c r="V53" s="83"/>
      <c r="W53" s="3" t="s">
        <v>12</v>
      </c>
      <c r="X53" s="3" t="s">
        <v>12</v>
      </c>
      <c r="Y53" s="83"/>
      <c r="Z53" s="83"/>
      <c r="AA53" s="83"/>
      <c r="AB53" s="83"/>
      <c r="AC53" s="83"/>
      <c r="AD53" s="3" t="s">
        <v>12</v>
      </c>
      <c r="AE53" s="3" t="s">
        <v>12</v>
      </c>
      <c r="AF53" s="83"/>
      <c r="AG53" s="83"/>
      <c r="AH53" s="83"/>
      <c r="AI53" s="83"/>
      <c r="AJ53" s="83"/>
      <c r="AK53" s="3" t="s">
        <v>12</v>
      </c>
      <c r="AL53" s="63" t="s">
        <v>117</v>
      </c>
      <c r="AN53" s="74" t="s">
        <v>11</v>
      </c>
      <c r="AO53" t="s">
        <v>38</v>
      </c>
    </row>
    <row r="54" spans="1:41">
      <c r="A54" s="3" t="s">
        <v>52</v>
      </c>
      <c r="B54" s="3" t="s">
        <v>53</v>
      </c>
      <c r="C54" s="3" t="s">
        <v>54</v>
      </c>
      <c r="D54" s="84" t="s">
        <v>55</v>
      </c>
      <c r="E54" s="17">
        <v>46281</v>
      </c>
      <c r="F54" s="3" t="s">
        <v>22</v>
      </c>
      <c r="G54" s="39" t="s">
        <v>37</v>
      </c>
      <c r="H54" s="36" t="s">
        <v>11</v>
      </c>
      <c r="I54" s="3" t="s">
        <v>12</v>
      </c>
      <c r="J54" s="3" t="s">
        <v>12</v>
      </c>
      <c r="K54" s="36" t="s">
        <v>11</v>
      </c>
      <c r="L54" s="36" t="s">
        <v>11</v>
      </c>
      <c r="M54" s="36" t="s">
        <v>11</v>
      </c>
      <c r="N54" s="36" t="s">
        <v>11</v>
      </c>
      <c r="O54" s="39" t="s">
        <v>37</v>
      </c>
      <c r="P54" s="3" t="s">
        <v>12</v>
      </c>
      <c r="Q54" s="3" t="s">
        <v>12</v>
      </c>
      <c r="R54" s="39" t="s">
        <v>37</v>
      </c>
      <c r="S54" s="83"/>
      <c r="T54" s="83"/>
      <c r="U54" s="83"/>
      <c r="V54" s="83"/>
      <c r="W54" s="3" t="s">
        <v>12</v>
      </c>
      <c r="X54" s="3" t="s">
        <v>12</v>
      </c>
      <c r="Y54" s="83"/>
      <c r="Z54" s="83"/>
      <c r="AA54" s="83"/>
      <c r="AB54" s="83"/>
      <c r="AC54" s="83"/>
      <c r="AD54" s="3" t="s">
        <v>12</v>
      </c>
      <c r="AE54" s="3" t="s">
        <v>12</v>
      </c>
      <c r="AF54" s="83"/>
      <c r="AG54" s="83"/>
      <c r="AH54" s="83"/>
      <c r="AI54" s="83"/>
      <c r="AJ54" s="83"/>
      <c r="AK54" s="3" t="s">
        <v>12</v>
      </c>
      <c r="AL54" s="63" t="s">
        <v>117</v>
      </c>
      <c r="AN54" s="75" t="s">
        <v>37</v>
      </c>
      <c r="AO54" t="s">
        <v>41</v>
      </c>
    </row>
    <row r="55" spans="1:41">
      <c r="A55" s="3" t="s">
        <v>56</v>
      </c>
      <c r="B55" s="3" t="s">
        <v>57</v>
      </c>
      <c r="C55" s="3" t="s">
        <v>58</v>
      </c>
      <c r="D55" s="4" t="s">
        <v>59</v>
      </c>
      <c r="E55" s="17">
        <v>46279</v>
      </c>
      <c r="F55" s="3" t="s">
        <v>60</v>
      </c>
      <c r="G55" s="36" t="s">
        <v>11</v>
      </c>
      <c r="H55" s="36" t="s">
        <v>11</v>
      </c>
      <c r="I55" s="3" t="s">
        <v>12</v>
      </c>
      <c r="J55" s="3" t="s">
        <v>12</v>
      </c>
      <c r="K55" s="39" t="s">
        <v>37</v>
      </c>
      <c r="L55" s="36" t="s">
        <v>11</v>
      </c>
      <c r="M55" s="36" t="s">
        <v>11</v>
      </c>
      <c r="N55" s="36" t="s">
        <v>11</v>
      </c>
      <c r="O55" s="36" t="s">
        <v>11</v>
      </c>
      <c r="P55" s="3" t="s">
        <v>12</v>
      </c>
      <c r="Q55" s="3" t="s">
        <v>12</v>
      </c>
      <c r="R55" s="36" t="s">
        <v>11</v>
      </c>
      <c r="S55" s="83"/>
      <c r="T55" s="83"/>
      <c r="U55" s="83"/>
      <c r="V55" s="83"/>
      <c r="W55" s="3" t="s">
        <v>12</v>
      </c>
      <c r="X55" s="3" t="s">
        <v>12</v>
      </c>
      <c r="Y55" s="83"/>
      <c r="Z55" s="83"/>
      <c r="AA55" s="83"/>
      <c r="AB55" s="83"/>
      <c r="AC55" s="83"/>
      <c r="AD55" s="3" t="s">
        <v>12</v>
      </c>
      <c r="AE55" s="3" t="s">
        <v>12</v>
      </c>
      <c r="AF55" s="83"/>
      <c r="AG55" s="83"/>
      <c r="AH55" s="83"/>
      <c r="AI55" s="83"/>
      <c r="AJ55" s="83"/>
      <c r="AK55" s="3" t="s">
        <v>12</v>
      </c>
      <c r="AL55" s="63" t="s">
        <v>117</v>
      </c>
      <c r="AN55" s="65" t="s">
        <v>37</v>
      </c>
      <c r="AO55" t="s">
        <v>46</v>
      </c>
    </row>
    <row r="56" spans="1:41">
      <c r="A56" s="3" t="s">
        <v>61</v>
      </c>
      <c r="B56" s="3" t="str">
        <f t="shared" ref="B56:B68" si="6">PROPER(_xlfn.TEXTBEFORE(TRIM(A56), " ", 1))</f>
        <v>Hagar</v>
      </c>
      <c r="C56" s="3" t="s">
        <v>62</v>
      </c>
      <c r="D56" s="44" t="s">
        <v>63</v>
      </c>
      <c r="E56" s="17">
        <v>46286</v>
      </c>
      <c r="F56" s="3" t="s">
        <v>22</v>
      </c>
      <c r="G56" s="39" t="s">
        <v>37</v>
      </c>
      <c r="H56" s="36" t="s">
        <v>11</v>
      </c>
      <c r="I56" s="3" t="s">
        <v>12</v>
      </c>
      <c r="J56" s="3" t="s">
        <v>12</v>
      </c>
      <c r="K56" s="65" t="s">
        <v>37</v>
      </c>
      <c r="L56" s="36" t="s">
        <v>11</v>
      </c>
      <c r="M56" s="36" t="s">
        <v>11</v>
      </c>
      <c r="N56" s="65" t="s">
        <v>37</v>
      </c>
      <c r="O56" s="39" t="s">
        <v>37</v>
      </c>
      <c r="P56" s="3" t="s">
        <v>12</v>
      </c>
      <c r="Q56" s="3" t="s">
        <v>12</v>
      </c>
      <c r="R56" s="65" t="s">
        <v>37</v>
      </c>
      <c r="S56" s="83"/>
      <c r="T56" s="83"/>
      <c r="U56" s="83"/>
      <c r="V56" s="83"/>
      <c r="W56" s="3" t="s">
        <v>12</v>
      </c>
      <c r="X56" s="3" t="s">
        <v>12</v>
      </c>
      <c r="Y56" s="83"/>
      <c r="Z56" s="83"/>
      <c r="AA56" s="83"/>
      <c r="AB56" s="83"/>
      <c r="AC56" s="83"/>
      <c r="AD56" s="3" t="s">
        <v>12</v>
      </c>
      <c r="AE56" s="3" t="s">
        <v>12</v>
      </c>
      <c r="AF56" s="83"/>
      <c r="AG56" s="83"/>
      <c r="AH56" s="83"/>
      <c r="AI56" s="83"/>
      <c r="AJ56" s="83"/>
      <c r="AK56" s="3" t="s">
        <v>12</v>
      </c>
      <c r="AL56" s="63" t="s">
        <v>117</v>
      </c>
      <c r="AN56" s="76" t="s">
        <v>51</v>
      </c>
    </row>
    <row r="57" spans="1:41">
      <c r="A57" s="3" t="s">
        <v>64</v>
      </c>
      <c r="B57" s="3" t="str">
        <f t="shared" si="6"/>
        <v>Mohamed</v>
      </c>
      <c r="C57" s="3" t="str">
        <f t="shared" ref="C57:C69" si="7">_xlfn.TEXTAFTER(TRIM(A57), " ", -1)</f>
        <v>Mosa</v>
      </c>
      <c r="D57" s="4" t="s">
        <v>65</v>
      </c>
      <c r="E57" s="17">
        <v>46286</v>
      </c>
      <c r="F57" s="3" t="s">
        <v>66</v>
      </c>
      <c r="G57" s="36" t="s">
        <v>11</v>
      </c>
      <c r="H57" s="36" t="s">
        <v>11</v>
      </c>
      <c r="I57" s="3" t="s">
        <v>12</v>
      </c>
      <c r="J57" s="3" t="s">
        <v>12</v>
      </c>
      <c r="K57" s="36" t="s">
        <v>11</v>
      </c>
      <c r="L57" s="36" t="s">
        <v>11</v>
      </c>
      <c r="M57" s="36" t="s">
        <v>11</v>
      </c>
      <c r="N57" s="36" t="s">
        <v>11</v>
      </c>
      <c r="O57" s="36" t="s">
        <v>11</v>
      </c>
      <c r="P57" s="3" t="s">
        <v>12</v>
      </c>
      <c r="Q57" s="3" t="s">
        <v>12</v>
      </c>
      <c r="R57" s="36" t="s">
        <v>11</v>
      </c>
      <c r="S57" s="83"/>
      <c r="T57" s="83"/>
      <c r="U57" s="83"/>
      <c r="V57" s="83"/>
      <c r="W57" s="3" t="s">
        <v>12</v>
      </c>
      <c r="X57" s="3" t="s">
        <v>12</v>
      </c>
      <c r="Y57" s="83"/>
      <c r="Z57" s="83"/>
      <c r="AA57" s="83"/>
      <c r="AB57" s="83"/>
      <c r="AC57" s="83"/>
      <c r="AD57" s="3" t="s">
        <v>12</v>
      </c>
      <c r="AE57" s="3" t="s">
        <v>12</v>
      </c>
      <c r="AF57" s="83"/>
      <c r="AG57" s="83"/>
      <c r="AH57" s="83"/>
      <c r="AI57" s="83"/>
      <c r="AJ57" s="83"/>
      <c r="AK57" s="3" t="s">
        <v>12</v>
      </c>
      <c r="AL57" s="63" t="s">
        <v>117</v>
      </c>
    </row>
    <row r="58" spans="1:41">
      <c r="A58" s="3" t="s">
        <v>67</v>
      </c>
      <c r="B58" s="3" t="str">
        <f t="shared" si="6"/>
        <v>Nour</v>
      </c>
      <c r="C58" s="3" t="str">
        <f t="shared" si="7"/>
        <v>Mahmoud</v>
      </c>
      <c r="D58" s="44" t="s">
        <v>68</v>
      </c>
      <c r="E58" s="17">
        <v>46286</v>
      </c>
      <c r="F58" s="3" t="s">
        <v>69</v>
      </c>
      <c r="G58" s="39" t="s">
        <v>37</v>
      </c>
      <c r="H58" s="36" t="s">
        <v>11</v>
      </c>
      <c r="I58" s="3" t="s">
        <v>12</v>
      </c>
      <c r="J58" s="3" t="s">
        <v>12</v>
      </c>
      <c r="K58" s="36" t="s">
        <v>11</v>
      </c>
      <c r="L58" s="36" t="s">
        <v>11</v>
      </c>
      <c r="M58" s="36" t="s">
        <v>11</v>
      </c>
      <c r="N58" s="36" t="s">
        <v>11</v>
      </c>
      <c r="O58" s="36" t="s">
        <v>11</v>
      </c>
      <c r="P58" s="3" t="s">
        <v>12</v>
      </c>
      <c r="Q58" s="3" t="s">
        <v>12</v>
      </c>
      <c r="R58" s="36" t="s">
        <v>11</v>
      </c>
      <c r="S58" s="83"/>
      <c r="T58" s="83"/>
      <c r="U58" s="83"/>
      <c r="V58" s="83"/>
      <c r="W58" s="3" t="s">
        <v>12</v>
      </c>
      <c r="X58" s="3" t="s">
        <v>12</v>
      </c>
      <c r="Y58" s="83"/>
      <c r="Z58" s="83"/>
      <c r="AA58" s="83"/>
      <c r="AB58" s="83"/>
      <c r="AC58" s="83"/>
      <c r="AD58" s="3" t="s">
        <v>12</v>
      </c>
      <c r="AE58" s="3" t="s">
        <v>12</v>
      </c>
      <c r="AF58" s="83"/>
      <c r="AG58" s="83"/>
      <c r="AH58" s="83"/>
      <c r="AI58" s="83"/>
      <c r="AJ58" s="83"/>
      <c r="AK58" s="3" t="s">
        <v>12</v>
      </c>
      <c r="AL58" s="63" t="s">
        <v>117</v>
      </c>
    </row>
    <row r="59" spans="1:41">
      <c r="A59" s="3" t="s">
        <v>70</v>
      </c>
      <c r="B59" s="3" t="str">
        <f t="shared" si="6"/>
        <v>Aya</v>
      </c>
      <c r="C59" s="3" t="str">
        <f t="shared" si="7"/>
        <v>Magd-el-din</v>
      </c>
      <c r="D59" s="44" t="s">
        <v>71</v>
      </c>
      <c r="E59" s="17">
        <v>46286</v>
      </c>
      <c r="F59" s="3" t="s">
        <v>60</v>
      </c>
      <c r="G59" s="36" t="s">
        <v>11</v>
      </c>
      <c r="H59" s="36" t="s">
        <v>11</v>
      </c>
      <c r="I59" s="3" t="s">
        <v>12</v>
      </c>
      <c r="J59" s="3" t="s">
        <v>12</v>
      </c>
      <c r="K59" s="36" t="s">
        <v>11</v>
      </c>
      <c r="L59" s="36" t="s">
        <v>11</v>
      </c>
      <c r="M59" s="36" t="s">
        <v>11</v>
      </c>
      <c r="N59" s="36" t="s">
        <v>11</v>
      </c>
      <c r="O59" s="36" t="s">
        <v>11</v>
      </c>
      <c r="P59" s="3" t="s">
        <v>12</v>
      </c>
      <c r="Q59" s="3" t="s">
        <v>12</v>
      </c>
      <c r="R59" s="36" t="s">
        <v>11</v>
      </c>
      <c r="S59" s="83"/>
      <c r="T59" s="83"/>
      <c r="U59" s="83"/>
      <c r="V59" s="83"/>
      <c r="W59" s="3" t="s">
        <v>12</v>
      </c>
      <c r="X59" s="3" t="s">
        <v>12</v>
      </c>
      <c r="Y59" s="83"/>
      <c r="Z59" s="83"/>
      <c r="AA59" s="83"/>
      <c r="AB59" s="83"/>
      <c r="AC59" s="83"/>
      <c r="AD59" s="3" t="s">
        <v>12</v>
      </c>
      <c r="AE59" s="3" t="s">
        <v>12</v>
      </c>
      <c r="AF59" s="83"/>
      <c r="AG59" s="83"/>
      <c r="AH59" s="83"/>
      <c r="AI59" s="83"/>
      <c r="AJ59" s="83"/>
      <c r="AK59" s="3" t="s">
        <v>12</v>
      </c>
      <c r="AL59" s="63" t="s">
        <v>117</v>
      </c>
    </row>
    <row r="60" spans="1:41">
      <c r="A60" s="3" t="s">
        <v>72</v>
      </c>
      <c r="B60" s="3" t="str">
        <f t="shared" si="6"/>
        <v>Ahmed</v>
      </c>
      <c r="C60" s="3" t="s">
        <v>73</v>
      </c>
      <c r="D60" s="46" t="s">
        <v>74</v>
      </c>
      <c r="E60" s="17">
        <v>46287</v>
      </c>
      <c r="F60" s="3" t="s">
        <v>22</v>
      </c>
      <c r="G60" s="36" t="s">
        <v>11</v>
      </c>
      <c r="H60" s="36" t="s">
        <v>11</v>
      </c>
      <c r="I60" s="3" t="s">
        <v>12</v>
      </c>
      <c r="J60" s="3" t="s">
        <v>12</v>
      </c>
      <c r="K60" s="36" t="s">
        <v>11</v>
      </c>
      <c r="L60" s="36" t="s">
        <v>11</v>
      </c>
      <c r="M60" s="36" t="s">
        <v>11</v>
      </c>
      <c r="N60" s="36" t="s">
        <v>11</v>
      </c>
      <c r="O60" s="36" t="s">
        <v>11</v>
      </c>
      <c r="P60" s="3" t="s">
        <v>12</v>
      </c>
      <c r="Q60" s="3" t="s">
        <v>12</v>
      </c>
      <c r="R60" s="36" t="s">
        <v>11</v>
      </c>
      <c r="S60" s="83"/>
      <c r="T60" s="83"/>
      <c r="U60" s="83"/>
      <c r="V60" s="83"/>
      <c r="W60" s="3" t="s">
        <v>12</v>
      </c>
      <c r="X60" s="3" t="s">
        <v>12</v>
      </c>
      <c r="Y60" s="83"/>
      <c r="Z60" s="83"/>
      <c r="AA60" s="83"/>
      <c r="AB60" s="83"/>
      <c r="AC60" s="83"/>
      <c r="AD60" s="3" t="s">
        <v>12</v>
      </c>
      <c r="AE60" s="3" t="s">
        <v>12</v>
      </c>
      <c r="AF60" s="83"/>
      <c r="AG60" s="83"/>
      <c r="AH60" s="83"/>
      <c r="AI60" s="83"/>
      <c r="AJ60" s="83"/>
      <c r="AK60" s="3" t="s">
        <v>12</v>
      </c>
      <c r="AL60" s="63" t="s">
        <v>117</v>
      </c>
    </row>
    <row r="61" spans="1:41">
      <c r="A61" s="3" t="s">
        <v>75</v>
      </c>
      <c r="B61" s="3" t="str">
        <f t="shared" si="6"/>
        <v>Mohamed</v>
      </c>
      <c r="C61" s="3" t="str">
        <f t="shared" ref="C61:C89" si="8">_xlfn.TEXTAFTER(TRIM(A61), " ", -1)</f>
        <v>Ibrahim</v>
      </c>
      <c r="D61" s="85" t="s">
        <v>76</v>
      </c>
      <c r="E61" s="17">
        <v>46286</v>
      </c>
      <c r="F61" s="3" t="s">
        <v>22</v>
      </c>
      <c r="G61" s="36" t="s">
        <v>11</v>
      </c>
      <c r="H61" s="36" t="s">
        <v>11</v>
      </c>
      <c r="I61" s="3" t="s">
        <v>12</v>
      </c>
      <c r="J61" s="3" t="s">
        <v>12</v>
      </c>
      <c r="K61" s="65" t="s">
        <v>37</v>
      </c>
      <c r="L61" s="65" t="s">
        <v>37</v>
      </c>
      <c r="M61" s="65" t="s">
        <v>37</v>
      </c>
      <c r="N61" s="36" t="s">
        <v>11</v>
      </c>
      <c r="O61" s="36" t="s">
        <v>11</v>
      </c>
      <c r="P61" s="3" t="s">
        <v>12</v>
      </c>
      <c r="Q61" s="3" t="s">
        <v>12</v>
      </c>
      <c r="R61" s="65" t="s">
        <v>37</v>
      </c>
      <c r="S61" s="83"/>
      <c r="T61" s="83"/>
      <c r="U61" s="83"/>
      <c r="V61" s="83"/>
      <c r="W61" s="3" t="s">
        <v>12</v>
      </c>
      <c r="X61" s="3" t="s">
        <v>12</v>
      </c>
      <c r="Y61" s="83"/>
      <c r="Z61" s="83"/>
      <c r="AA61" s="83"/>
      <c r="AB61" s="83"/>
      <c r="AC61" s="83"/>
      <c r="AD61" s="3" t="s">
        <v>12</v>
      </c>
      <c r="AE61" s="3" t="s">
        <v>12</v>
      </c>
      <c r="AF61" s="83"/>
      <c r="AG61" s="83"/>
      <c r="AH61" s="83"/>
      <c r="AI61" s="83"/>
      <c r="AJ61" s="83"/>
      <c r="AK61" s="3" t="s">
        <v>12</v>
      </c>
      <c r="AL61" s="63" t="s">
        <v>117</v>
      </c>
    </row>
    <row r="62" spans="1:41">
      <c r="A62" s="3" t="s">
        <v>78</v>
      </c>
      <c r="B62" s="3" t="str">
        <f t="shared" si="6"/>
        <v>Banan</v>
      </c>
      <c r="C62" s="3" t="str">
        <f t="shared" si="8"/>
        <v>Elsayed</v>
      </c>
      <c r="D62" s="44" t="s">
        <v>79</v>
      </c>
      <c r="E62" s="17">
        <v>46286</v>
      </c>
      <c r="F62" s="3" t="s">
        <v>22</v>
      </c>
      <c r="G62" s="36" t="s">
        <v>11</v>
      </c>
      <c r="H62" s="36" t="s">
        <v>11</v>
      </c>
      <c r="I62" s="3" t="s">
        <v>12</v>
      </c>
      <c r="J62" s="3" t="s">
        <v>12</v>
      </c>
      <c r="K62" s="36" t="s">
        <v>11</v>
      </c>
      <c r="L62" s="36" t="s">
        <v>11</v>
      </c>
      <c r="M62" s="36" t="s">
        <v>11</v>
      </c>
      <c r="N62" s="65" t="s">
        <v>37</v>
      </c>
      <c r="O62" s="39" t="s">
        <v>37</v>
      </c>
      <c r="P62" s="3" t="s">
        <v>12</v>
      </c>
      <c r="Q62" s="3" t="s">
        <v>12</v>
      </c>
      <c r="R62" s="36" t="s">
        <v>11</v>
      </c>
      <c r="S62" s="83"/>
      <c r="T62" s="83"/>
      <c r="U62" s="83"/>
      <c r="V62" s="83"/>
      <c r="W62" s="3" t="s">
        <v>12</v>
      </c>
      <c r="X62" s="3" t="s">
        <v>12</v>
      </c>
      <c r="Y62" s="83"/>
      <c r="Z62" s="83"/>
      <c r="AA62" s="83"/>
      <c r="AB62" s="83"/>
      <c r="AC62" s="83"/>
      <c r="AD62" s="3" t="s">
        <v>12</v>
      </c>
      <c r="AE62" s="3" t="s">
        <v>12</v>
      </c>
      <c r="AF62" s="83"/>
      <c r="AG62" s="83"/>
      <c r="AH62" s="83"/>
      <c r="AI62" s="83"/>
      <c r="AJ62" s="83"/>
      <c r="AK62" s="3" t="s">
        <v>12</v>
      </c>
      <c r="AL62" s="63" t="s">
        <v>117</v>
      </c>
    </row>
    <row r="63" spans="1:41">
      <c r="A63" s="3" t="s">
        <v>80</v>
      </c>
      <c r="B63" s="3" t="str">
        <f t="shared" si="6"/>
        <v>Ahmed</v>
      </c>
      <c r="C63" s="3" t="str">
        <f t="shared" si="8"/>
        <v>aboelfadl</v>
      </c>
      <c r="D63" s="46" t="s">
        <v>81</v>
      </c>
      <c r="E63" s="17">
        <v>46286</v>
      </c>
      <c r="F63" s="3" t="s">
        <v>22</v>
      </c>
      <c r="G63" s="36" t="s">
        <v>11</v>
      </c>
      <c r="H63" s="36" t="s">
        <v>11</v>
      </c>
      <c r="I63" s="3" t="s">
        <v>12</v>
      </c>
      <c r="J63" s="3" t="s">
        <v>12</v>
      </c>
      <c r="K63" s="36" t="s">
        <v>11</v>
      </c>
      <c r="L63" s="36" t="s">
        <v>11</v>
      </c>
      <c r="M63" s="36" t="s">
        <v>11</v>
      </c>
      <c r="N63" s="36" t="s">
        <v>11</v>
      </c>
      <c r="O63" s="36" t="s">
        <v>11</v>
      </c>
      <c r="P63" s="3" t="s">
        <v>12</v>
      </c>
      <c r="Q63" s="3" t="s">
        <v>12</v>
      </c>
      <c r="R63" s="36" t="s">
        <v>11</v>
      </c>
      <c r="S63" s="83"/>
      <c r="T63" s="83"/>
      <c r="U63" s="83"/>
      <c r="V63" s="83"/>
      <c r="W63" s="3" t="s">
        <v>12</v>
      </c>
      <c r="X63" s="3" t="s">
        <v>12</v>
      </c>
      <c r="Y63" s="83"/>
      <c r="Z63" s="83"/>
      <c r="AA63" s="83"/>
      <c r="AB63" s="83"/>
      <c r="AC63" s="83"/>
      <c r="AD63" s="3" t="s">
        <v>12</v>
      </c>
      <c r="AE63" s="3" t="s">
        <v>12</v>
      </c>
      <c r="AF63" s="83"/>
      <c r="AG63" s="83"/>
      <c r="AH63" s="83"/>
      <c r="AI63" s="83"/>
      <c r="AJ63" s="83"/>
      <c r="AK63" s="3" t="s">
        <v>12</v>
      </c>
      <c r="AL63" s="63" t="s">
        <v>117</v>
      </c>
    </row>
    <row r="64" spans="1:41">
      <c r="A64" s="3" t="s">
        <v>82</v>
      </c>
      <c r="B64" s="3" t="str">
        <f t="shared" si="6"/>
        <v>Ahmed</v>
      </c>
      <c r="C64" s="3" t="str">
        <f t="shared" si="8"/>
        <v>Abdelgawad</v>
      </c>
      <c r="D64" s="44" t="s">
        <v>83</v>
      </c>
      <c r="E64" s="17">
        <v>46286</v>
      </c>
      <c r="F64" s="3" t="s">
        <v>22</v>
      </c>
      <c r="G64" s="36" t="s">
        <v>11</v>
      </c>
      <c r="H64" s="36" t="s">
        <v>11</v>
      </c>
      <c r="I64" s="3" t="s">
        <v>12</v>
      </c>
      <c r="J64" s="3" t="s">
        <v>12</v>
      </c>
      <c r="K64" s="36" t="s">
        <v>11</v>
      </c>
      <c r="L64" s="36" t="s">
        <v>11</v>
      </c>
      <c r="M64" s="36" t="s">
        <v>11</v>
      </c>
      <c r="N64" s="36" t="s">
        <v>11</v>
      </c>
      <c r="O64" s="36" t="s">
        <v>11</v>
      </c>
      <c r="P64" s="3" t="s">
        <v>12</v>
      </c>
      <c r="Q64" s="3" t="s">
        <v>12</v>
      </c>
      <c r="R64" s="36" t="s">
        <v>11</v>
      </c>
      <c r="S64" s="83"/>
      <c r="T64" s="83"/>
      <c r="U64" s="83"/>
      <c r="V64" s="83"/>
      <c r="W64" s="3" t="s">
        <v>12</v>
      </c>
      <c r="X64" s="3" t="s">
        <v>12</v>
      </c>
      <c r="Y64" s="83"/>
      <c r="Z64" s="83"/>
      <c r="AA64" s="83"/>
      <c r="AB64" s="83"/>
      <c r="AC64" s="83"/>
      <c r="AD64" s="3" t="s">
        <v>12</v>
      </c>
      <c r="AE64" s="3" t="s">
        <v>12</v>
      </c>
      <c r="AF64" s="83"/>
      <c r="AG64" s="83"/>
      <c r="AH64" s="83"/>
      <c r="AI64" s="83"/>
      <c r="AJ64" s="83"/>
      <c r="AK64" s="3" t="s">
        <v>12</v>
      </c>
      <c r="AL64" s="63" t="s">
        <v>117</v>
      </c>
    </row>
    <row r="65" spans="1:38">
      <c r="A65" s="3" t="s">
        <v>84</v>
      </c>
      <c r="B65" s="3" t="str">
        <f t="shared" si="6"/>
        <v>Marwan</v>
      </c>
      <c r="C65" s="3" t="str">
        <f t="shared" si="8"/>
        <v>Mohamed</v>
      </c>
      <c r="D65" s="44" t="s">
        <v>85</v>
      </c>
      <c r="E65" s="17">
        <v>46286</v>
      </c>
      <c r="F65" s="3" t="s">
        <v>22</v>
      </c>
      <c r="G65" s="36" t="s">
        <v>11</v>
      </c>
      <c r="H65" s="36" t="s">
        <v>11</v>
      </c>
      <c r="I65" s="3" t="s">
        <v>12</v>
      </c>
      <c r="J65" s="3" t="s">
        <v>12</v>
      </c>
      <c r="K65" s="36" t="s">
        <v>11</v>
      </c>
      <c r="L65" s="36" t="s">
        <v>11</v>
      </c>
      <c r="M65" s="36" t="s">
        <v>11</v>
      </c>
      <c r="N65" s="36" t="s">
        <v>11</v>
      </c>
      <c r="O65" s="39" t="s">
        <v>37</v>
      </c>
      <c r="P65" s="3" t="s">
        <v>12</v>
      </c>
      <c r="Q65" s="3" t="s">
        <v>12</v>
      </c>
      <c r="R65" s="36" t="s">
        <v>11</v>
      </c>
      <c r="S65" s="83"/>
      <c r="T65" s="83"/>
      <c r="U65" s="83"/>
      <c r="V65" s="83"/>
      <c r="W65" s="3" t="s">
        <v>12</v>
      </c>
      <c r="X65" s="3" t="s">
        <v>12</v>
      </c>
      <c r="Y65" s="83"/>
      <c r="Z65" s="83"/>
      <c r="AA65" s="83"/>
      <c r="AB65" s="83"/>
      <c r="AC65" s="83"/>
      <c r="AD65" s="3" t="s">
        <v>12</v>
      </c>
      <c r="AE65" s="3" t="s">
        <v>12</v>
      </c>
      <c r="AF65" s="83"/>
      <c r="AG65" s="83"/>
      <c r="AH65" s="83"/>
      <c r="AI65" s="83"/>
      <c r="AJ65" s="83"/>
      <c r="AK65" s="3" t="s">
        <v>12</v>
      </c>
      <c r="AL65" s="63" t="s">
        <v>117</v>
      </c>
    </row>
    <row r="66" spans="1:38">
      <c r="A66" s="3" t="s">
        <v>86</v>
      </c>
      <c r="B66" s="3" t="str">
        <f t="shared" si="6"/>
        <v>Mohamed</v>
      </c>
      <c r="C66" s="3" t="str">
        <f t="shared" si="8"/>
        <v>Mahmoud</v>
      </c>
      <c r="D66" s="4" t="s">
        <v>87</v>
      </c>
      <c r="E66" s="17">
        <v>46286</v>
      </c>
      <c r="F66" s="3" t="s">
        <v>22</v>
      </c>
      <c r="G66" s="36" t="s">
        <v>11</v>
      </c>
      <c r="H66" s="36" t="s">
        <v>11</v>
      </c>
      <c r="I66" s="3" t="s">
        <v>12</v>
      </c>
      <c r="J66" s="3" t="s">
        <v>12</v>
      </c>
      <c r="K66" s="39" t="s">
        <v>37</v>
      </c>
      <c r="L66" s="36" t="s">
        <v>11</v>
      </c>
      <c r="M66" s="36" t="s">
        <v>11</v>
      </c>
      <c r="N66" s="36" t="s">
        <v>11</v>
      </c>
      <c r="O66" s="36" t="s">
        <v>11</v>
      </c>
      <c r="P66" s="3" t="s">
        <v>12</v>
      </c>
      <c r="Q66" s="3" t="s">
        <v>12</v>
      </c>
      <c r="R66" s="36" t="s">
        <v>11</v>
      </c>
      <c r="S66" s="83"/>
      <c r="T66" s="83"/>
      <c r="U66" s="83"/>
      <c r="V66" s="83"/>
      <c r="W66" s="3" t="s">
        <v>12</v>
      </c>
      <c r="X66" s="3" t="s">
        <v>12</v>
      </c>
      <c r="Y66" s="83"/>
      <c r="Z66" s="83"/>
      <c r="AA66" s="83"/>
      <c r="AB66" s="83"/>
      <c r="AC66" s="83"/>
      <c r="AD66" s="3" t="s">
        <v>12</v>
      </c>
      <c r="AE66" s="3" t="s">
        <v>12</v>
      </c>
      <c r="AF66" s="83"/>
      <c r="AG66" s="83"/>
      <c r="AH66" s="83"/>
      <c r="AI66" s="83"/>
      <c r="AJ66" s="83"/>
      <c r="AK66" s="3" t="s">
        <v>12</v>
      </c>
      <c r="AL66" s="63" t="s">
        <v>117</v>
      </c>
    </row>
    <row r="67" spans="1:38">
      <c r="A67" s="3" t="s">
        <v>88</v>
      </c>
      <c r="B67" s="3" t="str">
        <f t="shared" si="6"/>
        <v>Mariam</v>
      </c>
      <c r="C67" s="3" t="str">
        <f t="shared" si="8"/>
        <v>Elmallawany</v>
      </c>
      <c r="D67" s="44" t="s">
        <v>89</v>
      </c>
      <c r="E67" s="17">
        <v>46286</v>
      </c>
      <c r="F67" s="3" t="s">
        <v>22</v>
      </c>
      <c r="G67" s="41" t="s">
        <v>25</v>
      </c>
      <c r="H67" s="36" t="s">
        <v>11</v>
      </c>
      <c r="I67" s="3" t="s">
        <v>12</v>
      </c>
      <c r="J67" s="3" t="s">
        <v>12</v>
      </c>
      <c r="K67" s="36" t="s">
        <v>11</v>
      </c>
      <c r="L67" s="36" t="s">
        <v>11</v>
      </c>
      <c r="M67" s="36" t="s">
        <v>11</v>
      </c>
      <c r="N67" s="36" t="s">
        <v>11</v>
      </c>
      <c r="O67" s="36" t="s">
        <v>11</v>
      </c>
      <c r="P67" s="3" t="s">
        <v>12</v>
      </c>
      <c r="Q67" s="3" t="s">
        <v>12</v>
      </c>
      <c r="R67" s="36" t="s">
        <v>11</v>
      </c>
      <c r="S67" s="83"/>
      <c r="T67" s="83"/>
      <c r="U67" s="83"/>
      <c r="V67" s="83"/>
      <c r="W67" s="3" t="s">
        <v>12</v>
      </c>
      <c r="X67" s="3" t="s">
        <v>12</v>
      </c>
      <c r="Y67" s="83"/>
      <c r="Z67" s="83"/>
      <c r="AA67" s="83"/>
      <c r="AB67" s="83"/>
      <c r="AC67" s="83"/>
      <c r="AD67" s="3" t="s">
        <v>12</v>
      </c>
      <c r="AE67" s="3" t="s">
        <v>12</v>
      </c>
      <c r="AF67" s="83"/>
      <c r="AG67" s="83"/>
      <c r="AH67" s="83"/>
      <c r="AI67" s="83"/>
      <c r="AJ67" s="83"/>
      <c r="AK67" s="3" t="s">
        <v>12</v>
      </c>
      <c r="AL67" s="63" t="s">
        <v>117</v>
      </c>
    </row>
    <row r="68" spans="1:38">
      <c r="A68" s="3" t="s">
        <v>90</v>
      </c>
      <c r="B68" s="3" t="str">
        <f t="shared" si="6"/>
        <v>Arwa</v>
      </c>
      <c r="C68" s="3" t="str">
        <f t="shared" si="8"/>
        <v>Ahmed</v>
      </c>
      <c r="D68" s="4" t="s">
        <v>91</v>
      </c>
      <c r="E68" s="17">
        <v>46286</v>
      </c>
      <c r="F68" s="3" t="s">
        <v>22</v>
      </c>
      <c r="G68" s="36" t="s">
        <v>11</v>
      </c>
      <c r="H68" s="36" t="s">
        <v>11</v>
      </c>
      <c r="I68" s="3" t="s">
        <v>12</v>
      </c>
      <c r="J68" s="3" t="s">
        <v>12</v>
      </c>
      <c r="K68" s="36" t="s">
        <v>11</v>
      </c>
      <c r="L68" s="36" t="s">
        <v>11</v>
      </c>
      <c r="M68" s="36" t="s">
        <v>11</v>
      </c>
      <c r="N68" s="36" t="s">
        <v>11</v>
      </c>
      <c r="O68" s="36" t="s">
        <v>11</v>
      </c>
      <c r="P68" s="3" t="s">
        <v>12</v>
      </c>
      <c r="Q68" s="3" t="s">
        <v>12</v>
      </c>
      <c r="R68" s="36" t="s">
        <v>11</v>
      </c>
      <c r="S68" s="83"/>
      <c r="T68" s="83"/>
      <c r="U68" s="83"/>
      <c r="V68" s="83"/>
      <c r="W68" s="3" t="s">
        <v>12</v>
      </c>
      <c r="X68" s="3" t="s">
        <v>12</v>
      </c>
      <c r="Y68" s="83"/>
      <c r="Z68" s="83"/>
      <c r="AA68" s="83"/>
      <c r="AB68" s="83"/>
      <c r="AC68" s="83"/>
      <c r="AD68" s="3" t="s">
        <v>12</v>
      </c>
      <c r="AE68" s="3" t="s">
        <v>12</v>
      </c>
      <c r="AF68" s="83"/>
      <c r="AG68" s="83"/>
      <c r="AH68" s="83"/>
      <c r="AI68" s="83"/>
      <c r="AJ68" s="83"/>
      <c r="AK68" s="3" t="s">
        <v>12</v>
      </c>
      <c r="AL68" s="63" t="s">
        <v>117</v>
      </c>
    </row>
    <row r="69" spans="1:38">
      <c r="A69" s="3" t="s">
        <v>92</v>
      </c>
      <c r="B69" s="3" t="str">
        <f>PROPER(_xlfn.TEXTBEFORE(TRIM(A69), " ", 1))</f>
        <v>Amany</v>
      </c>
      <c r="C69" s="3" t="str">
        <f t="shared" si="8"/>
        <v>Abdelazim</v>
      </c>
      <c r="D69" s="46" t="s">
        <v>93</v>
      </c>
      <c r="E69" s="17">
        <v>46288</v>
      </c>
      <c r="F69" s="3" t="s">
        <v>22</v>
      </c>
      <c r="G69" s="41" t="s">
        <v>25</v>
      </c>
      <c r="H69" s="36" t="s">
        <v>11</v>
      </c>
      <c r="I69" s="3" t="s">
        <v>12</v>
      </c>
      <c r="J69" s="3" t="s">
        <v>12</v>
      </c>
      <c r="K69" s="36" t="s">
        <v>11</v>
      </c>
      <c r="L69" s="36" t="s">
        <v>11</v>
      </c>
      <c r="M69" s="36" t="s">
        <v>11</v>
      </c>
      <c r="N69" s="36" t="s">
        <v>11</v>
      </c>
      <c r="O69" s="36" t="s">
        <v>11</v>
      </c>
      <c r="P69" s="3" t="s">
        <v>12</v>
      </c>
      <c r="Q69" s="3" t="s">
        <v>12</v>
      </c>
      <c r="R69" s="36" t="s">
        <v>11</v>
      </c>
      <c r="S69" s="83"/>
      <c r="T69" s="83"/>
      <c r="U69" s="83"/>
      <c r="V69" s="83"/>
      <c r="W69" s="3" t="s">
        <v>12</v>
      </c>
      <c r="X69" s="3" t="s">
        <v>12</v>
      </c>
      <c r="Y69" s="83"/>
      <c r="Z69" s="83"/>
      <c r="AA69" s="83"/>
      <c r="AB69" s="83"/>
      <c r="AC69" s="83"/>
      <c r="AD69" s="3" t="s">
        <v>12</v>
      </c>
      <c r="AE69" s="3" t="s">
        <v>12</v>
      </c>
      <c r="AF69" s="83"/>
      <c r="AG69" s="83"/>
      <c r="AH69" s="83"/>
      <c r="AI69" s="83"/>
      <c r="AJ69" s="83"/>
      <c r="AK69" s="3" t="s">
        <v>12</v>
      </c>
      <c r="AL69" s="63" t="s">
        <v>117</v>
      </c>
    </row>
    <row r="70" spans="1:38">
      <c r="A70" s="3" t="s">
        <v>94</v>
      </c>
      <c r="B70" s="3" t="str">
        <f t="shared" ref="B70:C89" si="9">PROPER(_xlfn.TEXTBEFORE(TRIM(A70), " ", 1))</f>
        <v>Sarah</v>
      </c>
      <c r="C70" s="3" t="str">
        <f t="shared" si="8"/>
        <v>Mohamed</v>
      </c>
      <c r="D70" s="46" t="s">
        <v>95</v>
      </c>
      <c r="E70" s="17">
        <v>46293</v>
      </c>
      <c r="F70" s="3" t="s">
        <v>22</v>
      </c>
      <c r="G70" s="36" t="s">
        <v>11</v>
      </c>
      <c r="H70" s="36" t="s">
        <v>11</v>
      </c>
      <c r="I70" s="3" t="s">
        <v>12</v>
      </c>
      <c r="J70" s="3" t="s">
        <v>12</v>
      </c>
      <c r="K70" s="36" t="s">
        <v>11</v>
      </c>
      <c r="L70" s="36" t="s">
        <v>11</v>
      </c>
      <c r="M70" s="36" t="s">
        <v>11</v>
      </c>
      <c r="N70" s="36" t="s">
        <v>11</v>
      </c>
      <c r="O70" s="36" t="s">
        <v>11</v>
      </c>
      <c r="P70" s="3" t="s">
        <v>12</v>
      </c>
      <c r="Q70" s="3" t="s">
        <v>12</v>
      </c>
      <c r="R70" s="36" t="s">
        <v>11</v>
      </c>
      <c r="S70" s="83"/>
      <c r="T70" s="83"/>
      <c r="U70" s="83"/>
      <c r="V70" s="83"/>
      <c r="W70" s="3" t="s">
        <v>12</v>
      </c>
      <c r="X70" s="3" t="s">
        <v>12</v>
      </c>
      <c r="Y70" s="83"/>
      <c r="Z70" s="83"/>
      <c r="AA70" s="83"/>
      <c r="AB70" s="83"/>
      <c r="AC70" s="83"/>
      <c r="AD70" s="3" t="s">
        <v>12</v>
      </c>
      <c r="AE70" s="3" t="s">
        <v>12</v>
      </c>
      <c r="AF70" s="83"/>
      <c r="AG70" s="83"/>
      <c r="AH70" s="83"/>
      <c r="AI70" s="83"/>
      <c r="AJ70" s="83"/>
      <c r="AK70" s="3" t="s">
        <v>12</v>
      </c>
      <c r="AL70" s="63" t="s">
        <v>117</v>
      </c>
    </row>
    <row r="71" spans="1:38">
      <c r="A71" s="3" t="s">
        <v>96</v>
      </c>
      <c r="B71" s="3" t="str">
        <f t="shared" si="9"/>
        <v>Dalia</v>
      </c>
      <c r="C71" s="3" t="str">
        <f t="shared" si="8"/>
        <v>Elsabbagh</v>
      </c>
      <c r="D71" s="46" t="s">
        <v>97</v>
      </c>
      <c r="E71" s="17">
        <v>46293</v>
      </c>
      <c r="F71" s="3" t="s">
        <v>22</v>
      </c>
      <c r="G71" s="36" t="s">
        <v>11</v>
      </c>
      <c r="H71" s="36" t="s">
        <v>11</v>
      </c>
      <c r="I71" s="3" t="s">
        <v>12</v>
      </c>
      <c r="J71" s="3" t="s">
        <v>12</v>
      </c>
      <c r="K71" s="36" t="s">
        <v>11</v>
      </c>
      <c r="L71" s="36" t="s">
        <v>11</v>
      </c>
      <c r="M71" s="36" t="s">
        <v>11</v>
      </c>
      <c r="N71" s="36" t="s">
        <v>11</v>
      </c>
      <c r="O71" s="36" t="s">
        <v>11</v>
      </c>
      <c r="P71" s="3" t="s">
        <v>12</v>
      </c>
      <c r="Q71" s="3" t="s">
        <v>12</v>
      </c>
      <c r="R71" s="36" t="s">
        <v>11</v>
      </c>
      <c r="S71" s="83"/>
      <c r="T71" s="83"/>
      <c r="U71" s="83"/>
      <c r="V71" s="83"/>
      <c r="W71" s="3" t="s">
        <v>12</v>
      </c>
      <c r="X71" s="3" t="s">
        <v>12</v>
      </c>
      <c r="Y71" s="83"/>
      <c r="Z71" s="83"/>
      <c r="AA71" s="83"/>
      <c r="AB71" s="83"/>
      <c r="AC71" s="83"/>
      <c r="AD71" s="3" t="s">
        <v>12</v>
      </c>
      <c r="AE71" s="3" t="s">
        <v>12</v>
      </c>
      <c r="AF71" s="83"/>
      <c r="AG71" s="83"/>
      <c r="AH71" s="83"/>
      <c r="AI71" s="83"/>
      <c r="AJ71" s="83"/>
      <c r="AK71" s="3" t="s">
        <v>12</v>
      </c>
      <c r="AL71" s="63" t="s">
        <v>117</v>
      </c>
    </row>
    <row r="72" spans="1:38">
      <c r="A72" s="3" t="s">
        <v>98</v>
      </c>
      <c r="B72" s="3" t="str">
        <f t="shared" si="9"/>
        <v>Salma</v>
      </c>
      <c r="C72" s="3" t="str">
        <f t="shared" si="8"/>
        <v>Dawaly</v>
      </c>
      <c r="D72" s="46" t="s">
        <v>99</v>
      </c>
      <c r="E72" s="17">
        <v>46293</v>
      </c>
      <c r="F72" s="3" t="s">
        <v>22</v>
      </c>
      <c r="G72" s="36" t="s">
        <v>11</v>
      </c>
      <c r="H72" s="36" t="s">
        <v>11</v>
      </c>
      <c r="I72" s="3" t="s">
        <v>12</v>
      </c>
      <c r="J72" s="3" t="s">
        <v>12</v>
      </c>
      <c r="K72" s="39" t="s">
        <v>37</v>
      </c>
      <c r="L72" s="36" t="s">
        <v>11</v>
      </c>
      <c r="M72" s="36" t="s">
        <v>11</v>
      </c>
      <c r="N72" s="36" t="s">
        <v>11</v>
      </c>
      <c r="O72" s="36" t="s">
        <v>11</v>
      </c>
      <c r="P72" s="3" t="s">
        <v>12</v>
      </c>
      <c r="Q72" s="3" t="s">
        <v>12</v>
      </c>
      <c r="R72" s="36" t="s">
        <v>11</v>
      </c>
      <c r="S72" s="83"/>
      <c r="T72" s="83"/>
      <c r="U72" s="83"/>
      <c r="V72" s="83"/>
      <c r="W72" s="3" t="s">
        <v>12</v>
      </c>
      <c r="X72" s="3" t="s">
        <v>12</v>
      </c>
      <c r="Y72" s="83"/>
      <c r="Z72" s="83"/>
      <c r="AA72" s="83"/>
      <c r="AB72" s="83"/>
      <c r="AC72" s="83"/>
      <c r="AD72" s="3" t="s">
        <v>12</v>
      </c>
      <c r="AE72" s="3" t="s">
        <v>12</v>
      </c>
      <c r="AF72" s="83"/>
      <c r="AG72" s="83"/>
      <c r="AH72" s="83"/>
      <c r="AI72" s="83"/>
      <c r="AJ72" s="83"/>
      <c r="AK72" s="3" t="s">
        <v>12</v>
      </c>
      <c r="AL72" s="63" t="s">
        <v>117</v>
      </c>
    </row>
    <row r="73" spans="1:38">
      <c r="A73" s="3" t="s">
        <v>118</v>
      </c>
      <c r="B73" s="3" t="str">
        <f t="shared" si="9"/>
        <v>Ammar</v>
      </c>
      <c r="C73" s="3" t="str">
        <f t="shared" si="8"/>
        <v>Ali</v>
      </c>
      <c r="D73" s="125" t="s">
        <v>119</v>
      </c>
      <c r="E73" s="17">
        <v>46293</v>
      </c>
      <c r="F73" s="3" t="s">
        <v>22</v>
      </c>
      <c r="G73" s="36" t="s">
        <v>11</v>
      </c>
      <c r="H73" s="36" t="s">
        <v>11</v>
      </c>
      <c r="I73" s="3" t="s">
        <v>12</v>
      </c>
      <c r="J73" s="3" t="s">
        <v>12</v>
      </c>
      <c r="K73" s="36" t="s">
        <v>11</v>
      </c>
      <c r="L73" s="39" t="s">
        <v>37</v>
      </c>
      <c r="M73" s="36" t="s">
        <v>11</v>
      </c>
      <c r="N73" s="36" t="s">
        <v>11</v>
      </c>
      <c r="O73" s="36" t="s">
        <v>11</v>
      </c>
      <c r="P73" s="3" t="s">
        <v>12</v>
      </c>
      <c r="Q73" s="3" t="s">
        <v>12</v>
      </c>
      <c r="R73" s="36" t="s">
        <v>11</v>
      </c>
      <c r="S73" s="83"/>
      <c r="T73" s="83"/>
      <c r="U73" s="83"/>
      <c r="V73" s="83"/>
      <c r="W73" s="3" t="s">
        <v>12</v>
      </c>
      <c r="X73" s="3" t="s">
        <v>12</v>
      </c>
      <c r="Y73" s="83"/>
      <c r="Z73" s="83"/>
      <c r="AA73" s="83"/>
      <c r="AB73" s="83"/>
      <c r="AC73" s="83"/>
      <c r="AD73" s="3" t="s">
        <v>12</v>
      </c>
      <c r="AE73" s="3" t="s">
        <v>12</v>
      </c>
      <c r="AF73" s="83"/>
      <c r="AG73" s="83"/>
      <c r="AH73" s="83"/>
      <c r="AI73" s="83"/>
      <c r="AJ73" s="83"/>
      <c r="AK73" s="3" t="s">
        <v>12</v>
      </c>
      <c r="AL73" s="63" t="s">
        <v>117</v>
      </c>
    </row>
    <row r="74" spans="1:38">
      <c r="A74" s="3" t="s">
        <v>102</v>
      </c>
      <c r="B74" s="3" t="str">
        <f t="shared" si="9"/>
        <v>Amr</v>
      </c>
      <c r="C74" s="3" t="str">
        <f t="shared" si="8"/>
        <v>Kotb</v>
      </c>
      <c r="D74" s="46" t="s">
        <v>103</v>
      </c>
      <c r="E74" s="17">
        <v>46293</v>
      </c>
      <c r="F74" s="3" t="s">
        <v>22</v>
      </c>
      <c r="G74" s="36" t="s">
        <v>11</v>
      </c>
      <c r="H74" s="36" t="s">
        <v>11</v>
      </c>
      <c r="I74" s="3" t="s">
        <v>12</v>
      </c>
      <c r="J74" s="3" t="s">
        <v>12</v>
      </c>
      <c r="K74" s="65" t="s">
        <v>37</v>
      </c>
      <c r="L74" s="36" t="s">
        <v>11</v>
      </c>
      <c r="M74" s="36" t="s">
        <v>11</v>
      </c>
      <c r="N74" s="36" t="s">
        <v>11</v>
      </c>
      <c r="O74" s="36" t="s">
        <v>11</v>
      </c>
      <c r="P74" s="3" t="s">
        <v>12</v>
      </c>
      <c r="Q74" s="3" t="s">
        <v>12</v>
      </c>
      <c r="R74" s="36" t="s">
        <v>11</v>
      </c>
      <c r="S74" s="83"/>
      <c r="T74" s="83"/>
      <c r="U74" s="83"/>
      <c r="V74" s="83"/>
      <c r="W74" s="3" t="s">
        <v>12</v>
      </c>
      <c r="X74" s="3" t="s">
        <v>12</v>
      </c>
      <c r="Y74" s="83"/>
      <c r="Z74" s="83"/>
      <c r="AA74" s="83"/>
      <c r="AB74" s="83"/>
      <c r="AC74" s="83"/>
      <c r="AD74" s="3" t="s">
        <v>12</v>
      </c>
      <c r="AE74" s="3" t="s">
        <v>12</v>
      </c>
      <c r="AF74" s="83"/>
      <c r="AG74" s="83"/>
      <c r="AH74" s="83"/>
      <c r="AI74" s="83"/>
      <c r="AJ74" s="83"/>
      <c r="AK74" s="3" t="s">
        <v>12</v>
      </c>
      <c r="AL74" s="63" t="s">
        <v>117</v>
      </c>
    </row>
    <row r="75" spans="1:38">
      <c r="A75" s="3" t="s">
        <v>104</v>
      </c>
      <c r="B75" s="3" t="str">
        <f t="shared" si="9"/>
        <v>Khaled</v>
      </c>
      <c r="C75" s="3" t="str">
        <f t="shared" si="8"/>
        <v>Abdalgalil</v>
      </c>
      <c r="D75" s="46" t="s">
        <v>105</v>
      </c>
      <c r="E75" s="17">
        <v>46293</v>
      </c>
      <c r="F75" s="3" t="s">
        <v>22</v>
      </c>
      <c r="G75" s="36" t="s">
        <v>11</v>
      </c>
      <c r="H75" s="36" t="s">
        <v>11</v>
      </c>
      <c r="I75" s="3" t="s">
        <v>12</v>
      </c>
      <c r="J75" s="3" t="s">
        <v>12</v>
      </c>
      <c r="K75" s="39" t="s">
        <v>37</v>
      </c>
      <c r="L75" s="36" t="s">
        <v>11</v>
      </c>
      <c r="M75" s="36" t="s">
        <v>11</v>
      </c>
      <c r="N75" s="36" t="s">
        <v>11</v>
      </c>
      <c r="O75" s="65" t="s">
        <v>37</v>
      </c>
      <c r="P75" s="3" t="s">
        <v>12</v>
      </c>
      <c r="Q75" s="3" t="s">
        <v>12</v>
      </c>
      <c r="R75" s="36" t="s">
        <v>11</v>
      </c>
      <c r="S75" s="83"/>
      <c r="T75" s="83"/>
      <c r="U75" s="83"/>
      <c r="V75" s="83"/>
      <c r="W75" s="3" t="s">
        <v>12</v>
      </c>
      <c r="X75" s="3" t="s">
        <v>12</v>
      </c>
      <c r="Y75" s="83"/>
      <c r="Z75" s="83"/>
      <c r="AA75" s="83"/>
      <c r="AB75" s="83"/>
      <c r="AC75" s="83"/>
      <c r="AD75" s="3" t="s">
        <v>12</v>
      </c>
      <c r="AE75" s="3" t="s">
        <v>12</v>
      </c>
      <c r="AF75" s="83"/>
      <c r="AG75" s="83"/>
      <c r="AH75" s="83"/>
      <c r="AI75" s="83"/>
      <c r="AJ75" s="83"/>
      <c r="AK75" s="3" t="s">
        <v>12</v>
      </c>
      <c r="AL75" s="63" t="s">
        <v>117</v>
      </c>
    </row>
    <row r="76" spans="1:38">
      <c r="A76" s="3" t="s">
        <v>106</v>
      </c>
      <c r="B76" s="3" t="str">
        <f t="shared" si="9"/>
        <v>Adham</v>
      </c>
      <c r="C76" s="3" t="str">
        <f t="shared" si="8"/>
        <v>Alzorkany</v>
      </c>
      <c r="D76" s="4" t="s">
        <v>107</v>
      </c>
      <c r="E76" s="17">
        <v>46293</v>
      </c>
      <c r="F76" s="3" t="s">
        <v>120</v>
      </c>
      <c r="G76" s="36" t="s">
        <v>11</v>
      </c>
      <c r="H76" s="36" t="s">
        <v>11</v>
      </c>
      <c r="I76" s="3" t="s">
        <v>12</v>
      </c>
      <c r="J76" s="3" t="s">
        <v>12</v>
      </c>
      <c r="K76" s="36" t="s">
        <v>11</v>
      </c>
      <c r="L76" s="36" t="s">
        <v>11</v>
      </c>
      <c r="M76" s="36" t="s">
        <v>11</v>
      </c>
      <c r="N76" s="36" t="s">
        <v>11</v>
      </c>
      <c r="O76" s="36" t="s">
        <v>11</v>
      </c>
      <c r="P76" s="3" t="s">
        <v>12</v>
      </c>
      <c r="Q76" s="3" t="s">
        <v>12</v>
      </c>
      <c r="R76" s="36" t="s">
        <v>11</v>
      </c>
      <c r="S76" s="83"/>
      <c r="T76" s="83"/>
      <c r="U76" s="83"/>
      <c r="V76" s="83"/>
      <c r="W76" s="3" t="s">
        <v>12</v>
      </c>
      <c r="X76" s="3" t="s">
        <v>12</v>
      </c>
      <c r="Y76" s="83"/>
      <c r="Z76" s="83"/>
      <c r="AA76" s="83"/>
      <c r="AB76" s="83"/>
      <c r="AC76" s="83"/>
      <c r="AD76" s="3" t="s">
        <v>12</v>
      </c>
      <c r="AE76" s="3" t="s">
        <v>12</v>
      </c>
      <c r="AF76" s="83"/>
      <c r="AG76" s="83"/>
      <c r="AH76" s="83"/>
      <c r="AI76" s="83"/>
      <c r="AJ76" s="83"/>
      <c r="AK76" s="3" t="s">
        <v>12</v>
      </c>
      <c r="AL76" s="63" t="s">
        <v>117</v>
      </c>
    </row>
    <row r="77" spans="1:38">
      <c r="A77" s="3" t="s">
        <v>109</v>
      </c>
      <c r="B77" s="3" t="str">
        <f t="shared" si="9"/>
        <v>Hagar</v>
      </c>
      <c r="C77" s="3" t="str">
        <f t="shared" si="8"/>
        <v>Abdelhameed</v>
      </c>
      <c r="D77" s="46" t="s">
        <v>121</v>
      </c>
      <c r="E77" s="17">
        <v>46295</v>
      </c>
      <c r="F77" s="3" t="s">
        <v>22</v>
      </c>
      <c r="G77" s="36" t="s">
        <v>11</v>
      </c>
      <c r="H77" s="36" t="s">
        <v>11</v>
      </c>
      <c r="I77" s="3" t="s">
        <v>12</v>
      </c>
      <c r="J77" s="3" t="s">
        <v>12</v>
      </c>
      <c r="K77" s="36" t="s">
        <v>11</v>
      </c>
      <c r="L77" s="36" t="s">
        <v>11</v>
      </c>
      <c r="M77" s="36" t="s">
        <v>11</v>
      </c>
      <c r="N77" s="36" t="s">
        <v>11</v>
      </c>
      <c r="O77" s="36" t="s">
        <v>11</v>
      </c>
      <c r="P77" s="3" t="s">
        <v>12</v>
      </c>
      <c r="Q77" s="3" t="s">
        <v>12</v>
      </c>
      <c r="R77" s="36" t="s">
        <v>11</v>
      </c>
      <c r="S77" s="83"/>
      <c r="T77" s="83"/>
      <c r="U77" s="83"/>
      <c r="V77" s="83"/>
      <c r="W77" s="3" t="s">
        <v>12</v>
      </c>
      <c r="X77" s="3" t="s">
        <v>12</v>
      </c>
      <c r="Y77" s="83"/>
      <c r="Z77" s="83"/>
      <c r="AA77" s="83"/>
      <c r="AB77" s="83"/>
      <c r="AC77" s="83"/>
      <c r="AD77" s="3" t="s">
        <v>12</v>
      </c>
      <c r="AE77" s="3" t="s">
        <v>12</v>
      </c>
      <c r="AF77" s="83"/>
      <c r="AG77" s="83"/>
      <c r="AH77" s="83"/>
      <c r="AI77" s="83"/>
      <c r="AJ77" s="83"/>
      <c r="AK77" s="3" t="s">
        <v>12</v>
      </c>
      <c r="AL77" s="63" t="s">
        <v>117</v>
      </c>
    </row>
    <row r="78" spans="1:38">
      <c r="A78" s="3" t="s">
        <v>122</v>
      </c>
      <c r="B78" s="3" t="str">
        <f t="shared" si="9"/>
        <v>Basel</v>
      </c>
      <c r="C78" s="3" t="str">
        <f t="shared" si="8"/>
        <v>Shalaby</v>
      </c>
      <c r="D78" s="134" t="s">
        <v>123</v>
      </c>
      <c r="E78" s="17">
        <v>46295</v>
      </c>
      <c r="F78" s="3" t="s">
        <v>22</v>
      </c>
      <c r="G78" s="36" t="s">
        <v>11</v>
      </c>
      <c r="H78" s="36" t="s">
        <v>11</v>
      </c>
      <c r="I78" s="3" t="s">
        <v>12</v>
      </c>
      <c r="J78" s="3" t="s">
        <v>12</v>
      </c>
      <c r="K78" s="39" t="s">
        <v>37</v>
      </c>
      <c r="L78" s="36" t="s">
        <v>11</v>
      </c>
      <c r="M78" s="36" t="s">
        <v>11</v>
      </c>
      <c r="N78" s="36" t="s">
        <v>11</v>
      </c>
      <c r="O78" s="36" t="s">
        <v>11</v>
      </c>
      <c r="P78" s="3" t="s">
        <v>12</v>
      </c>
      <c r="Q78" s="3" t="s">
        <v>12</v>
      </c>
      <c r="R78" s="36" t="s">
        <v>11</v>
      </c>
      <c r="S78" s="83"/>
      <c r="T78" s="83"/>
      <c r="U78" s="83"/>
      <c r="V78" s="83"/>
      <c r="W78" s="3" t="s">
        <v>12</v>
      </c>
      <c r="X78" s="3" t="s">
        <v>12</v>
      </c>
      <c r="Y78" s="83"/>
      <c r="Z78" s="83"/>
      <c r="AA78" s="83"/>
      <c r="AB78" s="83"/>
      <c r="AC78" s="83"/>
      <c r="AD78" s="3" t="s">
        <v>12</v>
      </c>
      <c r="AE78" s="3" t="s">
        <v>12</v>
      </c>
      <c r="AF78" s="83"/>
      <c r="AG78" s="83"/>
      <c r="AH78" s="83"/>
      <c r="AI78" s="83"/>
      <c r="AJ78" s="83"/>
      <c r="AK78" s="3" t="s">
        <v>12</v>
      </c>
      <c r="AL78" s="63" t="s">
        <v>117</v>
      </c>
    </row>
    <row r="79" spans="1:38">
      <c r="A79" s="14" t="s">
        <v>124</v>
      </c>
      <c r="B79" s="14" t="str">
        <f t="shared" si="9"/>
        <v>Hanin</v>
      </c>
      <c r="C79" s="14" t="str">
        <f t="shared" si="8"/>
        <v>Ahmed</v>
      </c>
      <c r="D79" s="147" t="s">
        <v>125</v>
      </c>
      <c r="E79" s="20">
        <v>46295</v>
      </c>
      <c r="F79" s="14" t="s">
        <v>22</v>
      </c>
      <c r="G79" s="36" t="s">
        <v>11</v>
      </c>
      <c r="H79" s="36" t="s">
        <v>11</v>
      </c>
      <c r="I79" s="14" t="s">
        <v>12</v>
      </c>
      <c r="J79" s="14" t="s">
        <v>12</v>
      </c>
      <c r="K79" s="36" t="s">
        <v>11</v>
      </c>
      <c r="L79" s="36" t="s">
        <v>11</v>
      </c>
      <c r="M79" s="36" t="s">
        <v>11</v>
      </c>
      <c r="N79" s="36" t="s">
        <v>11</v>
      </c>
      <c r="O79" s="36" t="s">
        <v>11</v>
      </c>
      <c r="P79" s="3" t="s">
        <v>12</v>
      </c>
      <c r="Q79" s="3" t="s">
        <v>12</v>
      </c>
      <c r="R79" s="36" t="s">
        <v>11</v>
      </c>
      <c r="S79" s="83"/>
      <c r="T79" s="83"/>
      <c r="U79" s="83"/>
      <c r="V79" s="83"/>
      <c r="W79" s="3" t="s">
        <v>12</v>
      </c>
      <c r="X79" s="3" t="s">
        <v>12</v>
      </c>
      <c r="Y79" s="83"/>
      <c r="Z79" s="83"/>
      <c r="AA79" s="83"/>
      <c r="AB79" s="83"/>
      <c r="AC79" s="83"/>
      <c r="AD79" s="3" t="s">
        <v>12</v>
      </c>
      <c r="AE79" s="3" t="s">
        <v>12</v>
      </c>
      <c r="AF79" s="83"/>
      <c r="AG79" s="83"/>
      <c r="AH79" s="83"/>
      <c r="AI79" s="83"/>
      <c r="AJ79" s="83"/>
      <c r="AK79" s="3" t="s">
        <v>12</v>
      </c>
      <c r="AL79" s="63" t="s">
        <v>117</v>
      </c>
    </row>
    <row r="80" spans="1:38">
      <c r="A80" s="146" t="s">
        <v>126</v>
      </c>
      <c r="B80" s="3" t="str">
        <f t="shared" si="9"/>
        <v>Mohamed</v>
      </c>
      <c r="C80" s="3" t="str">
        <f t="shared" si="8"/>
        <v>Safwat</v>
      </c>
      <c r="D80" s="35"/>
      <c r="E80" s="17">
        <v>46301</v>
      </c>
      <c r="F80" s="7" t="s">
        <v>127</v>
      </c>
      <c r="G80" s="157"/>
      <c r="H80" s="158"/>
      <c r="I80" s="156" t="s">
        <v>12</v>
      </c>
      <c r="J80" s="8" t="s">
        <v>12</v>
      </c>
      <c r="K80" s="161"/>
      <c r="L80" s="73" t="s">
        <v>11</v>
      </c>
      <c r="M80" s="36" t="s">
        <v>11</v>
      </c>
      <c r="N80" s="36" t="s">
        <v>11</v>
      </c>
      <c r="O80" s="36" t="s">
        <v>11</v>
      </c>
      <c r="P80" s="3" t="s">
        <v>12</v>
      </c>
      <c r="Q80" s="3" t="s">
        <v>12</v>
      </c>
      <c r="R80" s="36" t="s">
        <v>11</v>
      </c>
      <c r="S80" s="83"/>
      <c r="T80" s="83"/>
      <c r="U80" s="83"/>
      <c r="V80" s="83"/>
      <c r="W80" s="3" t="s">
        <v>12</v>
      </c>
      <c r="X80" s="3" t="s">
        <v>12</v>
      </c>
      <c r="Y80" s="83"/>
      <c r="Z80" s="83"/>
      <c r="AA80" s="83"/>
      <c r="AB80" s="83"/>
      <c r="AC80" s="83"/>
      <c r="AD80" s="3" t="s">
        <v>12</v>
      </c>
      <c r="AE80" s="3" t="s">
        <v>12</v>
      </c>
      <c r="AF80" s="83"/>
      <c r="AG80" s="83"/>
      <c r="AH80" s="83"/>
      <c r="AI80" s="83"/>
      <c r="AJ80" s="83"/>
      <c r="AK80" s="3" t="s">
        <v>12</v>
      </c>
      <c r="AL80" s="63" t="s">
        <v>117</v>
      </c>
    </row>
    <row r="81" spans="1:38">
      <c r="A81" s="146" t="s">
        <v>128</v>
      </c>
      <c r="B81" s="3" t="str">
        <f t="shared" si="9"/>
        <v>Hesham</v>
      </c>
      <c r="C81" s="3" t="str">
        <f t="shared" si="8"/>
        <v>Mostafa</v>
      </c>
      <c r="D81" s="35"/>
      <c r="E81" s="17">
        <v>46301</v>
      </c>
      <c r="F81" s="148" t="s">
        <v>10</v>
      </c>
      <c r="G81" s="159"/>
      <c r="H81" s="160"/>
      <c r="I81" s="156" t="s">
        <v>12</v>
      </c>
      <c r="J81" s="8" t="s">
        <v>12</v>
      </c>
      <c r="K81" s="162"/>
      <c r="L81" s="73" t="s">
        <v>11</v>
      </c>
      <c r="M81" s="36" t="s">
        <v>11</v>
      </c>
      <c r="N81" s="36" t="s">
        <v>11</v>
      </c>
      <c r="O81" s="36" t="s">
        <v>11</v>
      </c>
      <c r="P81" s="3" t="s">
        <v>12</v>
      </c>
      <c r="Q81" s="3" t="s">
        <v>12</v>
      </c>
      <c r="R81" s="36" t="s">
        <v>11</v>
      </c>
      <c r="S81" s="83"/>
      <c r="T81" s="83"/>
      <c r="U81" s="83"/>
      <c r="V81" s="83"/>
      <c r="W81" s="3" t="s">
        <v>12</v>
      </c>
      <c r="X81" s="3" t="s">
        <v>12</v>
      </c>
      <c r="Y81" s="83"/>
      <c r="Z81" s="83"/>
      <c r="AA81" s="83"/>
      <c r="AB81" s="83"/>
      <c r="AC81" s="83"/>
      <c r="AD81" s="3" t="s">
        <v>12</v>
      </c>
      <c r="AE81" s="3" t="s">
        <v>12</v>
      </c>
      <c r="AF81" s="83"/>
      <c r="AG81" s="83"/>
      <c r="AH81" s="83"/>
      <c r="AI81" s="83"/>
      <c r="AJ81" s="83"/>
      <c r="AK81" s="3" t="s">
        <v>12</v>
      </c>
      <c r="AL81" s="63" t="s">
        <v>117</v>
      </c>
    </row>
    <row r="82" spans="1:38">
      <c r="A82" s="146" t="s">
        <v>129</v>
      </c>
      <c r="B82" s="3" t="str">
        <f t="shared" si="9"/>
        <v>Mohamed</v>
      </c>
      <c r="C82" s="3" t="str">
        <f t="shared" si="8"/>
        <v>Badr</v>
      </c>
      <c r="D82" s="35"/>
      <c r="E82" s="17">
        <v>46301</v>
      </c>
      <c r="F82" s="7" t="s">
        <v>66</v>
      </c>
      <c r="G82" s="159"/>
      <c r="H82" s="160"/>
      <c r="I82" s="156" t="s">
        <v>12</v>
      </c>
      <c r="J82" s="8" t="s">
        <v>12</v>
      </c>
      <c r="K82" s="162"/>
      <c r="L82" s="73" t="s">
        <v>11</v>
      </c>
      <c r="M82" s="36" t="s">
        <v>11</v>
      </c>
      <c r="N82" s="36" t="s">
        <v>11</v>
      </c>
      <c r="O82" s="36" t="s">
        <v>11</v>
      </c>
      <c r="P82" s="3" t="s">
        <v>12</v>
      </c>
      <c r="Q82" s="3" t="s">
        <v>12</v>
      </c>
      <c r="R82" s="36" t="s">
        <v>11</v>
      </c>
      <c r="S82" s="83"/>
      <c r="T82" s="83"/>
      <c r="U82" s="83"/>
      <c r="V82" s="83"/>
      <c r="W82" s="3" t="s">
        <v>12</v>
      </c>
      <c r="X82" s="3" t="s">
        <v>12</v>
      </c>
      <c r="Y82" s="83"/>
      <c r="Z82" s="83"/>
      <c r="AA82" s="83"/>
      <c r="AB82" s="83"/>
      <c r="AC82" s="83"/>
      <c r="AD82" s="3" t="s">
        <v>12</v>
      </c>
      <c r="AE82" s="3" t="s">
        <v>12</v>
      </c>
      <c r="AF82" s="83"/>
      <c r="AG82" s="83"/>
      <c r="AH82" s="83"/>
      <c r="AI82" s="83"/>
      <c r="AJ82" s="83"/>
      <c r="AK82" s="3" t="s">
        <v>12</v>
      </c>
      <c r="AL82" s="63" t="s">
        <v>117</v>
      </c>
    </row>
    <row r="83" spans="1:38">
      <c r="A83" s="146" t="s">
        <v>130</v>
      </c>
      <c r="B83" s="3" t="str">
        <f t="shared" si="9"/>
        <v>Merna</v>
      </c>
      <c r="C83" s="3" t="str">
        <f t="shared" si="8"/>
        <v>Ashraf</v>
      </c>
      <c r="D83" s="35"/>
      <c r="E83" s="17">
        <v>46301</v>
      </c>
      <c r="F83" s="7" t="s">
        <v>22</v>
      </c>
      <c r="G83" s="159"/>
      <c r="H83" s="160"/>
      <c r="I83" s="156" t="s">
        <v>12</v>
      </c>
      <c r="J83" s="8" t="s">
        <v>12</v>
      </c>
      <c r="K83" s="162"/>
      <c r="L83" s="73" t="s">
        <v>11</v>
      </c>
      <c r="M83" s="36" t="s">
        <v>11</v>
      </c>
      <c r="N83" s="36" t="s">
        <v>11</v>
      </c>
      <c r="O83" s="36" t="s">
        <v>11</v>
      </c>
      <c r="P83" s="3" t="s">
        <v>12</v>
      </c>
      <c r="Q83" s="3" t="s">
        <v>12</v>
      </c>
      <c r="R83" s="36" t="s">
        <v>11</v>
      </c>
      <c r="S83" s="83"/>
      <c r="T83" s="83"/>
      <c r="U83" s="83"/>
      <c r="V83" s="83"/>
      <c r="W83" s="3" t="s">
        <v>12</v>
      </c>
      <c r="X83" s="3" t="s">
        <v>12</v>
      </c>
      <c r="Y83" s="83"/>
      <c r="Z83" s="83"/>
      <c r="AA83" s="83"/>
      <c r="AB83" s="83"/>
      <c r="AC83" s="83"/>
      <c r="AD83" s="3" t="s">
        <v>12</v>
      </c>
      <c r="AE83" s="3" t="s">
        <v>12</v>
      </c>
      <c r="AF83" s="83"/>
      <c r="AG83" s="83"/>
      <c r="AH83" s="83"/>
      <c r="AI83" s="83"/>
      <c r="AJ83" s="83"/>
      <c r="AK83" s="3" t="s">
        <v>12</v>
      </c>
      <c r="AL83" s="63" t="s">
        <v>117</v>
      </c>
    </row>
    <row r="84" spans="1:38">
      <c r="A84" s="146" t="s">
        <v>131</v>
      </c>
      <c r="B84" s="3" t="str">
        <f t="shared" si="9"/>
        <v>Ziad</v>
      </c>
      <c r="C84" s="3" t="str">
        <f t="shared" si="8"/>
        <v>Eid</v>
      </c>
      <c r="D84" s="35"/>
      <c r="E84" s="17">
        <v>46301</v>
      </c>
      <c r="F84" s="148" t="s">
        <v>132</v>
      </c>
      <c r="G84" s="159"/>
      <c r="H84" s="160"/>
      <c r="I84" s="156" t="s">
        <v>12</v>
      </c>
      <c r="J84" s="8" t="s">
        <v>12</v>
      </c>
      <c r="K84" s="162"/>
      <c r="L84" s="73" t="s">
        <v>11</v>
      </c>
      <c r="M84" s="36" t="s">
        <v>11</v>
      </c>
      <c r="N84" s="65" t="s">
        <v>37</v>
      </c>
      <c r="O84" s="36" t="s">
        <v>11</v>
      </c>
      <c r="P84" s="3" t="s">
        <v>12</v>
      </c>
      <c r="Q84" s="3" t="s">
        <v>12</v>
      </c>
      <c r="R84" s="36" t="s">
        <v>11</v>
      </c>
      <c r="S84" s="83"/>
      <c r="T84" s="83"/>
      <c r="U84" s="83"/>
      <c r="V84" s="83"/>
      <c r="W84" s="3" t="s">
        <v>12</v>
      </c>
      <c r="X84" s="3" t="s">
        <v>12</v>
      </c>
      <c r="Y84" s="83"/>
      <c r="Z84" s="83"/>
      <c r="AA84" s="83"/>
      <c r="AB84" s="83"/>
      <c r="AC84" s="83"/>
      <c r="AD84" s="3" t="s">
        <v>12</v>
      </c>
      <c r="AE84" s="3" t="s">
        <v>12</v>
      </c>
      <c r="AF84" s="83"/>
      <c r="AG84" s="83"/>
      <c r="AH84" s="83"/>
      <c r="AI84" s="83"/>
      <c r="AJ84" s="83"/>
      <c r="AK84" s="3" t="s">
        <v>12</v>
      </c>
      <c r="AL84" s="63" t="s">
        <v>117</v>
      </c>
    </row>
    <row r="85" spans="1:38">
      <c r="A85" s="146" t="s">
        <v>133</v>
      </c>
      <c r="B85" s="3" t="str">
        <f t="shared" si="9"/>
        <v>Kyrillos</v>
      </c>
      <c r="C85" s="3" t="str">
        <f t="shared" si="8"/>
        <v>Wagdy</v>
      </c>
      <c r="D85" s="35"/>
      <c r="E85" s="17">
        <v>46301</v>
      </c>
      <c r="F85" s="7" t="s">
        <v>22</v>
      </c>
      <c r="G85" s="159"/>
      <c r="H85" s="160"/>
      <c r="I85" s="156" t="s">
        <v>12</v>
      </c>
      <c r="J85" s="8" t="s">
        <v>12</v>
      </c>
      <c r="K85" s="162"/>
      <c r="L85" s="73" t="s">
        <v>11</v>
      </c>
      <c r="M85" s="39" t="s">
        <v>37</v>
      </c>
      <c r="N85" s="36" t="s">
        <v>11</v>
      </c>
      <c r="O85" s="36" t="s">
        <v>11</v>
      </c>
      <c r="P85" s="3" t="s">
        <v>12</v>
      </c>
      <c r="Q85" s="3" t="s">
        <v>12</v>
      </c>
      <c r="R85" s="36" t="s">
        <v>11</v>
      </c>
      <c r="S85" s="83"/>
      <c r="T85" s="83"/>
      <c r="U85" s="83"/>
      <c r="V85" s="83"/>
      <c r="W85" s="3" t="s">
        <v>12</v>
      </c>
      <c r="X85" s="3" t="s">
        <v>12</v>
      </c>
      <c r="Y85" s="83"/>
      <c r="Z85" s="83"/>
      <c r="AA85" s="83"/>
      <c r="AB85" s="83"/>
      <c r="AC85" s="83"/>
      <c r="AD85" s="3" t="s">
        <v>12</v>
      </c>
      <c r="AE85" s="3" t="s">
        <v>12</v>
      </c>
      <c r="AF85" s="83"/>
      <c r="AG85" s="83"/>
      <c r="AH85" s="83"/>
      <c r="AI85" s="83"/>
      <c r="AJ85" s="83"/>
      <c r="AK85" s="3" t="s">
        <v>12</v>
      </c>
      <c r="AL85" s="63" t="s">
        <v>117</v>
      </c>
    </row>
    <row r="86" spans="1:38">
      <c r="A86" s="146" t="s">
        <v>134</v>
      </c>
      <c r="B86" s="3" t="str">
        <f t="shared" si="9"/>
        <v>Mahmoud</v>
      </c>
      <c r="C86" s="3" t="str">
        <f t="shared" si="8"/>
        <v>Salah</v>
      </c>
      <c r="D86" s="35"/>
      <c r="E86" s="17">
        <v>46301</v>
      </c>
      <c r="F86" s="7" t="s">
        <v>22</v>
      </c>
      <c r="G86" s="159"/>
      <c r="H86" s="160"/>
      <c r="I86" s="156" t="s">
        <v>12</v>
      </c>
      <c r="J86" s="8" t="s">
        <v>12</v>
      </c>
      <c r="K86" s="162"/>
      <c r="L86" s="73" t="s">
        <v>11</v>
      </c>
      <c r="M86" s="39" t="s">
        <v>37</v>
      </c>
      <c r="N86" s="36" t="s">
        <v>11</v>
      </c>
      <c r="O86" s="36" t="s">
        <v>11</v>
      </c>
      <c r="P86" s="3" t="s">
        <v>12</v>
      </c>
      <c r="Q86" s="3" t="s">
        <v>12</v>
      </c>
      <c r="R86" s="65" t="s">
        <v>37</v>
      </c>
      <c r="S86" s="83"/>
      <c r="T86" s="83"/>
      <c r="U86" s="83"/>
      <c r="V86" s="83"/>
      <c r="W86" s="3" t="s">
        <v>12</v>
      </c>
      <c r="X86" s="3" t="s">
        <v>12</v>
      </c>
      <c r="Y86" s="83"/>
      <c r="Z86" s="83"/>
      <c r="AA86" s="83"/>
      <c r="AB86" s="83"/>
      <c r="AC86" s="83"/>
      <c r="AD86" s="3" t="s">
        <v>12</v>
      </c>
      <c r="AE86" s="3" t="s">
        <v>12</v>
      </c>
      <c r="AF86" s="83"/>
      <c r="AG86" s="83"/>
      <c r="AH86" s="83"/>
      <c r="AI86" s="83"/>
      <c r="AJ86" s="83"/>
      <c r="AK86" s="3" t="s">
        <v>12</v>
      </c>
      <c r="AL86" s="63" t="s">
        <v>117</v>
      </c>
    </row>
    <row r="87" spans="1:38">
      <c r="A87" s="146" t="s">
        <v>135</v>
      </c>
      <c r="B87" s="3" t="str">
        <f t="shared" si="9"/>
        <v>Nada</v>
      </c>
      <c r="C87" s="3" t="str">
        <f t="shared" si="8"/>
        <v>Gamal</v>
      </c>
      <c r="D87" s="35"/>
      <c r="E87" s="17">
        <v>46301</v>
      </c>
      <c r="F87" s="7" t="s">
        <v>22</v>
      </c>
      <c r="G87" s="159"/>
      <c r="H87" s="160"/>
      <c r="I87" s="156" t="s">
        <v>12</v>
      </c>
      <c r="J87" s="8" t="s">
        <v>12</v>
      </c>
      <c r="K87" s="162"/>
      <c r="L87" s="73" t="s">
        <v>11</v>
      </c>
      <c r="M87" s="39" t="s">
        <v>37</v>
      </c>
      <c r="N87" s="36" t="s">
        <v>11</v>
      </c>
      <c r="O87" s="36" t="s">
        <v>11</v>
      </c>
      <c r="P87" s="3" t="s">
        <v>12</v>
      </c>
      <c r="Q87" s="3" t="s">
        <v>12</v>
      </c>
      <c r="R87" s="36" t="s">
        <v>11</v>
      </c>
      <c r="S87" s="83"/>
      <c r="T87" s="83"/>
      <c r="U87" s="83"/>
      <c r="V87" s="83"/>
      <c r="W87" s="3" t="s">
        <v>12</v>
      </c>
      <c r="X87" s="3" t="s">
        <v>12</v>
      </c>
      <c r="Y87" s="83"/>
      <c r="Z87" s="83"/>
      <c r="AA87" s="83"/>
      <c r="AB87" s="83"/>
      <c r="AC87" s="83"/>
      <c r="AD87" s="3" t="s">
        <v>12</v>
      </c>
      <c r="AE87" s="3" t="s">
        <v>12</v>
      </c>
      <c r="AF87" s="83"/>
      <c r="AG87" s="83"/>
      <c r="AH87" s="83"/>
      <c r="AI87" s="83"/>
      <c r="AJ87" s="83"/>
      <c r="AK87" s="3" t="s">
        <v>12</v>
      </c>
      <c r="AL87" s="63" t="s">
        <v>117</v>
      </c>
    </row>
    <row r="88" spans="1:38">
      <c r="A88" s="163" t="s">
        <v>136</v>
      </c>
      <c r="B88" s="14" t="str">
        <f t="shared" si="9"/>
        <v>Ahmed</v>
      </c>
      <c r="C88" s="14" t="str">
        <f t="shared" si="8"/>
        <v>Mansour</v>
      </c>
      <c r="D88" s="164"/>
      <c r="E88" s="20">
        <v>46301</v>
      </c>
      <c r="F88" s="8" t="s">
        <v>22</v>
      </c>
      <c r="G88" s="159"/>
      <c r="H88" s="160"/>
      <c r="I88" s="156" t="s">
        <v>12</v>
      </c>
      <c r="J88" s="8" t="s">
        <v>12</v>
      </c>
      <c r="K88" s="162"/>
      <c r="L88" s="73" t="s">
        <v>11</v>
      </c>
      <c r="M88" s="65" t="s">
        <v>37</v>
      </c>
      <c r="N88" s="36" t="s">
        <v>11</v>
      </c>
      <c r="O88" s="36" t="s">
        <v>11</v>
      </c>
      <c r="P88" s="3" t="s">
        <v>12</v>
      </c>
      <c r="Q88" s="3" t="s">
        <v>12</v>
      </c>
      <c r="R88" s="65" t="s">
        <v>37</v>
      </c>
      <c r="S88" s="83"/>
      <c r="T88" s="83"/>
      <c r="U88" s="83"/>
      <c r="V88" s="83"/>
      <c r="W88" s="3" t="s">
        <v>12</v>
      </c>
      <c r="X88" s="3" t="s">
        <v>12</v>
      </c>
      <c r="Y88" s="83"/>
      <c r="Z88" s="83"/>
      <c r="AA88" s="83"/>
      <c r="AB88" s="83"/>
      <c r="AC88" s="83"/>
      <c r="AD88" s="3" t="s">
        <v>12</v>
      </c>
      <c r="AE88" s="3" t="s">
        <v>12</v>
      </c>
      <c r="AF88" s="83"/>
      <c r="AG88" s="83"/>
      <c r="AH88" s="83"/>
      <c r="AI88" s="83"/>
      <c r="AJ88" s="83"/>
      <c r="AK88" s="3" t="s">
        <v>12</v>
      </c>
      <c r="AL88" s="63" t="s">
        <v>117</v>
      </c>
    </row>
    <row r="89" spans="1:38">
      <c r="A89" s="3" t="s">
        <v>137</v>
      </c>
      <c r="B89" s="3" t="str">
        <f t="shared" si="9"/>
        <v>Nada</v>
      </c>
      <c r="C89" s="3" t="str">
        <f t="shared" si="8"/>
        <v>Noeman</v>
      </c>
      <c r="D89" s="35"/>
      <c r="E89" s="17">
        <v>46302</v>
      </c>
      <c r="F89" s="7" t="s">
        <v>22</v>
      </c>
      <c r="G89" s="165"/>
      <c r="H89" s="166"/>
      <c r="I89" s="168" t="s">
        <v>12</v>
      </c>
      <c r="J89" s="7" t="s">
        <v>12</v>
      </c>
      <c r="K89" s="169"/>
      <c r="L89" s="167"/>
      <c r="M89" s="73" t="s">
        <v>11</v>
      </c>
      <c r="N89" s="36" t="s">
        <v>11</v>
      </c>
      <c r="O89" s="36" t="s">
        <v>11</v>
      </c>
      <c r="P89" s="3" t="s">
        <v>12</v>
      </c>
      <c r="Q89" s="3" t="s">
        <v>12</v>
      </c>
      <c r="R89" s="65" t="s">
        <v>37</v>
      </c>
      <c r="S89" s="83"/>
      <c r="T89" s="83"/>
      <c r="U89" s="83"/>
      <c r="V89" s="83"/>
      <c r="W89" s="3" t="s">
        <v>12</v>
      </c>
      <c r="X89" s="3" t="s">
        <v>12</v>
      </c>
      <c r="Y89" s="83"/>
      <c r="Z89" s="83"/>
      <c r="AA89" s="83"/>
      <c r="AB89" s="83"/>
      <c r="AC89" s="83"/>
      <c r="AD89" s="3" t="s">
        <v>12</v>
      </c>
      <c r="AE89" s="3" t="s">
        <v>12</v>
      </c>
      <c r="AF89" s="83"/>
      <c r="AG89" s="83"/>
      <c r="AH89" s="83"/>
      <c r="AI89" s="83"/>
      <c r="AJ89" s="83"/>
      <c r="AK89" s="3" t="s">
        <v>12</v>
      </c>
      <c r="AL89" s="63" t="s">
        <v>117</v>
      </c>
    </row>
    <row r="90" spans="1:38">
      <c r="E90" s="13"/>
    </row>
    <row r="91" spans="1:38">
      <c r="E91" s="13"/>
    </row>
    <row r="92" spans="1:38">
      <c r="E92" s="13"/>
    </row>
    <row r="93" spans="1:38"/>
    <row r="94" spans="1:38"/>
    <row r="95" spans="1:38"/>
    <row r="96" spans="1:38"/>
    <row r="97"/>
    <row r="98"/>
    <row r="99"/>
    <row r="100"/>
    <row r="101"/>
  </sheetData>
  <autoFilter ref="A1:AL89" xr:uid="{00000000-0001-0000-0000-000000000000}">
    <filterColumn colId="37">
      <filters>
        <filter val="Oct"/>
      </filters>
    </filterColumn>
  </autoFilter>
  <mergeCells count="15">
    <mergeCell ref="G38:AI40"/>
    <mergeCell ref="G31:AG37"/>
    <mergeCell ref="G30:AB30"/>
    <mergeCell ref="G16:S16"/>
    <mergeCell ref="G25:Z29"/>
    <mergeCell ref="G15:U15"/>
    <mergeCell ref="G17:Z20"/>
    <mergeCell ref="G22:Z23"/>
    <mergeCell ref="G21:AA21"/>
    <mergeCell ref="G24:AA24"/>
    <mergeCell ref="G6:L6"/>
    <mergeCell ref="G8:S11"/>
    <mergeCell ref="G12:T12"/>
    <mergeCell ref="G13:U13"/>
    <mergeCell ref="G14:T14"/>
  </mergeCells>
  <conditionalFormatting sqref="G3:N5 O3:O6 N6 P6:U6 G6:G8 U11:Z11 V14:AA14 W15:Z15 AB11 W13:AB13 U10:AB10 G12:G17 G21:G22 G24:G25 AB17 AB22 AB25 AB29 AB27 I7:AD7 W6:AD6 U8:AD9 AD10:AD11 V12:AD12 AD13:AD14 AB23:AD23 AB26:AC26 AB28:AD28 AD29:AD30 AB15:AC15 AE21:AE25 AE18:AE19 AE27:AE30 AD21:AD22 AD24:AD25 P3:AD5 AB18:AD20 AE3:AH12 U16:AG16 AF15:AG15 AF18:AH21 AF17:AG17 AE14:AH14 AE13:AG13 AF29:AG30 AF23:AH23 AF22:AG22 AF25:AH28 AF24:AG24 G30:G31 AI3:AI29 AI31:AI35 AI37 AJ3:AJ6 AJ32:AJ33 AJ16:AJ21 AJ10:AJ14 AJ8 AJ23:AJ30 AJ36:AJ37 G38 G90:AJ108 G59:G66 G43:G53 G70:G79 G55:J55 H73:K73 H72:J72 H78:J78 H61:J61 H65:J66 H74:J75 H56:J56 H46:J47 G89 I80:J89 H45:M45 L72:N72 H50:M51 L75:N75 L56:M56 P56:Q56 H62:M62 P62:Q62 H79:N79 L78:N78 H76:N77 H69:N71 H42:N44 P42:Q44 M73:O73 L74:O74 O45:Q45 L46:Q47 P50:Q50 H54:N54 P54:Q54 L65:N65 P65:Q65 G68:Q68 L66:Q66 N61:Q61 L55:Q55 R42:AJ47 H49:AJ49 O51:AJ51 H48:Q48 S48:AJ48 S50:AJ50 H52:Q53 H57:Q60 H63:Q64 H67:Q67 P69:Q79 S52:AJ79">
    <cfRule type="cellIs" dxfId="524" priority="488" operator="equal">
      <formula>"Off"</formula>
    </cfRule>
    <cfRule type="cellIs" dxfId="523" priority="489" operator="equal">
      <formula>"Emergency"</formula>
    </cfRule>
    <cfRule type="cellIs" dxfId="522" priority="490" operator="equal">
      <formula>"NCNS"</formula>
    </cfRule>
    <cfRule type="cellIs" dxfId="521" priority="491" operator="equal">
      <formula>"Sick"</formula>
    </cfRule>
    <cfRule type="cellIs" dxfId="520" priority="492" operator="equal">
      <formula>"Annual"</formula>
    </cfRule>
    <cfRule type="cellIs" dxfId="519" priority="493" operator="equal">
      <formula>"Attended"</formula>
    </cfRule>
  </conditionalFormatting>
  <conditionalFormatting sqref="AC10:AC11">
    <cfRule type="cellIs" dxfId="518" priority="475" operator="equal">
      <formula>"Off"</formula>
    </cfRule>
    <cfRule type="cellIs" dxfId="517" priority="476" operator="equal">
      <formula>"Emergency"</formula>
    </cfRule>
    <cfRule type="cellIs" dxfId="516" priority="477" operator="equal">
      <formula>"NCNS"</formula>
    </cfRule>
    <cfRule type="cellIs" dxfId="515" priority="478" operator="equal">
      <formula>"Sick"</formula>
    </cfRule>
    <cfRule type="cellIs" dxfId="514" priority="479" operator="equal">
      <formula>"Annual"</formula>
    </cfRule>
    <cfRule type="cellIs" dxfId="513" priority="480" operator="equal">
      <formula>"Attended"</formula>
    </cfRule>
  </conditionalFormatting>
  <conditionalFormatting sqref="AK42:AK89">
    <cfRule type="cellIs" dxfId="512" priority="469" operator="equal">
      <formula>"Off"</formula>
    </cfRule>
    <cfRule type="cellIs" dxfId="511" priority="470" operator="equal">
      <formula>"Emergency"</formula>
    </cfRule>
    <cfRule type="cellIs" dxfId="510" priority="471" operator="equal">
      <formula>"NCNS"</formula>
    </cfRule>
    <cfRule type="cellIs" dxfId="509" priority="472" operator="equal">
      <formula>"Sick"</formula>
    </cfRule>
    <cfRule type="cellIs" dxfId="508" priority="473" operator="equal">
      <formula>"Annual"</formula>
    </cfRule>
    <cfRule type="cellIs" dxfId="507" priority="474" operator="equal">
      <formula>"Attended"</formula>
    </cfRule>
  </conditionalFormatting>
  <conditionalFormatting sqref="E40:F40">
    <cfRule type="cellIs" dxfId="506" priority="457" operator="equal">
      <formula>"Off"</formula>
    </cfRule>
    <cfRule type="cellIs" dxfId="505" priority="458" operator="equal">
      <formula>"Emergency"</formula>
    </cfRule>
    <cfRule type="cellIs" dxfId="504" priority="459" operator="equal">
      <formula>"NCNS"</formula>
    </cfRule>
    <cfRule type="cellIs" dxfId="503" priority="460" operator="equal">
      <formula>"Sick"</formula>
    </cfRule>
    <cfRule type="cellIs" dxfId="502" priority="461" operator="equal">
      <formula>"Annual"</formula>
    </cfRule>
    <cfRule type="cellIs" dxfId="501" priority="462" operator="equal">
      <formula>"Attended"</formula>
    </cfRule>
  </conditionalFormatting>
  <conditionalFormatting sqref="E79:F79">
    <cfRule type="cellIs" dxfId="500" priority="451" operator="equal">
      <formula>"Off"</formula>
    </cfRule>
    <cfRule type="cellIs" dxfId="499" priority="452" operator="equal">
      <formula>"Emergency"</formula>
    </cfRule>
    <cfRule type="cellIs" dxfId="498" priority="453" operator="equal">
      <formula>"NCNS"</formula>
    </cfRule>
    <cfRule type="cellIs" dxfId="497" priority="454" operator="equal">
      <formula>"Sick"</formula>
    </cfRule>
    <cfRule type="cellIs" dxfId="496" priority="455" operator="equal">
      <formula>"Annual"</formula>
    </cfRule>
    <cfRule type="cellIs" dxfId="495" priority="456" operator="equal">
      <formula>"Attended"</formula>
    </cfRule>
  </conditionalFormatting>
  <conditionalFormatting sqref="G57">
    <cfRule type="cellIs" dxfId="494" priority="445" operator="equal">
      <formula>"Off"</formula>
    </cfRule>
    <cfRule type="cellIs" dxfId="493" priority="446" operator="equal">
      <formula>"Emergency"</formula>
    </cfRule>
    <cfRule type="cellIs" dxfId="492" priority="447" operator="equal">
      <formula>"NCNS"</formula>
    </cfRule>
    <cfRule type="cellIs" dxfId="491" priority="448" operator="equal">
      <formula>"Sick"</formula>
    </cfRule>
    <cfRule type="cellIs" dxfId="490" priority="449" operator="equal">
      <formula>"Annual"</formula>
    </cfRule>
    <cfRule type="cellIs" dxfId="489" priority="450" operator="equal">
      <formula>"Attended"</formula>
    </cfRule>
  </conditionalFormatting>
  <conditionalFormatting sqref="K65">
    <cfRule type="cellIs" dxfId="488" priority="439" operator="equal">
      <formula>"Off"</formula>
    </cfRule>
    <cfRule type="cellIs" dxfId="487" priority="440" operator="equal">
      <formula>"Emergency"</formula>
    </cfRule>
    <cfRule type="cellIs" dxfId="486" priority="441" operator="equal">
      <formula>"NCNS"</formula>
    </cfRule>
    <cfRule type="cellIs" dxfId="485" priority="442" operator="equal">
      <formula>"Sick"</formula>
    </cfRule>
    <cfRule type="cellIs" dxfId="484" priority="443" operator="equal">
      <formula>"Annual"</formula>
    </cfRule>
    <cfRule type="cellIs" dxfId="483" priority="444" operator="equal">
      <formula>"Attended"</formula>
    </cfRule>
  </conditionalFormatting>
  <conditionalFormatting sqref="F80">
    <cfRule type="cellIs" dxfId="482" priority="433" operator="equal">
      <formula>"Off"</formula>
    </cfRule>
    <cfRule type="cellIs" dxfId="481" priority="434" operator="equal">
      <formula>"Emergency"</formula>
    </cfRule>
    <cfRule type="cellIs" dxfId="480" priority="435" operator="equal">
      <formula>"NCNS"</formula>
    </cfRule>
    <cfRule type="cellIs" dxfId="479" priority="436" operator="equal">
      <formula>"Sick"</formula>
    </cfRule>
    <cfRule type="cellIs" dxfId="478" priority="437" operator="equal">
      <formula>"Annual"</formula>
    </cfRule>
    <cfRule type="cellIs" dxfId="477" priority="438" operator="equal">
      <formula>"Attended"</formula>
    </cfRule>
  </conditionalFormatting>
  <conditionalFormatting sqref="F83">
    <cfRule type="cellIs" dxfId="476" priority="427" operator="equal">
      <formula>"Off"</formula>
    </cfRule>
    <cfRule type="cellIs" dxfId="475" priority="428" operator="equal">
      <formula>"Emergency"</formula>
    </cfRule>
    <cfRule type="cellIs" dxfId="474" priority="429" operator="equal">
      <formula>"NCNS"</formula>
    </cfRule>
    <cfRule type="cellIs" dxfId="473" priority="430" operator="equal">
      <formula>"Sick"</formula>
    </cfRule>
    <cfRule type="cellIs" dxfId="472" priority="431" operator="equal">
      <formula>"Annual"</formula>
    </cfRule>
    <cfRule type="cellIs" dxfId="471" priority="432" operator="equal">
      <formula>"Attended"</formula>
    </cfRule>
  </conditionalFormatting>
  <conditionalFormatting sqref="F85:F89">
    <cfRule type="cellIs" dxfId="470" priority="421" operator="equal">
      <formula>"Off"</formula>
    </cfRule>
    <cfRule type="cellIs" dxfId="469" priority="422" operator="equal">
      <formula>"Emergency"</formula>
    </cfRule>
    <cfRule type="cellIs" dxfId="468" priority="423" operator="equal">
      <formula>"NCNS"</formula>
    </cfRule>
    <cfRule type="cellIs" dxfId="467" priority="424" operator="equal">
      <formula>"Sick"</formula>
    </cfRule>
    <cfRule type="cellIs" dxfId="466" priority="425" operator="equal">
      <formula>"Annual"</formula>
    </cfRule>
    <cfRule type="cellIs" dxfId="465" priority="426" operator="equal">
      <formula>"Attended"</formula>
    </cfRule>
  </conditionalFormatting>
  <conditionalFormatting sqref="E80:E89">
    <cfRule type="cellIs" dxfId="464" priority="415" operator="equal">
      <formula>"Off"</formula>
    </cfRule>
    <cfRule type="cellIs" dxfId="463" priority="416" operator="equal">
      <formula>"Emergency"</formula>
    </cfRule>
    <cfRule type="cellIs" dxfId="462" priority="417" operator="equal">
      <formula>"NCNS"</formula>
    </cfRule>
    <cfRule type="cellIs" dxfId="461" priority="418" operator="equal">
      <formula>"Sick"</formula>
    </cfRule>
    <cfRule type="cellIs" dxfId="460" priority="419" operator="equal">
      <formula>"Annual"</formula>
    </cfRule>
    <cfRule type="cellIs" dxfId="459" priority="420" operator="equal">
      <formula>"Attended"</formula>
    </cfRule>
  </conditionalFormatting>
  <conditionalFormatting sqref="N83 P80:Q88 S80:AJ88">
    <cfRule type="cellIs" dxfId="458" priority="409" operator="equal">
      <formula>"Off"</formula>
    </cfRule>
    <cfRule type="cellIs" dxfId="457" priority="410" operator="equal">
      <formula>"Emergency"</formula>
    </cfRule>
    <cfRule type="cellIs" dxfId="456" priority="411" operator="equal">
      <formula>"NCNS"</formula>
    </cfRule>
    <cfRule type="cellIs" dxfId="455" priority="412" operator="equal">
      <formula>"Sick"</formula>
    </cfRule>
    <cfRule type="cellIs" dxfId="454" priority="413" operator="equal">
      <formula>"Annual"</formula>
    </cfRule>
    <cfRule type="cellIs" dxfId="453" priority="414" operator="equal">
      <formula>"Attended"</formula>
    </cfRule>
  </conditionalFormatting>
  <conditionalFormatting sqref="M80">
    <cfRule type="cellIs" dxfId="452" priority="397" operator="equal">
      <formula>"Off"</formula>
    </cfRule>
    <cfRule type="cellIs" dxfId="451" priority="398" operator="equal">
      <formula>"Emergency"</formula>
    </cfRule>
    <cfRule type="cellIs" dxfId="450" priority="399" operator="equal">
      <formula>"NCNS"</formula>
    </cfRule>
    <cfRule type="cellIs" dxfId="449" priority="400" operator="equal">
      <formula>"Sick"</formula>
    </cfRule>
    <cfRule type="cellIs" dxfId="448" priority="401" operator="equal">
      <formula>"Annual"</formula>
    </cfRule>
    <cfRule type="cellIs" dxfId="447" priority="402" operator="equal">
      <formula>"Attended"</formula>
    </cfRule>
  </conditionalFormatting>
  <conditionalFormatting sqref="M81">
    <cfRule type="cellIs" dxfId="446" priority="391" operator="equal">
      <formula>"Off"</formula>
    </cfRule>
    <cfRule type="cellIs" dxfId="445" priority="392" operator="equal">
      <formula>"Emergency"</formula>
    </cfRule>
    <cfRule type="cellIs" dxfId="444" priority="393" operator="equal">
      <formula>"NCNS"</formula>
    </cfRule>
    <cfRule type="cellIs" dxfId="443" priority="394" operator="equal">
      <formula>"Sick"</formula>
    </cfRule>
    <cfRule type="cellIs" dxfId="442" priority="395" operator="equal">
      <formula>"Annual"</formula>
    </cfRule>
    <cfRule type="cellIs" dxfId="441" priority="396" operator="equal">
      <formula>"Attended"</formula>
    </cfRule>
  </conditionalFormatting>
  <conditionalFormatting sqref="M82">
    <cfRule type="cellIs" dxfId="440" priority="385" operator="equal">
      <formula>"Off"</formula>
    </cfRule>
    <cfRule type="cellIs" dxfId="439" priority="386" operator="equal">
      <formula>"Emergency"</formula>
    </cfRule>
    <cfRule type="cellIs" dxfId="438" priority="387" operator="equal">
      <formula>"NCNS"</formula>
    </cfRule>
    <cfRule type="cellIs" dxfId="437" priority="388" operator="equal">
      <formula>"Sick"</formula>
    </cfRule>
    <cfRule type="cellIs" dxfId="436" priority="389" operator="equal">
      <formula>"Annual"</formula>
    </cfRule>
    <cfRule type="cellIs" dxfId="435" priority="390" operator="equal">
      <formula>"Attended"</formula>
    </cfRule>
  </conditionalFormatting>
  <conditionalFormatting sqref="M83">
    <cfRule type="cellIs" dxfId="434" priority="379" operator="equal">
      <formula>"Off"</formula>
    </cfRule>
    <cfRule type="cellIs" dxfId="433" priority="380" operator="equal">
      <formula>"Emergency"</formula>
    </cfRule>
    <cfRule type="cellIs" dxfId="432" priority="381" operator="equal">
      <formula>"NCNS"</formula>
    </cfRule>
    <cfRule type="cellIs" dxfId="431" priority="382" operator="equal">
      <formula>"Sick"</formula>
    </cfRule>
    <cfRule type="cellIs" dxfId="430" priority="383" operator="equal">
      <formula>"Annual"</formula>
    </cfRule>
    <cfRule type="cellIs" dxfId="429" priority="384" operator="equal">
      <formula>"Attended"</formula>
    </cfRule>
  </conditionalFormatting>
  <conditionalFormatting sqref="M84">
    <cfRule type="cellIs" dxfId="428" priority="373" operator="equal">
      <formula>"Off"</formula>
    </cfRule>
    <cfRule type="cellIs" dxfId="427" priority="374" operator="equal">
      <formula>"Emergency"</formula>
    </cfRule>
    <cfRule type="cellIs" dxfId="426" priority="375" operator="equal">
      <formula>"NCNS"</formula>
    </cfRule>
    <cfRule type="cellIs" dxfId="425" priority="376" operator="equal">
      <formula>"Sick"</formula>
    </cfRule>
    <cfRule type="cellIs" dxfId="424" priority="377" operator="equal">
      <formula>"Annual"</formula>
    </cfRule>
    <cfRule type="cellIs" dxfId="423" priority="378" operator="equal">
      <formula>"Attended"</formula>
    </cfRule>
  </conditionalFormatting>
  <conditionalFormatting sqref="P89:Q89 S89:AJ89">
    <cfRule type="cellIs" dxfId="422" priority="319" operator="equal">
      <formula>"Off"</formula>
    </cfRule>
    <cfRule type="cellIs" dxfId="421" priority="320" operator="equal">
      <formula>"Emergency"</formula>
    </cfRule>
    <cfRule type="cellIs" dxfId="420" priority="321" operator="equal">
      <formula>"NCNS"</formula>
    </cfRule>
    <cfRule type="cellIs" dxfId="419" priority="322" operator="equal">
      <formula>"Sick"</formula>
    </cfRule>
    <cfRule type="cellIs" dxfId="418" priority="323" operator="equal">
      <formula>"Annual"</formula>
    </cfRule>
    <cfRule type="cellIs" dxfId="417" priority="324" operator="equal">
      <formula>"Attended"</formula>
    </cfRule>
  </conditionalFormatting>
  <conditionalFormatting sqref="N50">
    <cfRule type="cellIs" dxfId="416" priority="313" operator="equal">
      <formula>"Off"</formula>
    </cfRule>
    <cfRule type="cellIs" dxfId="415" priority="314" operator="equal">
      <formula>"Emergency"</formula>
    </cfRule>
    <cfRule type="cellIs" dxfId="414" priority="315" operator="equal">
      <formula>"NCNS"</formula>
    </cfRule>
    <cfRule type="cellIs" dxfId="413" priority="316" operator="equal">
      <formula>"Sick"</formula>
    </cfRule>
    <cfRule type="cellIs" dxfId="412" priority="317" operator="equal">
      <formula>"Annual"</formula>
    </cfRule>
    <cfRule type="cellIs" dxfId="411" priority="318" operator="equal">
      <formula>"Attended"</formula>
    </cfRule>
  </conditionalFormatting>
  <conditionalFormatting sqref="N80">
    <cfRule type="cellIs" dxfId="410" priority="307" operator="equal">
      <formula>"Off"</formula>
    </cfRule>
    <cfRule type="cellIs" dxfId="409" priority="308" operator="equal">
      <formula>"Emergency"</formula>
    </cfRule>
    <cfRule type="cellIs" dxfId="408" priority="309" operator="equal">
      <formula>"NCNS"</formula>
    </cfRule>
    <cfRule type="cellIs" dxfId="407" priority="310" operator="equal">
      <formula>"Sick"</formula>
    </cfRule>
    <cfRule type="cellIs" dxfId="406" priority="311" operator="equal">
      <formula>"Annual"</formula>
    </cfRule>
    <cfRule type="cellIs" dxfId="405" priority="312" operator="equal">
      <formula>"Attended"</formula>
    </cfRule>
  </conditionalFormatting>
  <conditionalFormatting sqref="N81">
    <cfRule type="cellIs" dxfId="404" priority="301" operator="equal">
      <formula>"Off"</formula>
    </cfRule>
    <cfRule type="cellIs" dxfId="403" priority="302" operator="equal">
      <formula>"Emergency"</formula>
    </cfRule>
    <cfRule type="cellIs" dxfId="402" priority="303" operator="equal">
      <formula>"NCNS"</formula>
    </cfRule>
    <cfRule type="cellIs" dxfId="401" priority="304" operator="equal">
      <formula>"Sick"</formula>
    </cfRule>
    <cfRule type="cellIs" dxfId="400" priority="305" operator="equal">
      <formula>"Annual"</formula>
    </cfRule>
    <cfRule type="cellIs" dxfId="399" priority="306" operator="equal">
      <formula>"Attended"</formula>
    </cfRule>
  </conditionalFormatting>
  <conditionalFormatting sqref="N82">
    <cfRule type="cellIs" dxfId="398" priority="295" operator="equal">
      <formula>"Off"</formula>
    </cfRule>
    <cfRule type="cellIs" dxfId="397" priority="296" operator="equal">
      <formula>"Emergency"</formula>
    </cfRule>
    <cfRule type="cellIs" dxfId="396" priority="297" operator="equal">
      <formula>"NCNS"</formula>
    </cfRule>
    <cfRule type="cellIs" dxfId="395" priority="298" operator="equal">
      <formula>"Sick"</formula>
    </cfRule>
    <cfRule type="cellIs" dxfId="394" priority="299" operator="equal">
      <formula>"Annual"</formula>
    </cfRule>
    <cfRule type="cellIs" dxfId="393" priority="300" operator="equal">
      <formula>"Attended"</formula>
    </cfRule>
  </conditionalFormatting>
  <conditionalFormatting sqref="N85">
    <cfRule type="cellIs" dxfId="392" priority="283" operator="equal">
      <formula>"Off"</formula>
    </cfRule>
    <cfRule type="cellIs" dxfId="391" priority="284" operator="equal">
      <formula>"Emergency"</formula>
    </cfRule>
    <cfRule type="cellIs" dxfId="390" priority="285" operator="equal">
      <formula>"NCNS"</formula>
    </cfRule>
    <cfRule type="cellIs" dxfId="389" priority="286" operator="equal">
      <formula>"Sick"</formula>
    </cfRule>
    <cfRule type="cellIs" dxfId="388" priority="287" operator="equal">
      <formula>"Annual"</formula>
    </cfRule>
    <cfRule type="cellIs" dxfId="387" priority="288" operator="equal">
      <formula>"Attended"</formula>
    </cfRule>
  </conditionalFormatting>
  <conditionalFormatting sqref="N86">
    <cfRule type="cellIs" dxfId="386" priority="277" operator="equal">
      <formula>"Off"</formula>
    </cfRule>
    <cfRule type="cellIs" dxfId="385" priority="278" operator="equal">
      <formula>"Emergency"</formula>
    </cfRule>
    <cfRule type="cellIs" dxfId="384" priority="279" operator="equal">
      <formula>"NCNS"</formula>
    </cfRule>
    <cfRule type="cellIs" dxfId="383" priority="280" operator="equal">
      <formula>"Sick"</formula>
    </cfRule>
    <cfRule type="cellIs" dxfId="382" priority="281" operator="equal">
      <formula>"Annual"</formula>
    </cfRule>
    <cfRule type="cellIs" dxfId="381" priority="282" operator="equal">
      <formula>"Attended"</formula>
    </cfRule>
  </conditionalFormatting>
  <conditionalFormatting sqref="N87">
    <cfRule type="cellIs" dxfId="380" priority="271" operator="equal">
      <formula>"Off"</formula>
    </cfRule>
    <cfRule type="cellIs" dxfId="379" priority="272" operator="equal">
      <formula>"Emergency"</formula>
    </cfRule>
    <cfRule type="cellIs" dxfId="378" priority="273" operator="equal">
      <formula>"NCNS"</formula>
    </cfRule>
    <cfRule type="cellIs" dxfId="377" priority="274" operator="equal">
      <formula>"Sick"</formula>
    </cfRule>
    <cfRule type="cellIs" dxfId="376" priority="275" operator="equal">
      <formula>"Annual"</formula>
    </cfRule>
    <cfRule type="cellIs" dxfId="375" priority="276" operator="equal">
      <formula>"Attended"</formula>
    </cfRule>
  </conditionalFormatting>
  <conditionalFormatting sqref="N88">
    <cfRule type="cellIs" dxfId="374" priority="259" operator="equal">
      <formula>"Off"</formula>
    </cfRule>
    <cfRule type="cellIs" dxfId="373" priority="260" operator="equal">
      <formula>"Emergency"</formula>
    </cfRule>
    <cfRule type="cellIs" dxfId="372" priority="261" operator="equal">
      <formula>"NCNS"</formula>
    </cfRule>
    <cfRule type="cellIs" dxfId="371" priority="262" operator="equal">
      <formula>"Sick"</formula>
    </cfRule>
    <cfRule type="cellIs" dxfId="370" priority="263" operator="equal">
      <formula>"Annual"</formula>
    </cfRule>
    <cfRule type="cellIs" dxfId="369" priority="264" operator="equal">
      <formula>"Attended"</formula>
    </cfRule>
  </conditionalFormatting>
  <conditionalFormatting sqref="N89:O89">
    <cfRule type="cellIs" dxfId="368" priority="253" operator="equal">
      <formula>"Off"</formula>
    </cfRule>
    <cfRule type="cellIs" dxfId="367" priority="254" operator="equal">
      <formula>"Emergency"</formula>
    </cfRule>
    <cfRule type="cellIs" dxfId="366" priority="255" operator="equal">
      <formula>"NCNS"</formula>
    </cfRule>
    <cfRule type="cellIs" dxfId="365" priority="256" operator="equal">
      <formula>"Sick"</formula>
    </cfRule>
    <cfRule type="cellIs" dxfId="364" priority="257" operator="equal">
      <formula>"Annual"</formula>
    </cfRule>
    <cfRule type="cellIs" dxfId="363" priority="258" operator="equal">
      <formula>"Attended"</formula>
    </cfRule>
  </conditionalFormatting>
  <conditionalFormatting sqref="O88">
    <cfRule type="cellIs" dxfId="362" priority="247" operator="equal">
      <formula>"Off"</formula>
    </cfRule>
    <cfRule type="cellIs" dxfId="361" priority="248" operator="equal">
      <formula>"Emergency"</formula>
    </cfRule>
    <cfRule type="cellIs" dxfId="360" priority="249" operator="equal">
      <formula>"NCNS"</formula>
    </cfRule>
    <cfRule type="cellIs" dxfId="359" priority="250" operator="equal">
      <formula>"Sick"</formula>
    </cfRule>
    <cfRule type="cellIs" dxfId="358" priority="251" operator="equal">
      <formula>"Annual"</formula>
    </cfRule>
    <cfRule type="cellIs" dxfId="357" priority="252" operator="equal">
      <formula>"Attended"</formula>
    </cfRule>
  </conditionalFormatting>
  <conditionalFormatting sqref="O87">
    <cfRule type="cellIs" dxfId="356" priority="241" operator="equal">
      <formula>"Off"</formula>
    </cfRule>
    <cfRule type="cellIs" dxfId="355" priority="242" operator="equal">
      <formula>"Emergency"</formula>
    </cfRule>
    <cfRule type="cellIs" dxfId="354" priority="243" operator="equal">
      <formula>"NCNS"</formula>
    </cfRule>
    <cfRule type="cellIs" dxfId="353" priority="244" operator="equal">
      <formula>"Sick"</formula>
    </cfRule>
    <cfRule type="cellIs" dxfId="352" priority="245" operator="equal">
      <formula>"Annual"</formula>
    </cfRule>
    <cfRule type="cellIs" dxfId="351" priority="246" operator="equal">
      <formula>"Attended"</formula>
    </cfRule>
  </conditionalFormatting>
  <conditionalFormatting sqref="O86">
    <cfRule type="cellIs" dxfId="350" priority="235" operator="equal">
      <formula>"Off"</formula>
    </cfRule>
    <cfRule type="cellIs" dxfId="349" priority="236" operator="equal">
      <formula>"Emergency"</formula>
    </cfRule>
    <cfRule type="cellIs" dxfId="348" priority="237" operator="equal">
      <formula>"NCNS"</formula>
    </cfRule>
    <cfRule type="cellIs" dxfId="347" priority="238" operator="equal">
      <formula>"Sick"</formula>
    </cfRule>
    <cfRule type="cellIs" dxfId="346" priority="239" operator="equal">
      <formula>"Annual"</formula>
    </cfRule>
    <cfRule type="cellIs" dxfId="345" priority="240" operator="equal">
      <formula>"Attended"</formula>
    </cfRule>
  </conditionalFormatting>
  <conditionalFormatting sqref="O85">
    <cfRule type="cellIs" dxfId="344" priority="229" operator="equal">
      <formula>"Off"</formula>
    </cfRule>
    <cfRule type="cellIs" dxfId="343" priority="230" operator="equal">
      <formula>"Emergency"</formula>
    </cfRule>
    <cfRule type="cellIs" dxfId="342" priority="231" operator="equal">
      <formula>"NCNS"</formula>
    </cfRule>
    <cfRule type="cellIs" dxfId="341" priority="232" operator="equal">
      <formula>"Sick"</formula>
    </cfRule>
    <cfRule type="cellIs" dxfId="340" priority="233" operator="equal">
      <formula>"Annual"</formula>
    </cfRule>
    <cfRule type="cellIs" dxfId="339" priority="234" operator="equal">
      <formula>"Attended"</formula>
    </cfRule>
  </conditionalFormatting>
  <conditionalFormatting sqref="O84">
    <cfRule type="cellIs" dxfId="338" priority="223" operator="equal">
      <formula>"Off"</formula>
    </cfRule>
    <cfRule type="cellIs" dxfId="337" priority="224" operator="equal">
      <formula>"Emergency"</formula>
    </cfRule>
    <cfRule type="cellIs" dxfId="336" priority="225" operator="equal">
      <formula>"NCNS"</formula>
    </cfRule>
    <cfRule type="cellIs" dxfId="335" priority="226" operator="equal">
      <formula>"Sick"</formula>
    </cfRule>
    <cfRule type="cellIs" dxfId="334" priority="227" operator="equal">
      <formula>"Annual"</formula>
    </cfRule>
    <cfRule type="cellIs" dxfId="333" priority="228" operator="equal">
      <formula>"Attended"</formula>
    </cfRule>
  </conditionalFormatting>
  <conditionalFormatting sqref="O83">
    <cfRule type="cellIs" dxfId="332" priority="217" operator="equal">
      <formula>"Off"</formula>
    </cfRule>
    <cfRule type="cellIs" dxfId="331" priority="218" operator="equal">
      <formula>"Emergency"</formula>
    </cfRule>
    <cfRule type="cellIs" dxfId="330" priority="219" operator="equal">
      <formula>"NCNS"</formula>
    </cfRule>
    <cfRule type="cellIs" dxfId="329" priority="220" operator="equal">
      <formula>"Sick"</formula>
    </cfRule>
    <cfRule type="cellIs" dxfId="328" priority="221" operator="equal">
      <formula>"Annual"</formula>
    </cfRule>
    <cfRule type="cellIs" dxfId="327" priority="222" operator="equal">
      <formula>"Attended"</formula>
    </cfRule>
  </conditionalFormatting>
  <conditionalFormatting sqref="O82">
    <cfRule type="cellIs" dxfId="326" priority="211" operator="equal">
      <formula>"Off"</formula>
    </cfRule>
    <cfRule type="cellIs" dxfId="325" priority="212" operator="equal">
      <formula>"Emergency"</formula>
    </cfRule>
    <cfRule type="cellIs" dxfId="324" priority="213" operator="equal">
      <formula>"NCNS"</formula>
    </cfRule>
    <cfRule type="cellIs" dxfId="323" priority="214" operator="equal">
      <formula>"Sick"</formula>
    </cfRule>
    <cfRule type="cellIs" dxfId="322" priority="215" operator="equal">
      <formula>"Annual"</formula>
    </cfRule>
    <cfRule type="cellIs" dxfId="321" priority="216" operator="equal">
      <formula>"Attended"</formula>
    </cfRule>
  </conditionalFormatting>
  <conditionalFormatting sqref="O81">
    <cfRule type="cellIs" dxfId="320" priority="205" operator="equal">
      <formula>"Off"</formula>
    </cfRule>
    <cfRule type="cellIs" dxfId="319" priority="206" operator="equal">
      <formula>"Emergency"</formula>
    </cfRule>
    <cfRule type="cellIs" dxfId="318" priority="207" operator="equal">
      <formula>"NCNS"</formula>
    </cfRule>
    <cfRule type="cellIs" dxfId="317" priority="208" operator="equal">
      <formula>"Sick"</formula>
    </cfRule>
    <cfRule type="cellIs" dxfId="316" priority="209" operator="equal">
      <formula>"Annual"</formula>
    </cfRule>
    <cfRule type="cellIs" dxfId="315" priority="210" operator="equal">
      <formula>"Attended"</formula>
    </cfRule>
  </conditionalFormatting>
  <conditionalFormatting sqref="O80">
    <cfRule type="cellIs" dxfId="314" priority="199" operator="equal">
      <formula>"Off"</formula>
    </cfRule>
    <cfRule type="cellIs" dxfId="313" priority="200" operator="equal">
      <formula>"Emergency"</formula>
    </cfRule>
    <cfRule type="cellIs" dxfId="312" priority="201" operator="equal">
      <formula>"NCNS"</formula>
    </cfRule>
    <cfRule type="cellIs" dxfId="311" priority="202" operator="equal">
      <formula>"Sick"</formula>
    </cfRule>
    <cfRule type="cellIs" dxfId="310" priority="203" operator="equal">
      <formula>"Annual"</formula>
    </cfRule>
    <cfRule type="cellIs" dxfId="309" priority="204" operator="equal">
      <formula>"Attended"</formula>
    </cfRule>
  </conditionalFormatting>
  <conditionalFormatting sqref="O79">
    <cfRule type="cellIs" dxfId="308" priority="193" operator="equal">
      <formula>"Off"</formula>
    </cfRule>
    <cfRule type="cellIs" dxfId="307" priority="194" operator="equal">
      <formula>"Emergency"</formula>
    </cfRule>
    <cfRule type="cellIs" dxfId="306" priority="195" operator="equal">
      <formula>"NCNS"</formula>
    </cfRule>
    <cfRule type="cellIs" dxfId="305" priority="196" operator="equal">
      <formula>"Sick"</formula>
    </cfRule>
    <cfRule type="cellIs" dxfId="304" priority="197" operator="equal">
      <formula>"Annual"</formula>
    </cfRule>
    <cfRule type="cellIs" dxfId="303" priority="198" operator="equal">
      <formula>"Attended"</formula>
    </cfRule>
  </conditionalFormatting>
  <conditionalFormatting sqref="O78">
    <cfRule type="cellIs" dxfId="302" priority="187" operator="equal">
      <formula>"Off"</formula>
    </cfRule>
    <cfRule type="cellIs" dxfId="301" priority="188" operator="equal">
      <formula>"Emergency"</formula>
    </cfRule>
    <cfRule type="cellIs" dxfId="300" priority="189" operator="equal">
      <formula>"NCNS"</formula>
    </cfRule>
    <cfRule type="cellIs" dxfId="299" priority="190" operator="equal">
      <formula>"Sick"</formula>
    </cfRule>
    <cfRule type="cellIs" dxfId="298" priority="191" operator="equal">
      <formula>"Annual"</formula>
    </cfRule>
    <cfRule type="cellIs" dxfId="297" priority="192" operator="equal">
      <formula>"Attended"</formula>
    </cfRule>
  </conditionalFormatting>
  <conditionalFormatting sqref="O77">
    <cfRule type="cellIs" dxfId="296" priority="181" operator="equal">
      <formula>"Off"</formula>
    </cfRule>
    <cfRule type="cellIs" dxfId="295" priority="182" operator="equal">
      <formula>"Emergency"</formula>
    </cfRule>
    <cfRule type="cellIs" dxfId="294" priority="183" operator="equal">
      <formula>"NCNS"</formula>
    </cfRule>
    <cfRule type="cellIs" dxfId="293" priority="184" operator="equal">
      <formula>"Sick"</formula>
    </cfRule>
    <cfRule type="cellIs" dxfId="292" priority="185" operator="equal">
      <formula>"Annual"</formula>
    </cfRule>
    <cfRule type="cellIs" dxfId="291" priority="186" operator="equal">
      <formula>"Attended"</formula>
    </cfRule>
  </conditionalFormatting>
  <conditionalFormatting sqref="O69">
    <cfRule type="cellIs" dxfId="290" priority="175" operator="equal">
      <formula>"Off"</formula>
    </cfRule>
    <cfRule type="cellIs" dxfId="289" priority="176" operator="equal">
      <formula>"Emergency"</formula>
    </cfRule>
    <cfRule type="cellIs" dxfId="288" priority="177" operator="equal">
      <formula>"NCNS"</formula>
    </cfRule>
    <cfRule type="cellIs" dxfId="287" priority="178" operator="equal">
      <formula>"Sick"</formula>
    </cfRule>
    <cfRule type="cellIs" dxfId="286" priority="179" operator="equal">
      <formula>"Annual"</formula>
    </cfRule>
    <cfRule type="cellIs" dxfId="285" priority="180" operator="equal">
      <formula>"Attended"</formula>
    </cfRule>
  </conditionalFormatting>
  <conditionalFormatting sqref="O70">
    <cfRule type="cellIs" dxfId="284" priority="169" operator="equal">
      <formula>"Off"</formula>
    </cfRule>
    <cfRule type="cellIs" dxfId="283" priority="170" operator="equal">
      <formula>"Emergency"</formula>
    </cfRule>
    <cfRule type="cellIs" dxfId="282" priority="171" operator="equal">
      <formula>"NCNS"</formula>
    </cfRule>
    <cfRule type="cellIs" dxfId="281" priority="172" operator="equal">
      <formula>"Sick"</formula>
    </cfRule>
    <cfRule type="cellIs" dxfId="280" priority="173" operator="equal">
      <formula>"Annual"</formula>
    </cfRule>
    <cfRule type="cellIs" dxfId="279" priority="174" operator="equal">
      <formula>"Attended"</formula>
    </cfRule>
  </conditionalFormatting>
  <conditionalFormatting sqref="O71:O72">
    <cfRule type="cellIs" dxfId="278" priority="163" operator="equal">
      <formula>"Off"</formula>
    </cfRule>
    <cfRule type="cellIs" dxfId="277" priority="164" operator="equal">
      <formula>"Emergency"</formula>
    </cfRule>
    <cfRule type="cellIs" dxfId="276" priority="165" operator="equal">
      <formula>"NCNS"</formula>
    </cfRule>
    <cfRule type="cellIs" dxfId="275" priority="166" operator="equal">
      <formula>"Sick"</formula>
    </cfRule>
    <cfRule type="cellIs" dxfId="274" priority="167" operator="equal">
      <formula>"Annual"</formula>
    </cfRule>
    <cfRule type="cellIs" dxfId="273" priority="168" operator="equal">
      <formula>"Attended"</formula>
    </cfRule>
  </conditionalFormatting>
  <conditionalFormatting sqref="O76">
    <cfRule type="cellIs" dxfId="272" priority="157" operator="equal">
      <formula>"Off"</formula>
    </cfRule>
    <cfRule type="cellIs" dxfId="271" priority="158" operator="equal">
      <formula>"Emergency"</formula>
    </cfRule>
    <cfRule type="cellIs" dxfId="270" priority="159" operator="equal">
      <formula>"NCNS"</formula>
    </cfRule>
    <cfRule type="cellIs" dxfId="269" priority="160" operator="equal">
      <formula>"Sick"</formula>
    </cfRule>
    <cfRule type="cellIs" dxfId="268" priority="161" operator="equal">
      <formula>"Annual"</formula>
    </cfRule>
    <cfRule type="cellIs" dxfId="267" priority="162" operator="equal">
      <formula>"Attended"</formula>
    </cfRule>
  </conditionalFormatting>
  <conditionalFormatting sqref="O42:O43">
    <cfRule type="cellIs" dxfId="266" priority="151" operator="equal">
      <formula>"Off"</formula>
    </cfRule>
    <cfRule type="cellIs" dxfId="265" priority="152" operator="equal">
      <formula>"Emergency"</formula>
    </cfRule>
    <cfRule type="cellIs" dxfId="264" priority="153" operator="equal">
      <formula>"NCNS"</formula>
    </cfRule>
    <cfRule type="cellIs" dxfId="263" priority="154" operator="equal">
      <formula>"Sick"</formula>
    </cfRule>
    <cfRule type="cellIs" dxfId="262" priority="155" operator="equal">
      <formula>"Annual"</formula>
    </cfRule>
    <cfRule type="cellIs" dxfId="261" priority="156" operator="equal">
      <formula>"Attended"</formula>
    </cfRule>
  </conditionalFormatting>
  <conditionalFormatting sqref="R48">
    <cfRule type="cellIs" dxfId="260" priority="145" operator="equal">
      <formula>"Off"</formula>
    </cfRule>
    <cfRule type="cellIs" dxfId="259" priority="146" operator="equal">
      <formula>"Emergency"</formula>
    </cfRule>
    <cfRule type="cellIs" dxfId="258" priority="147" operator="equal">
      <formula>"NCNS"</formula>
    </cfRule>
    <cfRule type="cellIs" dxfId="257" priority="148" operator="equal">
      <formula>"Sick"</formula>
    </cfRule>
    <cfRule type="cellIs" dxfId="256" priority="149" operator="equal">
      <formula>"Annual"</formula>
    </cfRule>
    <cfRule type="cellIs" dxfId="255" priority="150" operator="equal">
      <formula>"Attended"</formula>
    </cfRule>
  </conditionalFormatting>
  <conditionalFormatting sqref="R50">
    <cfRule type="cellIs" dxfId="254" priority="139" operator="equal">
      <formula>"Off"</formula>
    </cfRule>
    <cfRule type="cellIs" dxfId="253" priority="140" operator="equal">
      <formula>"Emergency"</formula>
    </cfRule>
    <cfRule type="cellIs" dxfId="252" priority="141" operator="equal">
      <formula>"NCNS"</formula>
    </cfRule>
    <cfRule type="cellIs" dxfId="251" priority="142" operator="equal">
      <formula>"Sick"</formula>
    </cfRule>
    <cfRule type="cellIs" dxfId="250" priority="143" operator="equal">
      <formula>"Annual"</formula>
    </cfRule>
    <cfRule type="cellIs" dxfId="249" priority="144" operator="equal">
      <formula>"Attended"</formula>
    </cfRule>
  </conditionalFormatting>
  <conditionalFormatting sqref="R52">
    <cfRule type="cellIs" dxfId="248" priority="133" operator="equal">
      <formula>"Off"</formula>
    </cfRule>
    <cfRule type="cellIs" dxfId="247" priority="134" operator="equal">
      <formula>"Emergency"</formula>
    </cfRule>
    <cfRule type="cellIs" dxfId="246" priority="135" operator="equal">
      <formula>"NCNS"</formula>
    </cfRule>
    <cfRule type="cellIs" dxfId="245" priority="136" operator="equal">
      <formula>"Sick"</formula>
    </cfRule>
    <cfRule type="cellIs" dxfId="244" priority="137" operator="equal">
      <formula>"Annual"</formula>
    </cfRule>
    <cfRule type="cellIs" dxfId="243" priority="138" operator="equal">
      <formula>"Attended"</formula>
    </cfRule>
  </conditionalFormatting>
  <conditionalFormatting sqref="R53">
    <cfRule type="cellIs" dxfId="242" priority="127" operator="equal">
      <formula>"Off"</formula>
    </cfRule>
    <cfRule type="cellIs" dxfId="241" priority="128" operator="equal">
      <formula>"Emergency"</formula>
    </cfRule>
    <cfRule type="cellIs" dxfId="240" priority="129" operator="equal">
      <formula>"NCNS"</formula>
    </cfRule>
    <cfRule type="cellIs" dxfId="239" priority="130" operator="equal">
      <formula>"Sick"</formula>
    </cfRule>
    <cfRule type="cellIs" dxfId="238" priority="131" operator="equal">
      <formula>"Annual"</formula>
    </cfRule>
    <cfRule type="cellIs" dxfId="237" priority="132" operator="equal">
      <formula>"Attended"</formula>
    </cfRule>
  </conditionalFormatting>
  <conditionalFormatting sqref="R55">
    <cfRule type="cellIs" dxfId="236" priority="121" operator="equal">
      <formula>"Off"</formula>
    </cfRule>
    <cfRule type="cellIs" dxfId="235" priority="122" operator="equal">
      <formula>"Emergency"</formula>
    </cfRule>
    <cfRule type="cellIs" dxfId="234" priority="123" operator="equal">
      <formula>"NCNS"</formula>
    </cfRule>
    <cfRule type="cellIs" dxfId="233" priority="124" operator="equal">
      <formula>"Sick"</formula>
    </cfRule>
    <cfRule type="cellIs" dxfId="232" priority="125" operator="equal">
      <formula>"Annual"</formula>
    </cfRule>
    <cfRule type="cellIs" dxfId="231" priority="126" operator="equal">
      <formula>"Attended"</formula>
    </cfRule>
  </conditionalFormatting>
  <conditionalFormatting sqref="R57">
    <cfRule type="cellIs" dxfId="230" priority="109" operator="equal">
      <formula>"Off"</formula>
    </cfRule>
    <cfRule type="cellIs" dxfId="229" priority="110" operator="equal">
      <formula>"Emergency"</formula>
    </cfRule>
    <cfRule type="cellIs" dxfId="228" priority="111" operator="equal">
      <formula>"NCNS"</formula>
    </cfRule>
    <cfRule type="cellIs" dxfId="227" priority="112" operator="equal">
      <formula>"Sick"</formula>
    </cfRule>
    <cfRule type="cellIs" dxfId="226" priority="113" operator="equal">
      <formula>"Annual"</formula>
    </cfRule>
    <cfRule type="cellIs" dxfId="225" priority="114" operator="equal">
      <formula>"Attended"</formula>
    </cfRule>
  </conditionalFormatting>
  <conditionalFormatting sqref="R58">
    <cfRule type="cellIs" dxfId="224" priority="103" operator="equal">
      <formula>"Off"</formula>
    </cfRule>
    <cfRule type="cellIs" dxfId="223" priority="104" operator="equal">
      <formula>"Emergency"</formula>
    </cfRule>
    <cfRule type="cellIs" dxfId="222" priority="105" operator="equal">
      <formula>"NCNS"</formula>
    </cfRule>
    <cfRule type="cellIs" dxfId="221" priority="106" operator="equal">
      <formula>"Sick"</formula>
    </cfRule>
    <cfRule type="cellIs" dxfId="220" priority="107" operator="equal">
      <formula>"Annual"</formula>
    </cfRule>
    <cfRule type="cellIs" dxfId="219" priority="108" operator="equal">
      <formula>"Attended"</formula>
    </cfRule>
  </conditionalFormatting>
  <conditionalFormatting sqref="R59">
    <cfRule type="cellIs" dxfId="218" priority="97" operator="equal">
      <formula>"Off"</formula>
    </cfRule>
    <cfRule type="cellIs" dxfId="217" priority="98" operator="equal">
      <formula>"Emergency"</formula>
    </cfRule>
    <cfRule type="cellIs" dxfId="216" priority="99" operator="equal">
      <formula>"NCNS"</formula>
    </cfRule>
    <cfRule type="cellIs" dxfId="215" priority="100" operator="equal">
      <formula>"Sick"</formula>
    </cfRule>
    <cfRule type="cellIs" dxfId="214" priority="101" operator="equal">
      <formula>"Annual"</formula>
    </cfRule>
    <cfRule type="cellIs" dxfId="213" priority="102" operator="equal">
      <formula>"Attended"</formula>
    </cfRule>
  </conditionalFormatting>
  <conditionalFormatting sqref="R60">
    <cfRule type="cellIs" dxfId="212" priority="91" operator="equal">
      <formula>"Off"</formula>
    </cfRule>
    <cfRule type="cellIs" dxfId="211" priority="92" operator="equal">
      <formula>"Emergency"</formula>
    </cfRule>
    <cfRule type="cellIs" dxfId="210" priority="93" operator="equal">
      <formula>"NCNS"</formula>
    </cfRule>
    <cfRule type="cellIs" dxfId="209" priority="94" operator="equal">
      <formula>"Sick"</formula>
    </cfRule>
    <cfRule type="cellIs" dxfId="208" priority="95" operator="equal">
      <formula>"Annual"</formula>
    </cfRule>
    <cfRule type="cellIs" dxfId="207" priority="96" operator="equal">
      <formula>"Attended"</formula>
    </cfRule>
  </conditionalFormatting>
  <conditionalFormatting sqref="R62">
    <cfRule type="cellIs" dxfId="206" priority="85" operator="equal">
      <formula>"Off"</formula>
    </cfRule>
    <cfRule type="cellIs" dxfId="205" priority="86" operator="equal">
      <formula>"Emergency"</formula>
    </cfRule>
    <cfRule type="cellIs" dxfId="204" priority="87" operator="equal">
      <formula>"NCNS"</formula>
    </cfRule>
    <cfRule type="cellIs" dxfId="203" priority="88" operator="equal">
      <formula>"Sick"</formula>
    </cfRule>
    <cfRule type="cellIs" dxfId="202" priority="89" operator="equal">
      <formula>"Annual"</formula>
    </cfRule>
    <cfRule type="cellIs" dxfId="201" priority="90" operator="equal">
      <formula>"Attended"</formula>
    </cfRule>
  </conditionalFormatting>
  <conditionalFormatting sqref="R63">
    <cfRule type="cellIs" dxfId="200" priority="79" operator="equal">
      <formula>"Off"</formula>
    </cfRule>
    <cfRule type="cellIs" dxfId="199" priority="80" operator="equal">
      <formula>"Emergency"</formula>
    </cfRule>
    <cfRule type="cellIs" dxfId="198" priority="81" operator="equal">
      <formula>"NCNS"</formula>
    </cfRule>
    <cfRule type="cellIs" dxfId="197" priority="82" operator="equal">
      <formula>"Sick"</formula>
    </cfRule>
    <cfRule type="cellIs" dxfId="196" priority="83" operator="equal">
      <formula>"Annual"</formula>
    </cfRule>
    <cfRule type="cellIs" dxfId="195" priority="84" operator="equal">
      <formula>"Attended"</formula>
    </cfRule>
  </conditionalFormatting>
  <conditionalFormatting sqref="R64">
    <cfRule type="cellIs" dxfId="194" priority="73" operator="equal">
      <formula>"Off"</formula>
    </cfRule>
    <cfRule type="cellIs" dxfId="193" priority="74" operator="equal">
      <formula>"Emergency"</formula>
    </cfRule>
    <cfRule type="cellIs" dxfId="192" priority="75" operator="equal">
      <formula>"NCNS"</formula>
    </cfRule>
    <cfRule type="cellIs" dxfId="191" priority="76" operator="equal">
      <formula>"Sick"</formula>
    </cfRule>
    <cfRule type="cellIs" dxfId="190" priority="77" operator="equal">
      <formula>"Annual"</formula>
    </cfRule>
    <cfRule type="cellIs" dxfId="189" priority="78" operator="equal">
      <formula>"Attended"</formula>
    </cfRule>
  </conditionalFormatting>
  <conditionalFormatting sqref="R65">
    <cfRule type="cellIs" dxfId="188" priority="67" operator="equal">
      <formula>"Off"</formula>
    </cfRule>
    <cfRule type="cellIs" dxfId="187" priority="68" operator="equal">
      <formula>"Emergency"</formula>
    </cfRule>
    <cfRule type="cellIs" dxfId="186" priority="69" operator="equal">
      <formula>"NCNS"</formula>
    </cfRule>
    <cfRule type="cellIs" dxfId="185" priority="70" operator="equal">
      <formula>"Sick"</formula>
    </cfRule>
    <cfRule type="cellIs" dxfId="184" priority="71" operator="equal">
      <formula>"Annual"</formula>
    </cfRule>
    <cfRule type="cellIs" dxfId="183" priority="72" operator="equal">
      <formula>"Attended"</formula>
    </cfRule>
  </conditionalFormatting>
  <conditionalFormatting sqref="R66">
    <cfRule type="cellIs" dxfId="182" priority="61" operator="equal">
      <formula>"Off"</formula>
    </cfRule>
    <cfRule type="cellIs" dxfId="181" priority="62" operator="equal">
      <formula>"Emergency"</formula>
    </cfRule>
    <cfRule type="cellIs" dxfId="180" priority="63" operator="equal">
      <formula>"NCNS"</formula>
    </cfRule>
    <cfRule type="cellIs" dxfId="179" priority="64" operator="equal">
      <formula>"Sick"</formula>
    </cfRule>
    <cfRule type="cellIs" dxfId="178" priority="65" operator="equal">
      <formula>"Annual"</formula>
    </cfRule>
    <cfRule type="cellIs" dxfId="177" priority="66" operator="equal">
      <formula>"Attended"</formula>
    </cfRule>
  </conditionalFormatting>
  <conditionalFormatting sqref="R67">
    <cfRule type="cellIs" dxfId="176" priority="55" operator="equal">
      <formula>"Off"</formula>
    </cfRule>
    <cfRule type="cellIs" dxfId="175" priority="56" operator="equal">
      <formula>"Emergency"</formula>
    </cfRule>
    <cfRule type="cellIs" dxfId="174" priority="57" operator="equal">
      <formula>"NCNS"</formula>
    </cfRule>
    <cfRule type="cellIs" dxfId="173" priority="58" operator="equal">
      <formula>"Sick"</formula>
    </cfRule>
    <cfRule type="cellIs" dxfId="172" priority="59" operator="equal">
      <formula>"Annual"</formula>
    </cfRule>
    <cfRule type="cellIs" dxfId="171" priority="60" operator="equal">
      <formula>"Attended"</formula>
    </cfRule>
  </conditionalFormatting>
  <conditionalFormatting sqref="R68">
    <cfRule type="cellIs" dxfId="170" priority="49" operator="equal">
      <formula>"Off"</formula>
    </cfRule>
    <cfRule type="cellIs" dxfId="169" priority="50" operator="equal">
      <formula>"Emergency"</formula>
    </cfRule>
    <cfRule type="cellIs" dxfId="168" priority="51" operator="equal">
      <formula>"NCNS"</formula>
    </cfRule>
    <cfRule type="cellIs" dxfId="167" priority="52" operator="equal">
      <formula>"Sick"</formula>
    </cfRule>
    <cfRule type="cellIs" dxfId="166" priority="53" operator="equal">
      <formula>"Annual"</formula>
    </cfRule>
    <cfRule type="cellIs" dxfId="165" priority="54" operator="equal">
      <formula>"Attended"</formula>
    </cfRule>
  </conditionalFormatting>
  <conditionalFormatting sqref="R69:R79">
    <cfRule type="cellIs" dxfId="164" priority="43" operator="equal">
      <formula>"Off"</formula>
    </cfRule>
    <cfRule type="cellIs" dxfId="163" priority="44" operator="equal">
      <formula>"Emergency"</formula>
    </cfRule>
    <cfRule type="cellIs" dxfId="162" priority="45" operator="equal">
      <formula>"NCNS"</formula>
    </cfRule>
    <cfRule type="cellIs" dxfId="161" priority="46" operator="equal">
      <formula>"Sick"</formula>
    </cfRule>
    <cfRule type="cellIs" dxfId="160" priority="47" operator="equal">
      <formula>"Annual"</formula>
    </cfRule>
    <cfRule type="cellIs" dxfId="159" priority="48" operator="equal">
      <formula>"Attended"</formula>
    </cfRule>
  </conditionalFormatting>
  <conditionalFormatting sqref="R82">
    <cfRule type="cellIs" dxfId="158" priority="37" operator="equal">
      <formula>"Off"</formula>
    </cfRule>
    <cfRule type="cellIs" dxfId="157" priority="38" operator="equal">
      <formula>"Emergency"</formula>
    </cfRule>
    <cfRule type="cellIs" dxfId="156" priority="39" operator="equal">
      <formula>"NCNS"</formula>
    </cfRule>
    <cfRule type="cellIs" dxfId="155" priority="40" operator="equal">
      <formula>"Sick"</formula>
    </cfRule>
    <cfRule type="cellIs" dxfId="154" priority="41" operator="equal">
      <formula>"Annual"</formula>
    </cfRule>
    <cfRule type="cellIs" dxfId="153" priority="42" operator="equal">
      <formula>"Attended"</formula>
    </cfRule>
  </conditionalFormatting>
  <conditionalFormatting sqref="R87">
    <cfRule type="cellIs" dxfId="152" priority="31" operator="equal">
      <formula>"Off"</formula>
    </cfRule>
    <cfRule type="cellIs" dxfId="151" priority="32" operator="equal">
      <formula>"Emergency"</formula>
    </cfRule>
    <cfRule type="cellIs" dxfId="150" priority="33" operator="equal">
      <formula>"NCNS"</formula>
    </cfRule>
    <cfRule type="cellIs" dxfId="149" priority="34" operator="equal">
      <formula>"Sick"</formula>
    </cfRule>
    <cfRule type="cellIs" dxfId="148" priority="35" operator="equal">
      <formula>"Annual"</formula>
    </cfRule>
    <cfRule type="cellIs" dxfId="147" priority="36" operator="equal">
      <formula>"Attended"</formula>
    </cfRule>
  </conditionalFormatting>
  <conditionalFormatting sqref="R85">
    <cfRule type="cellIs" dxfId="146" priority="25" operator="equal">
      <formula>"Off"</formula>
    </cfRule>
    <cfRule type="cellIs" dxfId="145" priority="26" operator="equal">
      <formula>"Emergency"</formula>
    </cfRule>
    <cfRule type="cellIs" dxfId="144" priority="27" operator="equal">
      <formula>"NCNS"</formula>
    </cfRule>
    <cfRule type="cellIs" dxfId="143" priority="28" operator="equal">
      <formula>"Sick"</formula>
    </cfRule>
    <cfRule type="cellIs" dxfId="142" priority="29" operator="equal">
      <formula>"Annual"</formula>
    </cfRule>
    <cfRule type="cellIs" dxfId="141" priority="30" operator="equal">
      <formula>"Attended"</formula>
    </cfRule>
  </conditionalFormatting>
  <conditionalFormatting sqref="R84">
    <cfRule type="cellIs" dxfId="140" priority="19" operator="equal">
      <formula>"Off"</formula>
    </cfRule>
    <cfRule type="cellIs" dxfId="139" priority="20" operator="equal">
      <formula>"Emergency"</formula>
    </cfRule>
    <cfRule type="cellIs" dxfId="138" priority="21" operator="equal">
      <formula>"NCNS"</formula>
    </cfRule>
    <cfRule type="cellIs" dxfId="137" priority="22" operator="equal">
      <formula>"Sick"</formula>
    </cfRule>
    <cfRule type="cellIs" dxfId="136" priority="23" operator="equal">
      <formula>"Annual"</formula>
    </cfRule>
    <cfRule type="cellIs" dxfId="135" priority="24" operator="equal">
      <formula>"Attended"</formula>
    </cfRule>
  </conditionalFormatting>
  <conditionalFormatting sqref="R83">
    <cfRule type="cellIs" dxfId="134" priority="13" operator="equal">
      <formula>"Off"</formula>
    </cfRule>
    <cfRule type="cellIs" dxfId="133" priority="14" operator="equal">
      <formula>"Emergency"</formula>
    </cfRule>
    <cfRule type="cellIs" dxfId="132" priority="15" operator="equal">
      <formula>"NCNS"</formula>
    </cfRule>
    <cfRule type="cellIs" dxfId="131" priority="16" operator="equal">
      <formula>"Sick"</formula>
    </cfRule>
    <cfRule type="cellIs" dxfId="130" priority="17" operator="equal">
      <formula>"Annual"</formula>
    </cfRule>
    <cfRule type="cellIs" dxfId="129" priority="18" operator="equal">
      <formula>"Attended"</formula>
    </cfRule>
  </conditionalFormatting>
  <conditionalFormatting sqref="R81">
    <cfRule type="cellIs" dxfId="128" priority="7" operator="equal">
      <formula>"Off"</formula>
    </cfRule>
    <cfRule type="cellIs" dxfId="127" priority="8" operator="equal">
      <formula>"Emergency"</formula>
    </cfRule>
    <cfRule type="cellIs" dxfId="126" priority="9" operator="equal">
      <formula>"NCNS"</formula>
    </cfRule>
    <cfRule type="cellIs" dxfId="125" priority="10" operator="equal">
      <formula>"Sick"</formula>
    </cfRule>
    <cfRule type="cellIs" dxfId="124" priority="11" operator="equal">
      <formula>"Annual"</formula>
    </cfRule>
    <cfRule type="cellIs" dxfId="123" priority="12" operator="equal">
      <formula>"Attended"</formula>
    </cfRule>
  </conditionalFormatting>
  <conditionalFormatting sqref="R80">
    <cfRule type="cellIs" dxfId="122" priority="1" operator="equal">
      <formula>"Off"</formula>
    </cfRule>
    <cfRule type="cellIs" dxfId="121" priority="2" operator="equal">
      <formula>"Emergency"</formula>
    </cfRule>
    <cfRule type="cellIs" dxfId="120" priority="3" operator="equal">
      <formula>"NCNS"</formula>
    </cfRule>
    <cfRule type="cellIs" dxfId="119" priority="4" operator="equal">
      <formula>"Sick"</formula>
    </cfRule>
    <cfRule type="cellIs" dxfId="118" priority="5" operator="equal">
      <formula>"Annual"</formula>
    </cfRule>
    <cfRule type="cellIs" dxfId="117" priority="6" operator="equal">
      <formula>"Attended"</formula>
    </cfRule>
  </conditionalFormatting>
  <hyperlinks>
    <hyperlink ref="D5" r:id="rId1" xr:uid="{2D235FCF-D5C8-4DB7-8831-2B700F3B7F10}"/>
    <hyperlink ref="D3" r:id="rId2" xr:uid="{C35C4CAD-B45F-44EF-BA70-5B63DC65E699}"/>
    <hyperlink ref="D4" r:id="rId3" xr:uid="{150837F6-AE0E-43BD-8CA1-CEDDD941A43C}"/>
    <hyperlink ref="D6" r:id="rId4" xr:uid="{38B29014-4419-4247-984D-071EA8F2099C}"/>
    <hyperlink ref="D7" r:id="rId5" xr:uid="{01656F8C-7F23-432D-9A56-E3C6EE0635C3}"/>
    <hyperlink ref="D37" r:id="rId6" xr:uid="{68027D84-6271-4745-87F2-CFEDAF575179}"/>
    <hyperlink ref="D8" r:id="rId7" xr:uid="{8CD85723-3F81-473E-A64D-661029406698}"/>
    <hyperlink ref="D9" r:id="rId8" xr:uid="{C0239788-1968-4476-9A90-3C6D110FB89D}"/>
    <hyperlink ref="D10" r:id="rId9" xr:uid="{E7450473-C268-4F93-80CB-AA6EF43BD277}"/>
    <hyperlink ref="D11" r:id="rId10" xr:uid="{5E3F530E-8231-42A7-9397-895694F898A9}"/>
    <hyperlink ref="D16" r:id="rId11" xr:uid="{8CA9884E-4FD7-4781-9A7E-14D15EC7BA68}"/>
    <hyperlink ref="D14" r:id="rId12" xr:uid="{1AB0FE0F-22F9-4D22-9A4C-588B34C46778}"/>
    <hyperlink ref="A16" r:id="rId13" display="alaa.madkour@capgemini.com" xr:uid="{CD621190-2380-42D8-BAC0-46CA2C586B1F}"/>
    <hyperlink ref="A14" r:id="rId14" display="mohamed.abdelgawad@capgemini.com" xr:uid="{89BA39BE-1FF4-4BE5-960A-2D71E14E6BB8}"/>
    <hyperlink ref="D17" r:id="rId15" xr:uid="{78A10FCE-CC8C-4D65-82EF-9C26DEC2A58A}"/>
    <hyperlink ref="D19" r:id="rId16" xr:uid="{DA60F6E8-3A8F-439F-89A4-BFA2B42655A8}"/>
    <hyperlink ref="D20" r:id="rId17" xr:uid="{1E4C9772-1C89-4F0A-8367-6CAB4F2ACD5F}"/>
    <hyperlink ref="D23" r:id="rId18" xr:uid="{F79097F1-FECF-4CFC-B5AD-38219CBFC570}"/>
    <hyperlink ref="D25" r:id="rId19" xr:uid="{77C396AA-E602-4F06-8C27-B667E3578981}"/>
    <hyperlink ref="D26" r:id="rId20" xr:uid="{BF46EE57-215C-4D21-8DF3-955ACA215419}"/>
    <hyperlink ref="D28" r:id="rId21" xr:uid="{2D2C4EA9-5828-482F-8DC7-2030DD6C870D}"/>
    <hyperlink ref="D22" r:id="rId22" xr:uid="{C6B29B18-D318-4F2C-944B-356CF0FDEFD3}"/>
    <hyperlink ref="D29" r:id="rId23" xr:uid="{C8E22837-F1FA-45A7-A358-CA7E5FB59BAB}"/>
    <hyperlink ref="D27" r:id="rId24" xr:uid="{F034C3A7-0738-4DAC-9A40-6E1840319175}"/>
    <hyperlink ref="D18" r:id="rId25" xr:uid="{4522FCA6-65F4-4261-B5C9-B13B99CF62C3}"/>
    <hyperlink ref="D24" r:id="rId26" xr:uid="{8B6C38B3-CC1C-4301-992F-9C966852540A}"/>
    <hyperlink ref="D21" r:id="rId27" xr:uid="{EBEE041D-B4A5-4520-BFDC-E6A5DD100C50}"/>
    <hyperlink ref="D44" r:id="rId28" xr:uid="{CD397499-F8E7-467A-A74E-911BD36C6F12}"/>
    <hyperlink ref="D42" r:id="rId29" xr:uid="{552DEA85-28F8-4243-8F09-5DB01D6FA673}"/>
    <hyperlink ref="D43" r:id="rId30" xr:uid="{6D442D77-B63F-4EB8-9A8D-F8FAD3B27CE7}"/>
    <hyperlink ref="D45" r:id="rId31" xr:uid="{9E44BD3B-688D-4555-80AF-9DD760504857}"/>
    <hyperlink ref="D46" r:id="rId32" xr:uid="{80EE94E3-3A1A-4510-92B4-80958517BF68}"/>
    <hyperlink ref="D47" r:id="rId33" xr:uid="{45DD6A7F-43FA-4F9C-A7BE-78E881831DCC}"/>
    <hyperlink ref="D48" r:id="rId34" xr:uid="{613CB086-64B4-4E24-A367-9CF24CA93CAE}"/>
    <hyperlink ref="D49" r:id="rId35" xr:uid="{89E1611A-CD20-4F16-896C-6BBC5597A7B3}"/>
    <hyperlink ref="D50" r:id="rId36" xr:uid="{88C79862-B02C-4E9B-9E6C-5DC24396E204}"/>
    <hyperlink ref="D55" r:id="rId37" xr:uid="{E28C453D-2408-434C-9365-256007C72B43}"/>
    <hyperlink ref="D53" r:id="rId38" xr:uid="{9561F027-2A85-4269-9896-24B2E4F38805}"/>
    <hyperlink ref="A55" r:id="rId39" display="alaa.madkour@capgemini.com" xr:uid="{F2A3DB05-FF2D-4B0B-97EE-3A3354DB273B}"/>
    <hyperlink ref="A53" r:id="rId40" display="mohamed.abdelgawad@capgemini.com" xr:uid="{43E276DB-1EB4-4847-817D-EF98C3BFDC9A}"/>
    <hyperlink ref="D56" r:id="rId41" xr:uid="{5C1957D0-903D-4A00-8674-5BDBD8ED692B}"/>
    <hyperlink ref="D58" r:id="rId42" xr:uid="{3988E2F7-9C92-4BB2-AB44-2B50ABC423BF}"/>
    <hyperlink ref="D59" r:id="rId43" xr:uid="{290B0F4E-F387-40F8-B298-4653036DD7F8}"/>
    <hyperlink ref="D62" r:id="rId44" xr:uid="{A2EEDB41-7D4F-4BD3-807F-3C5AB7E61620}"/>
    <hyperlink ref="D64" r:id="rId45" xr:uid="{12D433B0-6E71-4253-86FF-0D75F09E7C56}"/>
    <hyperlink ref="D65" r:id="rId46" xr:uid="{C2456275-7895-4519-A754-0C563EA11405}"/>
    <hyperlink ref="D67" r:id="rId47" xr:uid="{34F06E87-DEF4-4F12-877C-A305E8685566}"/>
    <hyperlink ref="D61" r:id="rId48" xr:uid="{B8D1DFD0-E31C-420A-AE49-A9B47796528F}"/>
    <hyperlink ref="D68" r:id="rId49" xr:uid="{8A760174-54CA-42C0-8CE1-5789CDFF3FB1}"/>
    <hyperlink ref="D66" r:id="rId50" xr:uid="{E3FC4AB5-D221-461E-8DCD-C6413B950A70}"/>
    <hyperlink ref="D57" r:id="rId51" xr:uid="{1FFE679B-36E4-43C9-A5BC-A352256D34E6}"/>
    <hyperlink ref="D63" r:id="rId52" xr:uid="{F0CAEEE9-4F9C-4ABF-B62D-2D03F81A33AF}"/>
    <hyperlink ref="D60" r:id="rId53" xr:uid="{1EF6E5AC-DF2F-4F87-968C-BB05B778476A}"/>
    <hyperlink ref="D35" r:id="rId54" xr:uid="{E6B43DAB-C719-4C08-A659-1F9D61B2D966}"/>
    <hyperlink ref="D31" r:id="rId55" xr:uid="{2F32347C-0840-42CE-8983-2E2D7ED54665}"/>
    <hyperlink ref="D33" r:id="rId56" xr:uid="{DEEE8C69-1D45-4151-B44E-5AFB8AAD8F05}"/>
    <hyperlink ref="D30" r:id="rId57" xr:uid="{9E2BA8D6-257D-43AE-ADB1-329597B51966}"/>
    <hyperlink ref="D36" r:id="rId58" xr:uid="{F083DFA4-221B-45B4-89B9-C75ED40E132A}"/>
    <hyperlink ref="D32" r:id="rId59" xr:uid="{984F1F0A-A73B-42C0-8B1C-AD757B37E1E6}"/>
    <hyperlink ref="D76" r:id="rId60" xr:uid="{782E8849-9A03-408E-B531-E33CCBE472A4}"/>
    <hyperlink ref="D74" r:id="rId61" xr:uid="{FC6E6B67-B784-4253-B500-A9A04328DA7B}"/>
    <hyperlink ref="D70" r:id="rId62" xr:uid="{01CC16C7-A5D3-4B65-B54B-136BE1BE0A84}"/>
    <hyperlink ref="D72" r:id="rId63" xr:uid="{7613727E-2B97-4E8E-B9AD-9284EDC31CE3}"/>
    <hyperlink ref="D69" r:id="rId64" xr:uid="{8714C6AF-D915-49D7-8C5A-7E8AD793DCF5}"/>
    <hyperlink ref="D75" r:id="rId65" xr:uid="{8861D9E7-6912-4BAA-AD31-9E67FAF3B685}"/>
    <hyperlink ref="D71" r:id="rId66" xr:uid="{312C768B-3B6D-41EC-96CF-CF9C1999C47D}"/>
    <hyperlink ref="D73" r:id="rId67" xr:uid="{0C2F6FDE-E531-48F5-857F-E745C5AD5500}"/>
    <hyperlink ref="D78" r:id="rId68" xr:uid="{DD9AF607-7180-4D02-AE05-129645B744A0}"/>
    <hyperlink ref="D79" r:id="rId69" xr:uid="{43B28973-CFD6-4960-A517-9F793C1B7533}"/>
    <hyperlink ref="D77" r:id="rId70" xr:uid="{A0723C19-13A0-4353-B9AF-083457EBC2A2}"/>
  </hyperlinks>
  <pageMargins left="0.7" right="0.7" top="0.75" bottom="0.75" header="0.3" footer="0.3"/>
  <legacy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2D03-A050-4F3A-BC0F-5BAD05189EF4}">
  <dimension ref="A1:L50"/>
  <sheetViews>
    <sheetView topLeftCell="C12" workbookViewId="0">
      <selection activeCell="K17" sqref="K17"/>
    </sheetView>
  </sheetViews>
  <sheetFormatPr defaultRowHeight="15"/>
  <cols>
    <col min="1" max="1" width="22.42578125" customWidth="1"/>
    <col min="2" max="2" width="17.85546875" customWidth="1"/>
    <col min="3" max="3" width="19.28515625" customWidth="1"/>
    <col min="4" max="4" width="31.7109375" customWidth="1"/>
    <col min="5" max="5" width="15" customWidth="1"/>
    <col min="6" max="6" width="27.5703125" bestFit="1" customWidth="1"/>
    <col min="7" max="7" width="14" customWidth="1"/>
    <col min="9" max="9" width="23" customWidth="1"/>
    <col min="12" max="12" width="16.85546875" customWidth="1"/>
  </cols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35" t="s">
        <v>138</v>
      </c>
    </row>
    <row r="2" spans="1:12">
      <c r="A2" s="3" t="s">
        <v>139</v>
      </c>
      <c r="B2" s="3" t="s">
        <v>140</v>
      </c>
      <c r="C2" s="3" t="s">
        <v>141</v>
      </c>
      <c r="D2" s="4" t="s">
        <v>142</v>
      </c>
      <c r="E2" s="82">
        <v>46223</v>
      </c>
      <c r="F2" s="7" t="s">
        <v>143</v>
      </c>
      <c r="G2" s="180" t="s">
        <v>144</v>
      </c>
    </row>
    <row r="3" spans="1:12">
      <c r="A3" s="3" t="s">
        <v>8</v>
      </c>
      <c r="B3" s="3" t="str">
        <f>PROPER(_xlfn.TEXTBEFORE(TRIM(A3), " ", 1))</f>
        <v>Mostafa</v>
      </c>
      <c r="C3" s="3" t="str">
        <f>_xlfn.TEXTAFTER(TRIM(A3), " ", -1)</f>
        <v>Mostafa</v>
      </c>
      <c r="D3" s="4" t="s">
        <v>9</v>
      </c>
      <c r="E3" s="82">
        <v>46235</v>
      </c>
      <c r="F3" s="7" t="s">
        <v>10</v>
      </c>
      <c r="G3" s="180" t="s">
        <v>144</v>
      </c>
    </row>
    <row r="4" spans="1:12">
      <c r="A4" s="3" t="s">
        <v>15</v>
      </c>
      <c r="B4" s="3" t="str">
        <f t="shared" ref="B4:B13" si="0">PROPER(_xlfn.TEXTBEFORE(TRIM(A4), " ", 1))</f>
        <v>Gamal</v>
      </c>
      <c r="C4" s="3" t="str">
        <f t="shared" ref="C4:C13" si="1">_xlfn.TEXTAFTER(TRIM(A4), " ", -1)</f>
        <v>Sayed</v>
      </c>
      <c r="D4" s="4" t="s">
        <v>16</v>
      </c>
      <c r="E4" s="82">
        <v>46251</v>
      </c>
      <c r="F4" s="7" t="s">
        <v>10</v>
      </c>
      <c r="G4" s="5" t="s">
        <v>144</v>
      </c>
      <c r="I4" s="204" t="s">
        <v>145</v>
      </c>
      <c r="J4" s="204"/>
      <c r="K4" s="204"/>
    </row>
    <row r="5" spans="1:12">
      <c r="A5" s="3" t="s">
        <v>18</v>
      </c>
      <c r="B5" s="3" t="str">
        <f t="shared" si="0"/>
        <v>Mennatallah</v>
      </c>
      <c r="C5" s="3" t="str">
        <f t="shared" si="1"/>
        <v>Said</v>
      </c>
      <c r="D5" s="4" t="s">
        <v>19</v>
      </c>
      <c r="E5" s="82">
        <v>46235</v>
      </c>
      <c r="F5" s="7" t="s">
        <v>10</v>
      </c>
      <c r="G5" s="180" t="s">
        <v>144</v>
      </c>
      <c r="I5" s="182" t="s">
        <v>146</v>
      </c>
      <c r="J5" s="182" t="s">
        <v>147</v>
      </c>
      <c r="K5" s="182" t="s">
        <v>148</v>
      </c>
    </row>
    <row r="6" spans="1:12">
      <c r="A6" s="3" t="s">
        <v>20</v>
      </c>
      <c r="B6" s="3" t="str">
        <f t="shared" si="0"/>
        <v>Hossam</v>
      </c>
      <c r="C6" s="3" t="str">
        <f t="shared" si="1"/>
        <v>Zeid</v>
      </c>
      <c r="D6" s="4" t="s">
        <v>21</v>
      </c>
      <c r="E6" s="82">
        <v>46272</v>
      </c>
      <c r="F6" s="7" t="s">
        <v>22</v>
      </c>
      <c r="G6" s="5" t="s">
        <v>144</v>
      </c>
      <c r="I6" s="5" t="s">
        <v>149</v>
      </c>
      <c r="J6" s="180" t="s">
        <v>150</v>
      </c>
      <c r="K6" s="5">
        <v>3</v>
      </c>
    </row>
    <row r="7" spans="1:12">
      <c r="A7" s="3" t="s">
        <v>23</v>
      </c>
      <c r="B7" s="3" t="str">
        <f t="shared" si="0"/>
        <v>Makram</v>
      </c>
      <c r="C7" s="3" t="str">
        <f t="shared" si="1"/>
        <v>Mohamed</v>
      </c>
      <c r="D7" s="4" t="s">
        <v>24</v>
      </c>
      <c r="E7" s="82">
        <v>46267</v>
      </c>
      <c r="F7" s="7" t="s">
        <v>22</v>
      </c>
      <c r="G7" s="5" t="s">
        <v>144</v>
      </c>
      <c r="I7" s="5" t="s">
        <v>151</v>
      </c>
      <c r="J7" s="5" t="s">
        <v>152</v>
      </c>
      <c r="K7" s="5">
        <v>18</v>
      </c>
    </row>
    <row r="8" spans="1:12">
      <c r="A8" s="3" t="s">
        <v>26</v>
      </c>
      <c r="B8" s="3" t="str">
        <f t="shared" si="0"/>
        <v>Marwan</v>
      </c>
      <c r="C8" s="3" t="str">
        <f t="shared" si="1"/>
        <v>Dahesh</v>
      </c>
      <c r="D8" s="4" t="s">
        <v>27</v>
      </c>
      <c r="E8" s="17">
        <v>46279</v>
      </c>
      <c r="F8" s="7" t="s">
        <v>22</v>
      </c>
      <c r="G8" s="5" t="s">
        <v>144</v>
      </c>
      <c r="I8" s="185" t="s">
        <v>153</v>
      </c>
      <c r="J8" s="186" t="s">
        <v>154</v>
      </c>
      <c r="K8" s="185">
        <v>8</v>
      </c>
    </row>
    <row r="9" spans="1:12">
      <c r="A9" s="3" t="s">
        <v>29</v>
      </c>
      <c r="B9" s="3" t="str">
        <f t="shared" si="0"/>
        <v>Shahd</v>
      </c>
      <c r="C9" s="3" t="str">
        <f t="shared" si="1"/>
        <v>Hassan</v>
      </c>
      <c r="D9" s="4" t="s">
        <v>30</v>
      </c>
      <c r="E9" s="17">
        <v>46279</v>
      </c>
      <c r="F9" s="7" t="s">
        <v>22</v>
      </c>
      <c r="G9" s="5" t="s">
        <v>144</v>
      </c>
      <c r="I9" s="184" t="s">
        <v>155</v>
      </c>
      <c r="J9" s="5"/>
      <c r="K9" s="5">
        <v>29</v>
      </c>
    </row>
    <row r="10" spans="1:12">
      <c r="A10" s="3" t="s">
        <v>32</v>
      </c>
      <c r="B10" s="3" t="str">
        <f t="shared" si="0"/>
        <v>Nourhan</v>
      </c>
      <c r="C10" s="3" t="str">
        <f t="shared" si="1"/>
        <v>Khafagy</v>
      </c>
      <c r="D10" s="4" t="s">
        <v>33</v>
      </c>
      <c r="E10" s="17">
        <v>46279</v>
      </c>
      <c r="F10" s="7" t="s">
        <v>22</v>
      </c>
      <c r="G10" s="5" t="s">
        <v>144</v>
      </c>
    </row>
    <row r="11" spans="1:12">
      <c r="A11" s="3" t="s">
        <v>35</v>
      </c>
      <c r="B11" s="3" t="str">
        <f t="shared" si="0"/>
        <v>Berta</v>
      </c>
      <c r="C11" s="3" t="str">
        <f t="shared" si="1"/>
        <v>Hanna</v>
      </c>
      <c r="D11" s="4" t="s">
        <v>36</v>
      </c>
      <c r="E11" s="17">
        <v>46279</v>
      </c>
      <c r="F11" s="7" t="s">
        <v>22</v>
      </c>
      <c r="G11" s="5" t="s">
        <v>144</v>
      </c>
    </row>
    <row r="12" spans="1:12">
      <c r="A12" s="3" t="s">
        <v>39</v>
      </c>
      <c r="B12" s="3" t="str">
        <f t="shared" si="0"/>
        <v>Mohamed</v>
      </c>
      <c r="C12" s="3" t="str">
        <f t="shared" si="1"/>
        <v xml:space="preserve">Elaidi
</v>
      </c>
      <c r="D12" s="4" t="s">
        <v>40</v>
      </c>
      <c r="E12" s="17">
        <v>46280</v>
      </c>
      <c r="F12" s="7" t="s">
        <v>22</v>
      </c>
      <c r="G12" s="5" t="s">
        <v>144</v>
      </c>
      <c r="I12" s="205" t="s">
        <v>156</v>
      </c>
      <c r="J12" s="205"/>
      <c r="K12" s="183" t="s">
        <v>157</v>
      </c>
      <c r="L12" s="183" t="s">
        <v>158</v>
      </c>
    </row>
    <row r="13" spans="1:12">
      <c r="A13" s="3" t="s">
        <v>42</v>
      </c>
      <c r="B13" s="3" t="s">
        <v>43</v>
      </c>
      <c r="C13" s="3" t="s">
        <v>44</v>
      </c>
      <c r="D13" s="4" t="s">
        <v>45</v>
      </c>
      <c r="E13" s="17">
        <v>46281</v>
      </c>
      <c r="F13" s="7" t="s">
        <v>22</v>
      </c>
      <c r="G13" s="5" t="s">
        <v>144</v>
      </c>
      <c r="I13" s="3" t="s">
        <v>159</v>
      </c>
      <c r="J13" s="3">
        <v>25</v>
      </c>
      <c r="K13" s="83" t="s">
        <v>160</v>
      </c>
      <c r="L13" s="83" t="s">
        <v>161</v>
      </c>
    </row>
    <row r="14" spans="1:12">
      <c r="A14" s="3" t="s">
        <v>47</v>
      </c>
      <c r="B14" s="3" t="s">
        <v>48</v>
      </c>
      <c r="C14" s="3" t="s">
        <v>49</v>
      </c>
      <c r="D14" s="4" t="s">
        <v>50</v>
      </c>
      <c r="E14" s="17">
        <v>46280</v>
      </c>
      <c r="F14" s="7" t="s">
        <v>22</v>
      </c>
      <c r="G14" s="5" t="s">
        <v>144</v>
      </c>
      <c r="I14" s="3" t="s">
        <v>162</v>
      </c>
      <c r="J14" s="3">
        <v>19</v>
      </c>
      <c r="K14" s="83" t="str">
        <f>+K13</f>
        <v>3rd Floor</v>
      </c>
      <c r="L14" s="83" t="s">
        <v>161</v>
      </c>
    </row>
    <row r="15" spans="1:12">
      <c r="A15" s="3" t="s">
        <v>52</v>
      </c>
      <c r="B15" s="3" t="s">
        <v>53</v>
      </c>
      <c r="C15" s="3" t="s">
        <v>54</v>
      </c>
      <c r="D15" s="84" t="s">
        <v>55</v>
      </c>
      <c r="E15" s="17">
        <v>46281</v>
      </c>
      <c r="F15" s="7" t="s">
        <v>22</v>
      </c>
      <c r="G15" s="5" t="s">
        <v>144</v>
      </c>
    </row>
    <row r="16" spans="1:12">
      <c r="A16" s="3" t="s">
        <v>56</v>
      </c>
      <c r="B16" s="3" t="s">
        <v>57</v>
      </c>
      <c r="C16" s="3" t="s">
        <v>58</v>
      </c>
      <c r="D16" s="4" t="s">
        <v>59</v>
      </c>
      <c r="E16" s="17">
        <v>46279</v>
      </c>
      <c r="F16" s="7" t="s">
        <v>60</v>
      </c>
      <c r="G16" s="5" t="s">
        <v>144</v>
      </c>
    </row>
    <row r="17" spans="1:10">
      <c r="A17" s="3" t="s">
        <v>61</v>
      </c>
      <c r="B17" s="3" t="str">
        <f t="shared" ref="B17:B29" si="2">PROPER(_xlfn.TEXTBEFORE(TRIM(A17), " ", 1))</f>
        <v>Hagar</v>
      </c>
      <c r="C17" s="3" t="s">
        <v>62</v>
      </c>
      <c r="D17" s="44" t="s">
        <v>63</v>
      </c>
      <c r="E17" s="17">
        <v>46286</v>
      </c>
      <c r="F17" s="7" t="s">
        <v>22</v>
      </c>
      <c r="G17" s="5"/>
      <c r="I17" s="206" t="s">
        <v>163</v>
      </c>
      <c r="J17" s="206"/>
    </row>
    <row r="18" spans="1:10">
      <c r="A18" s="3" t="s">
        <v>64</v>
      </c>
      <c r="B18" s="3" t="str">
        <f t="shared" si="2"/>
        <v>Mohamed</v>
      </c>
      <c r="C18" s="3" t="str">
        <f t="shared" ref="C18:C30" si="3">_xlfn.TEXTAFTER(TRIM(A18), " ", -1)</f>
        <v>Mosa</v>
      </c>
      <c r="D18" s="4" t="s">
        <v>65</v>
      </c>
      <c r="E18" s="17">
        <v>46286</v>
      </c>
      <c r="F18" s="7" t="s">
        <v>66</v>
      </c>
      <c r="G18" s="5"/>
      <c r="I18" s="5" t="s">
        <v>149</v>
      </c>
      <c r="J18" s="5">
        <v>3</v>
      </c>
    </row>
    <row r="19" spans="1:10">
      <c r="A19" s="3" t="s">
        <v>67</v>
      </c>
      <c r="B19" s="3" t="str">
        <f t="shared" si="2"/>
        <v>Nour</v>
      </c>
      <c r="C19" s="3" t="str">
        <f t="shared" si="3"/>
        <v>Mahmoud</v>
      </c>
      <c r="D19" s="44" t="s">
        <v>68</v>
      </c>
      <c r="E19" s="17">
        <v>46286</v>
      </c>
      <c r="F19" s="7" t="s">
        <v>69</v>
      </c>
      <c r="G19" s="5" t="s">
        <v>144</v>
      </c>
      <c r="I19" s="5" t="s">
        <v>151</v>
      </c>
      <c r="J19" s="5">
        <v>18</v>
      </c>
    </row>
    <row r="20" spans="1:10">
      <c r="A20" s="3" t="s">
        <v>70</v>
      </c>
      <c r="B20" s="3" t="str">
        <f t="shared" si="2"/>
        <v>Aya</v>
      </c>
      <c r="C20" s="3" t="str">
        <f t="shared" si="3"/>
        <v>Magd-el-din</v>
      </c>
      <c r="D20" s="44" t="s">
        <v>71</v>
      </c>
      <c r="E20" s="17">
        <v>46286</v>
      </c>
      <c r="F20" s="7" t="s">
        <v>60</v>
      </c>
      <c r="G20" s="179" t="s">
        <v>144</v>
      </c>
      <c r="I20" s="185" t="s">
        <v>153</v>
      </c>
      <c r="J20" s="185">
        <v>8</v>
      </c>
    </row>
    <row r="21" spans="1:10">
      <c r="A21" s="3" t="s">
        <v>72</v>
      </c>
      <c r="B21" s="3" t="str">
        <f t="shared" si="2"/>
        <v>Ahmed</v>
      </c>
      <c r="C21" s="3" t="s">
        <v>73</v>
      </c>
      <c r="D21" s="46" t="s">
        <v>74</v>
      </c>
      <c r="E21" s="17">
        <v>46287</v>
      </c>
      <c r="F21" s="7" t="s">
        <v>22</v>
      </c>
      <c r="G21" s="179" t="s">
        <v>144</v>
      </c>
      <c r="I21" s="184" t="s">
        <v>155</v>
      </c>
      <c r="J21" s="5">
        <v>29</v>
      </c>
    </row>
    <row r="22" spans="1:10">
      <c r="A22" s="3" t="s">
        <v>75</v>
      </c>
      <c r="B22" s="3" t="str">
        <f t="shared" si="2"/>
        <v>Mohamed</v>
      </c>
      <c r="C22" s="3" t="str">
        <f t="shared" ref="C22:C36" si="4">_xlfn.TEXTAFTER(TRIM(A22), " ", -1)</f>
        <v>Ibrahim</v>
      </c>
      <c r="D22" s="85" t="s">
        <v>76</v>
      </c>
      <c r="E22" s="17">
        <v>46286</v>
      </c>
      <c r="F22" s="7" t="s">
        <v>22</v>
      </c>
      <c r="G22" s="5" t="s">
        <v>144</v>
      </c>
    </row>
    <row r="23" spans="1:10">
      <c r="A23" s="3" t="s">
        <v>78</v>
      </c>
      <c r="B23" s="3" t="str">
        <f t="shared" si="2"/>
        <v>Banan</v>
      </c>
      <c r="C23" s="3" t="str">
        <f t="shared" si="4"/>
        <v>Elsayed</v>
      </c>
      <c r="D23" s="44" t="s">
        <v>79</v>
      </c>
      <c r="E23" s="17">
        <v>46286</v>
      </c>
      <c r="F23" s="7" t="s">
        <v>22</v>
      </c>
      <c r="G23" s="5" t="s">
        <v>144</v>
      </c>
    </row>
    <row r="24" spans="1:10">
      <c r="A24" s="3" t="s">
        <v>80</v>
      </c>
      <c r="B24" s="3" t="str">
        <f t="shared" si="2"/>
        <v>Ahmed</v>
      </c>
      <c r="C24" s="3" t="str">
        <f t="shared" si="4"/>
        <v>aboelfadl</v>
      </c>
      <c r="D24" s="46" t="s">
        <v>81</v>
      </c>
      <c r="E24" s="17">
        <v>46286</v>
      </c>
      <c r="F24" s="7" t="s">
        <v>22</v>
      </c>
      <c r="G24" s="179" t="s">
        <v>144</v>
      </c>
    </row>
    <row r="25" spans="1:10">
      <c r="A25" s="3" t="s">
        <v>82</v>
      </c>
      <c r="B25" s="3" t="str">
        <f t="shared" si="2"/>
        <v>Ahmed</v>
      </c>
      <c r="C25" s="3" t="str">
        <f t="shared" si="4"/>
        <v>Abdelgawad</v>
      </c>
      <c r="D25" s="44" t="s">
        <v>83</v>
      </c>
      <c r="E25" s="17">
        <v>46286</v>
      </c>
      <c r="F25" s="7" t="s">
        <v>22</v>
      </c>
      <c r="G25" s="179" t="s">
        <v>144</v>
      </c>
    </row>
    <row r="26" spans="1:10">
      <c r="A26" s="3" t="s">
        <v>84</v>
      </c>
      <c r="B26" s="3" t="str">
        <f t="shared" si="2"/>
        <v>Marwan</v>
      </c>
      <c r="C26" s="3" t="str">
        <f t="shared" si="4"/>
        <v>Mohamed</v>
      </c>
      <c r="D26" s="44" t="s">
        <v>85</v>
      </c>
      <c r="E26" s="17">
        <v>46286</v>
      </c>
      <c r="F26" s="7" t="s">
        <v>22</v>
      </c>
      <c r="G26" s="5" t="s">
        <v>144</v>
      </c>
    </row>
    <row r="27" spans="1:10">
      <c r="A27" s="3" t="s">
        <v>86</v>
      </c>
      <c r="B27" s="3" t="str">
        <f t="shared" si="2"/>
        <v>Mohamed</v>
      </c>
      <c r="C27" s="3" t="str">
        <f t="shared" si="4"/>
        <v>Mahmoud</v>
      </c>
      <c r="D27" s="4" t="s">
        <v>87</v>
      </c>
      <c r="E27" s="17">
        <v>46286</v>
      </c>
      <c r="F27" s="7" t="s">
        <v>22</v>
      </c>
      <c r="G27" s="179" t="s">
        <v>144</v>
      </c>
    </row>
    <row r="28" spans="1:10">
      <c r="A28" s="3" t="s">
        <v>88</v>
      </c>
      <c r="B28" s="3" t="str">
        <f t="shared" si="2"/>
        <v>Mariam</v>
      </c>
      <c r="C28" s="3" t="str">
        <f t="shared" si="4"/>
        <v>Elmallawany</v>
      </c>
      <c r="D28" s="44" t="s">
        <v>89</v>
      </c>
      <c r="E28" s="17">
        <v>46286</v>
      </c>
      <c r="F28" s="7" t="s">
        <v>22</v>
      </c>
      <c r="G28" s="5" t="s">
        <v>144</v>
      </c>
    </row>
    <row r="29" spans="1:10">
      <c r="A29" s="3" t="s">
        <v>90</v>
      </c>
      <c r="B29" s="3" t="str">
        <f t="shared" si="2"/>
        <v>Arwa</v>
      </c>
      <c r="C29" s="3" t="str">
        <f t="shared" si="4"/>
        <v>Ahmed</v>
      </c>
      <c r="D29" s="4" t="s">
        <v>91</v>
      </c>
      <c r="E29" s="17">
        <v>46286</v>
      </c>
      <c r="F29" s="7" t="s">
        <v>22</v>
      </c>
      <c r="G29" s="179" t="s">
        <v>144</v>
      </c>
    </row>
    <row r="30" spans="1:10">
      <c r="A30" s="3" t="s">
        <v>92</v>
      </c>
      <c r="B30" s="3" t="str">
        <f>PROPER(_xlfn.TEXTBEFORE(TRIM(A30), " ", 1))</f>
        <v>Amany</v>
      </c>
      <c r="C30" s="3" t="str">
        <f t="shared" si="4"/>
        <v>Abdelazim</v>
      </c>
      <c r="D30" s="46" t="s">
        <v>93</v>
      </c>
      <c r="E30" s="17">
        <v>46288</v>
      </c>
      <c r="F30" s="7" t="s">
        <v>22</v>
      </c>
      <c r="G30" s="5"/>
    </row>
    <row r="31" spans="1:10">
      <c r="A31" s="3" t="s">
        <v>94</v>
      </c>
      <c r="B31" s="3" t="str">
        <f t="shared" ref="B31:B40" si="5">PROPER(_xlfn.TEXTBEFORE(TRIM(A31), " ", 1))</f>
        <v>Sarah</v>
      </c>
      <c r="C31" s="3" t="str">
        <f t="shared" si="4"/>
        <v>Mohamed</v>
      </c>
      <c r="D31" s="46" t="s">
        <v>95</v>
      </c>
      <c r="E31" s="17">
        <v>46293</v>
      </c>
      <c r="F31" s="7" t="s">
        <v>22</v>
      </c>
      <c r="G31" s="5"/>
    </row>
    <row r="32" spans="1:10">
      <c r="A32" s="3" t="s">
        <v>96</v>
      </c>
      <c r="B32" s="3" t="str">
        <f t="shared" si="5"/>
        <v>Dalia</v>
      </c>
      <c r="C32" s="3" t="str">
        <f t="shared" si="4"/>
        <v>Elsabbagh</v>
      </c>
      <c r="D32" s="46" t="s">
        <v>97</v>
      </c>
      <c r="E32" s="17">
        <v>46293</v>
      </c>
      <c r="F32" s="7" t="s">
        <v>22</v>
      </c>
      <c r="G32" s="5"/>
    </row>
    <row r="33" spans="1:7">
      <c r="A33" s="3" t="s">
        <v>98</v>
      </c>
      <c r="B33" s="3" t="str">
        <f t="shared" si="5"/>
        <v>Salma</v>
      </c>
      <c r="C33" s="3" t="str">
        <f t="shared" si="4"/>
        <v>Dawaly</v>
      </c>
      <c r="D33" s="46" t="s">
        <v>99</v>
      </c>
      <c r="E33" s="17">
        <v>46293</v>
      </c>
      <c r="F33" s="7" t="s">
        <v>22</v>
      </c>
      <c r="G33" s="179" t="s">
        <v>144</v>
      </c>
    </row>
    <row r="34" spans="1:7">
      <c r="A34" s="3" t="s">
        <v>118</v>
      </c>
      <c r="B34" s="3" t="str">
        <f t="shared" si="5"/>
        <v>Ammar</v>
      </c>
      <c r="C34" s="3" t="str">
        <f t="shared" si="4"/>
        <v>Ali</v>
      </c>
      <c r="D34" s="125" t="s">
        <v>119</v>
      </c>
      <c r="E34" s="17">
        <v>46293</v>
      </c>
      <c r="F34" s="7" t="s">
        <v>22</v>
      </c>
      <c r="G34" s="5"/>
    </row>
    <row r="35" spans="1:7">
      <c r="A35" s="3" t="s">
        <v>102</v>
      </c>
      <c r="B35" s="3" t="str">
        <f t="shared" si="5"/>
        <v>Amr</v>
      </c>
      <c r="C35" s="3" t="str">
        <f t="shared" si="4"/>
        <v>Kotb</v>
      </c>
      <c r="D35" s="46" t="s">
        <v>103</v>
      </c>
      <c r="E35" s="17">
        <v>46293</v>
      </c>
      <c r="F35" s="7" t="s">
        <v>22</v>
      </c>
      <c r="G35" s="179" t="s">
        <v>144</v>
      </c>
    </row>
    <row r="36" spans="1:7">
      <c r="A36" s="3" t="s">
        <v>104</v>
      </c>
      <c r="B36" s="3" t="str">
        <f t="shared" si="5"/>
        <v>Khaled</v>
      </c>
      <c r="C36" s="3" t="str">
        <f t="shared" si="4"/>
        <v>Abdalgalil</v>
      </c>
      <c r="D36" s="46" t="s">
        <v>105</v>
      </c>
      <c r="E36" s="17">
        <v>46293</v>
      </c>
      <c r="F36" s="7" t="s">
        <v>22</v>
      </c>
      <c r="G36" s="5"/>
    </row>
    <row r="37" spans="1:7">
      <c r="A37" s="3" t="s">
        <v>106</v>
      </c>
      <c r="B37" s="3" t="str">
        <f>PROPER(_xlfn.TEXTBEFORE(TRIM(A37), " ", 1))</f>
        <v>Adham</v>
      </c>
      <c r="C37" s="3" t="str">
        <f>_xlfn.TEXTAFTER(TRIM(A37), " ", -1)</f>
        <v>Alzorkany</v>
      </c>
      <c r="D37" s="4" t="s">
        <v>107</v>
      </c>
      <c r="E37" s="17">
        <v>46293</v>
      </c>
      <c r="F37" s="7" t="s">
        <v>108</v>
      </c>
      <c r="G37" s="5" t="s">
        <v>144</v>
      </c>
    </row>
    <row r="38" spans="1:7">
      <c r="A38" s="3" t="s">
        <v>164</v>
      </c>
      <c r="B38" s="3" t="str">
        <f t="shared" ref="B38" si="6">PROPER(_xlfn.TEXTBEFORE(TRIM(A38), " ", 1))</f>
        <v>Hagar</v>
      </c>
      <c r="C38" s="3" t="str">
        <f t="shared" ref="C38" si="7">_xlfn.TEXTAFTER(TRIM(A38), " ", -1)</f>
        <v>Abdelahmeed</v>
      </c>
      <c r="D38" s="46" t="s">
        <v>121</v>
      </c>
      <c r="E38" s="17">
        <v>46295</v>
      </c>
      <c r="F38" s="7" t="s">
        <v>22</v>
      </c>
      <c r="G38" s="5"/>
    </row>
    <row r="39" spans="1:7">
      <c r="A39" s="3" t="s">
        <v>122</v>
      </c>
      <c r="B39" s="3" t="str">
        <f t="shared" ref="B39:B50" si="8">PROPER(_xlfn.TEXTBEFORE(TRIM(A39), " ", 1))</f>
        <v>Basel</v>
      </c>
      <c r="C39" s="3" t="str">
        <f t="shared" ref="C39:C50" si="9">_xlfn.TEXTAFTER(TRIM(A39), " ", -1)</f>
        <v>Shalaby</v>
      </c>
      <c r="D39" s="133" t="s">
        <v>123</v>
      </c>
      <c r="E39" s="17">
        <v>46295</v>
      </c>
      <c r="F39" s="7" t="s">
        <v>22</v>
      </c>
      <c r="G39" s="5"/>
    </row>
    <row r="40" spans="1:7">
      <c r="A40" s="3" t="s">
        <v>124</v>
      </c>
      <c r="B40" s="3" t="str">
        <f t="shared" si="8"/>
        <v>Hanin</v>
      </c>
      <c r="C40" s="3" t="str">
        <f t="shared" si="9"/>
        <v>Ahmed</v>
      </c>
      <c r="D40" s="133" t="s">
        <v>125</v>
      </c>
      <c r="E40" s="17">
        <v>46295</v>
      </c>
      <c r="F40" s="7" t="s">
        <v>22</v>
      </c>
      <c r="G40" s="5"/>
    </row>
    <row r="41" spans="1:7">
      <c r="A41" s="146" t="s">
        <v>126</v>
      </c>
      <c r="B41" s="3" t="str">
        <f t="shared" si="8"/>
        <v>Mohamed</v>
      </c>
      <c r="C41" s="3" t="str">
        <f t="shared" si="9"/>
        <v>Safwat</v>
      </c>
      <c r="D41" s="35"/>
      <c r="E41" s="17">
        <v>46301</v>
      </c>
      <c r="F41" s="7" t="s">
        <v>127</v>
      </c>
      <c r="G41" s="5"/>
    </row>
    <row r="42" spans="1:7">
      <c r="A42" s="149" t="s">
        <v>128</v>
      </c>
      <c r="B42" s="3" t="str">
        <f t="shared" si="8"/>
        <v>Hesham</v>
      </c>
      <c r="C42" s="3" t="str">
        <f t="shared" si="9"/>
        <v>Mostafa</v>
      </c>
      <c r="D42" s="35"/>
      <c r="E42" s="17">
        <v>46301</v>
      </c>
      <c r="F42" s="150" t="s">
        <v>10</v>
      </c>
      <c r="G42" s="5"/>
    </row>
    <row r="43" spans="1:7">
      <c r="A43" s="149" t="s">
        <v>129</v>
      </c>
      <c r="B43" s="3" t="str">
        <f t="shared" si="8"/>
        <v>Mohamed</v>
      </c>
      <c r="C43" s="3" t="str">
        <f t="shared" si="9"/>
        <v>Badr</v>
      </c>
      <c r="D43" s="35"/>
      <c r="E43" s="17">
        <v>46301</v>
      </c>
      <c r="F43" s="7" t="s">
        <v>66</v>
      </c>
      <c r="G43" s="5"/>
    </row>
    <row r="44" spans="1:7">
      <c r="A44" s="149" t="s">
        <v>130</v>
      </c>
      <c r="B44" s="3" t="str">
        <f t="shared" si="8"/>
        <v>Merna</v>
      </c>
      <c r="C44" s="3" t="str">
        <f t="shared" si="9"/>
        <v>Ashraf</v>
      </c>
      <c r="D44" s="35"/>
      <c r="E44" s="17">
        <v>46301</v>
      </c>
      <c r="F44" s="7" t="s">
        <v>22</v>
      </c>
      <c r="G44" s="5"/>
    </row>
    <row r="45" spans="1:7">
      <c r="A45" s="149" t="s">
        <v>131</v>
      </c>
      <c r="B45" s="3" t="str">
        <f t="shared" si="8"/>
        <v>Ziad</v>
      </c>
      <c r="C45" s="3" t="str">
        <f t="shared" si="9"/>
        <v>Eid</v>
      </c>
      <c r="D45" s="35"/>
      <c r="E45" s="17">
        <v>46301</v>
      </c>
      <c r="F45" s="150" t="s">
        <v>132</v>
      </c>
      <c r="G45" s="5"/>
    </row>
    <row r="46" spans="1:7">
      <c r="A46" s="149" t="s">
        <v>133</v>
      </c>
      <c r="B46" s="3" t="str">
        <f t="shared" si="8"/>
        <v>Kyrillos</v>
      </c>
      <c r="C46" s="3" t="str">
        <f t="shared" si="9"/>
        <v>Wagdy</v>
      </c>
      <c r="D46" s="35"/>
      <c r="E46" s="17">
        <v>46301</v>
      </c>
      <c r="F46" s="7" t="s">
        <v>22</v>
      </c>
      <c r="G46" s="5"/>
    </row>
    <row r="47" spans="1:7">
      <c r="A47" s="149" t="s">
        <v>134</v>
      </c>
      <c r="B47" s="3" t="str">
        <f t="shared" si="8"/>
        <v>Mahmoud</v>
      </c>
      <c r="C47" s="3" t="str">
        <f t="shared" si="9"/>
        <v>Salah</v>
      </c>
      <c r="D47" s="35"/>
      <c r="E47" s="17">
        <v>46301</v>
      </c>
      <c r="F47" s="7" t="s">
        <v>22</v>
      </c>
      <c r="G47" s="5"/>
    </row>
    <row r="48" spans="1:7">
      <c r="A48" s="149" t="s">
        <v>135</v>
      </c>
      <c r="B48" s="3" t="str">
        <f t="shared" si="8"/>
        <v>Nada</v>
      </c>
      <c r="C48" s="3" t="str">
        <f t="shared" si="9"/>
        <v>Gamal</v>
      </c>
      <c r="D48" s="35"/>
      <c r="E48" s="17">
        <v>46301</v>
      </c>
      <c r="F48" s="7" t="s">
        <v>22</v>
      </c>
      <c r="G48" s="5"/>
    </row>
    <row r="49" spans="1:7">
      <c r="A49" s="149" t="s">
        <v>136</v>
      </c>
      <c r="B49" s="3" t="str">
        <f t="shared" si="8"/>
        <v>Ahmed</v>
      </c>
      <c r="C49" s="3" t="str">
        <f t="shared" si="9"/>
        <v>Mansour</v>
      </c>
      <c r="D49" s="35"/>
      <c r="E49" s="17">
        <v>46301</v>
      </c>
      <c r="F49" s="7" t="s">
        <v>22</v>
      </c>
      <c r="G49" s="5"/>
    </row>
    <row r="50" spans="1:7">
      <c r="A50" s="3" t="s">
        <v>137</v>
      </c>
      <c r="B50" s="3" t="str">
        <f t="shared" si="8"/>
        <v>Nada</v>
      </c>
      <c r="C50" s="3" t="str">
        <f t="shared" si="9"/>
        <v>Noeman</v>
      </c>
      <c r="D50" s="35"/>
      <c r="E50" s="17">
        <v>46302</v>
      </c>
      <c r="F50" s="3" t="s">
        <v>22</v>
      </c>
      <c r="G50" s="5"/>
    </row>
  </sheetData>
  <mergeCells count="3">
    <mergeCell ref="I4:K4"/>
    <mergeCell ref="I12:J12"/>
    <mergeCell ref="I17:J17"/>
  </mergeCells>
  <conditionalFormatting sqref="E40:F40">
    <cfRule type="cellIs" dxfId="116" priority="37" operator="equal">
      <formula>"Off"</formula>
    </cfRule>
    <cfRule type="cellIs" dxfId="115" priority="38" operator="equal">
      <formula>"Emergency"</formula>
    </cfRule>
    <cfRule type="cellIs" dxfId="114" priority="39" operator="equal">
      <formula>"NCNS"</formula>
    </cfRule>
    <cfRule type="cellIs" dxfId="113" priority="40" operator="equal">
      <formula>"Sick"</formula>
    </cfRule>
    <cfRule type="cellIs" dxfId="112" priority="41" operator="equal">
      <formula>"Annual"</formula>
    </cfRule>
    <cfRule type="cellIs" dxfId="111" priority="42" operator="equal">
      <formula>"Attended"</formula>
    </cfRule>
  </conditionalFormatting>
  <conditionalFormatting sqref="F41">
    <cfRule type="cellIs" dxfId="110" priority="31" operator="equal">
      <formula>"Off"</formula>
    </cfRule>
    <cfRule type="cellIs" dxfId="109" priority="32" operator="equal">
      <formula>"Emergency"</formula>
    </cfRule>
    <cfRule type="cellIs" dxfId="108" priority="33" operator="equal">
      <formula>"NCNS"</formula>
    </cfRule>
    <cfRule type="cellIs" dxfId="107" priority="34" operator="equal">
      <formula>"Sick"</formula>
    </cfRule>
    <cfRule type="cellIs" dxfId="106" priority="35" operator="equal">
      <formula>"Annual"</formula>
    </cfRule>
    <cfRule type="cellIs" dxfId="105" priority="36" operator="equal">
      <formula>"Attended"</formula>
    </cfRule>
  </conditionalFormatting>
  <conditionalFormatting sqref="F44">
    <cfRule type="cellIs" dxfId="104" priority="25" operator="equal">
      <formula>"Off"</formula>
    </cfRule>
    <cfRule type="cellIs" dxfId="103" priority="26" operator="equal">
      <formula>"Emergency"</formula>
    </cfRule>
    <cfRule type="cellIs" dxfId="102" priority="27" operator="equal">
      <formula>"NCNS"</formula>
    </cfRule>
    <cfRule type="cellIs" dxfId="101" priority="28" operator="equal">
      <formula>"Sick"</formula>
    </cfRule>
    <cfRule type="cellIs" dxfId="100" priority="29" operator="equal">
      <formula>"Annual"</formula>
    </cfRule>
    <cfRule type="cellIs" dxfId="99" priority="30" operator="equal">
      <formula>"Attended"</formula>
    </cfRule>
  </conditionalFormatting>
  <conditionalFormatting sqref="F46:F49">
    <cfRule type="cellIs" dxfId="98" priority="19" operator="equal">
      <formula>"Off"</formula>
    </cfRule>
    <cfRule type="cellIs" dxfId="97" priority="20" operator="equal">
      <formula>"Emergency"</formula>
    </cfRule>
    <cfRule type="cellIs" dxfId="96" priority="21" operator="equal">
      <formula>"NCNS"</formula>
    </cfRule>
    <cfRule type="cellIs" dxfId="95" priority="22" operator="equal">
      <formula>"Sick"</formula>
    </cfRule>
    <cfRule type="cellIs" dxfId="94" priority="23" operator="equal">
      <formula>"Annual"</formula>
    </cfRule>
    <cfRule type="cellIs" dxfId="93" priority="24" operator="equal">
      <formula>"Attended"</formula>
    </cfRule>
  </conditionalFormatting>
  <conditionalFormatting sqref="E41:E49">
    <cfRule type="cellIs" dxfId="92" priority="13" operator="equal">
      <formula>"Off"</formula>
    </cfRule>
    <cfRule type="cellIs" dxfId="91" priority="14" operator="equal">
      <formula>"Emergency"</formula>
    </cfRule>
    <cfRule type="cellIs" dxfId="90" priority="15" operator="equal">
      <formula>"NCNS"</formula>
    </cfRule>
    <cfRule type="cellIs" dxfId="89" priority="16" operator="equal">
      <formula>"Sick"</formula>
    </cfRule>
    <cfRule type="cellIs" dxfId="88" priority="17" operator="equal">
      <formula>"Annual"</formula>
    </cfRule>
    <cfRule type="cellIs" dxfId="87" priority="18" operator="equal">
      <formula>"Attended"</formula>
    </cfRule>
  </conditionalFormatting>
  <conditionalFormatting sqref="F50">
    <cfRule type="cellIs" dxfId="86" priority="7" operator="equal">
      <formula>"Off"</formula>
    </cfRule>
    <cfRule type="cellIs" dxfId="85" priority="8" operator="equal">
      <formula>"Emergency"</formula>
    </cfRule>
    <cfRule type="cellIs" dxfId="84" priority="9" operator="equal">
      <formula>"NCNS"</formula>
    </cfRule>
    <cfRule type="cellIs" dxfId="83" priority="10" operator="equal">
      <formula>"Sick"</formula>
    </cfRule>
    <cfRule type="cellIs" dxfId="82" priority="11" operator="equal">
      <formula>"Annual"</formula>
    </cfRule>
    <cfRule type="cellIs" dxfId="81" priority="12" operator="equal">
      <formula>"Attended"</formula>
    </cfRule>
  </conditionalFormatting>
  <conditionalFormatting sqref="E50">
    <cfRule type="cellIs" dxfId="80" priority="1" operator="equal">
      <formula>"Off"</formula>
    </cfRule>
    <cfRule type="cellIs" dxfId="79" priority="2" operator="equal">
      <formula>"Emergency"</formula>
    </cfRule>
    <cfRule type="cellIs" dxfId="78" priority="3" operator="equal">
      <formula>"NCNS"</formula>
    </cfRule>
    <cfRule type="cellIs" dxfId="77" priority="4" operator="equal">
      <formula>"Sick"</formula>
    </cfRule>
    <cfRule type="cellIs" dxfId="76" priority="5" operator="equal">
      <formula>"Annual"</formula>
    </cfRule>
    <cfRule type="cellIs" dxfId="75" priority="6" operator="equal">
      <formula>"Attended"</formula>
    </cfRule>
  </conditionalFormatting>
  <hyperlinks>
    <hyperlink ref="D5" r:id="rId1" xr:uid="{53211630-F97A-49E2-BFB6-53B7C96DB822}"/>
    <hyperlink ref="D3" r:id="rId2" xr:uid="{2AFA3CAF-FF93-463E-A7DC-8CB74E0D514A}"/>
    <hyperlink ref="D4" r:id="rId3" xr:uid="{43BFE111-66E2-42CE-AA59-444670ADB5DA}"/>
    <hyperlink ref="D6" r:id="rId4" xr:uid="{F37C2A75-65FC-44C1-B3E4-1AE46FAB9D81}"/>
    <hyperlink ref="D7" r:id="rId5" xr:uid="{A911C2B1-6B98-4153-960E-E123DBB64186}"/>
    <hyperlink ref="D8" r:id="rId6" xr:uid="{E6177F01-DD35-4F21-9926-9C0F53901E5D}"/>
    <hyperlink ref="D9" r:id="rId7" xr:uid="{C25FBC2E-CBF4-4C8D-9CC9-D875E784C131}"/>
    <hyperlink ref="D10" r:id="rId8" xr:uid="{E94E4A01-CE07-4BCA-B4B2-8E7C817008A8}"/>
    <hyperlink ref="D11" r:id="rId9" xr:uid="{2CC664FC-92F9-4792-98E1-71C778C42EBB}"/>
    <hyperlink ref="D16" r:id="rId10" xr:uid="{DDCFA18A-C32F-442A-941F-D2EFBBA8BD1A}"/>
    <hyperlink ref="D14" r:id="rId11" xr:uid="{7E648A6B-8C42-430C-9289-65FDAE08B610}"/>
    <hyperlink ref="A16" r:id="rId12" display="alaa.madkour@capgemini.com" xr:uid="{44EA3A80-23F4-4480-BF56-797F58EAD529}"/>
    <hyperlink ref="A14" r:id="rId13" display="mohamed.abdelgawad@capgemini.com" xr:uid="{40637828-A93D-4B09-AE7C-C9A1A498C939}"/>
    <hyperlink ref="D17" r:id="rId14" xr:uid="{C93F1CBB-92A3-4800-A3D7-A223382877E3}"/>
    <hyperlink ref="D19" r:id="rId15" xr:uid="{473BCB49-C09E-41FC-8A2B-521AE1FE62FD}"/>
    <hyperlink ref="D20" r:id="rId16" xr:uid="{0E512B70-32AF-4F16-BE7F-E34087C2C89A}"/>
    <hyperlink ref="D23" r:id="rId17" xr:uid="{6A7692E2-4EB4-4B40-972E-3943D78E5DE9}"/>
    <hyperlink ref="D25" r:id="rId18" xr:uid="{703FC1CD-4E85-4283-B111-B1477436EDA3}"/>
    <hyperlink ref="D26" r:id="rId19" xr:uid="{0526697B-25E4-4762-A90D-378F1DC8C493}"/>
    <hyperlink ref="D28" r:id="rId20" xr:uid="{68614158-1DAE-46BF-85D7-2867AF753CFC}"/>
    <hyperlink ref="D22" r:id="rId21" xr:uid="{8824840C-C9E3-43E0-A4C2-7E4182FFC900}"/>
    <hyperlink ref="D29" r:id="rId22" xr:uid="{0B8C8D9C-6231-47F5-AE94-193FB2E1818D}"/>
    <hyperlink ref="D27" r:id="rId23" xr:uid="{15F66C64-55DD-4A7C-B5F9-7158A6610AC7}"/>
    <hyperlink ref="D18" r:id="rId24" xr:uid="{EC398AB5-F999-4A55-8814-6CC3F5C6EF87}"/>
    <hyperlink ref="D24" r:id="rId25" xr:uid="{DB62E8B0-95F5-4096-879D-4494E3851F60}"/>
    <hyperlink ref="D21" r:id="rId26" xr:uid="{4FAC07C4-AC5F-4DB7-A904-D1AE945D190A}"/>
    <hyperlink ref="D37" r:id="rId27" xr:uid="{A07DF9A3-18BF-463F-89CD-499492837880}"/>
    <hyperlink ref="D35" r:id="rId28" xr:uid="{A8C32072-257D-40A8-8FCF-6AC13D45C7BA}"/>
    <hyperlink ref="D31" r:id="rId29" xr:uid="{85A07C2C-3580-41F1-BF8A-D72310B1DDDC}"/>
    <hyperlink ref="D33" r:id="rId30" xr:uid="{A23FC92B-1A7F-4270-8A10-5E4E2E11D6EF}"/>
    <hyperlink ref="D30" r:id="rId31" xr:uid="{7E3418C8-FF14-4394-A62C-FE0196DB2CDD}"/>
    <hyperlink ref="D36" r:id="rId32" xr:uid="{6B07C60B-B27C-4D87-9793-2A6E5178E51D}"/>
    <hyperlink ref="D32" r:id="rId33" xr:uid="{EC2AA6A3-1E0B-4A18-ABBD-A8E59BAC4366}"/>
    <hyperlink ref="D34" r:id="rId34" xr:uid="{DB4E8A47-AC5C-42CA-A371-623D60891303}"/>
    <hyperlink ref="D39" r:id="rId35" xr:uid="{9D4B3202-E1E0-4F78-A573-F24509646DF3}"/>
    <hyperlink ref="D40" r:id="rId36" xr:uid="{9E9816B1-0449-4837-BA07-01118B3F8D61}"/>
    <hyperlink ref="D38" r:id="rId37" xr:uid="{2846037C-96EA-46F0-BDAD-1462BA06629F}"/>
    <hyperlink ref="D2" r:id="rId38" xr:uid="{23EA109E-9B3B-43B4-A3CE-46454EFFB4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9633-B0C6-423F-AD95-1B1E218F7E6A}">
  <dimension ref="A1:C37"/>
  <sheetViews>
    <sheetView workbookViewId="0">
      <selection activeCell="B1" sqref="B1"/>
    </sheetView>
  </sheetViews>
  <sheetFormatPr defaultRowHeight="15"/>
  <cols>
    <col min="1" max="1" width="10.28515625" bestFit="1" customWidth="1"/>
    <col min="2" max="2" width="22.42578125" bestFit="1" customWidth="1"/>
    <col min="3" max="3" width="22.28515625" bestFit="1" customWidth="1"/>
  </cols>
  <sheetData>
    <row r="1" spans="1:3">
      <c r="A1" s="91" t="s">
        <v>165</v>
      </c>
      <c r="B1" s="91" t="s">
        <v>166</v>
      </c>
      <c r="C1" s="91" t="s">
        <v>167</v>
      </c>
    </row>
    <row r="2" spans="1:3">
      <c r="A2" s="3" t="s">
        <v>168</v>
      </c>
      <c r="B2" s="3" t="s">
        <v>169</v>
      </c>
      <c r="C2" s="3" t="s">
        <v>169</v>
      </c>
    </row>
    <row r="3" spans="1:3">
      <c r="A3" s="3" t="s">
        <v>170</v>
      </c>
      <c r="B3" s="3" t="s">
        <v>171</v>
      </c>
      <c r="C3" s="3" t="s">
        <v>172</v>
      </c>
    </row>
    <row r="4" spans="1:3">
      <c r="A4" s="3" t="s">
        <v>173</v>
      </c>
      <c r="B4" s="3" t="s">
        <v>174</v>
      </c>
      <c r="C4" s="3" t="s">
        <v>175</v>
      </c>
    </row>
    <row r="5" spans="1:3">
      <c r="A5" s="3" t="s">
        <v>176</v>
      </c>
      <c r="B5" s="3" t="s">
        <v>177</v>
      </c>
      <c r="C5" s="3" t="s">
        <v>178</v>
      </c>
    </row>
    <row r="6" spans="1:3">
      <c r="A6" s="3" t="s">
        <v>179</v>
      </c>
      <c r="B6" s="3" t="s">
        <v>180</v>
      </c>
      <c r="C6" s="3" t="s">
        <v>181</v>
      </c>
    </row>
    <row r="7" spans="1:3">
      <c r="A7" s="3" t="s">
        <v>182</v>
      </c>
      <c r="B7" s="3" t="s">
        <v>183</v>
      </c>
      <c r="C7" s="3" t="s">
        <v>184</v>
      </c>
    </row>
    <row r="8" spans="1:3">
      <c r="A8" s="3" t="s">
        <v>185</v>
      </c>
      <c r="B8" s="3" t="s">
        <v>110</v>
      </c>
      <c r="C8" s="3" t="s">
        <v>186</v>
      </c>
    </row>
    <row r="9" spans="1:3">
      <c r="A9" s="3" t="s">
        <v>187</v>
      </c>
      <c r="B9" s="3" t="s">
        <v>188</v>
      </c>
      <c r="C9" s="3" t="s">
        <v>189</v>
      </c>
    </row>
    <row r="10" spans="1:3">
      <c r="A10" s="3" t="s">
        <v>190</v>
      </c>
      <c r="B10" s="3" t="s">
        <v>140</v>
      </c>
      <c r="C10" s="3" t="s">
        <v>141</v>
      </c>
    </row>
    <row r="11" spans="1:3">
      <c r="A11" s="3" t="s">
        <v>191</v>
      </c>
      <c r="B11" s="3" t="s">
        <v>192</v>
      </c>
      <c r="C11" s="3" t="s">
        <v>193</v>
      </c>
    </row>
    <row r="12" spans="1:3">
      <c r="A12" s="3" t="s">
        <v>194</v>
      </c>
      <c r="B12" s="3" t="s">
        <v>195</v>
      </c>
      <c r="C12" s="3" t="s">
        <v>48</v>
      </c>
    </row>
    <row r="13" spans="1:3">
      <c r="A13" s="3" t="s">
        <v>196</v>
      </c>
      <c r="B13" s="3" t="s">
        <v>195</v>
      </c>
      <c r="C13" s="3" t="s">
        <v>197</v>
      </c>
    </row>
    <row r="14" spans="1:3">
      <c r="A14" s="3" t="s">
        <v>198</v>
      </c>
      <c r="B14" s="3" t="s">
        <v>199</v>
      </c>
      <c r="C14" s="3" t="s">
        <v>200</v>
      </c>
    </row>
    <row r="15" spans="1:3">
      <c r="A15" s="3" t="s">
        <v>201</v>
      </c>
      <c r="B15" s="3" t="s">
        <v>199</v>
      </c>
      <c r="C15" s="3" t="s">
        <v>202</v>
      </c>
    </row>
    <row r="16" spans="1:3">
      <c r="A16" s="3" t="s">
        <v>203</v>
      </c>
      <c r="B16" s="3" t="s">
        <v>204</v>
      </c>
      <c r="C16" s="3" t="s">
        <v>205</v>
      </c>
    </row>
    <row r="17" spans="1:3">
      <c r="A17" s="3" t="s">
        <v>206</v>
      </c>
      <c r="B17" s="3" t="s">
        <v>207</v>
      </c>
      <c r="C17" s="3" t="s">
        <v>208</v>
      </c>
    </row>
    <row r="18" spans="1:3">
      <c r="A18" s="3" t="s">
        <v>209</v>
      </c>
      <c r="B18" s="3" t="s">
        <v>48</v>
      </c>
      <c r="C18" s="3" t="s">
        <v>49</v>
      </c>
    </row>
    <row r="19" spans="1:3">
      <c r="A19" s="3" t="s">
        <v>210</v>
      </c>
      <c r="B19" s="3" t="s">
        <v>48</v>
      </c>
      <c r="C19" s="3" t="s">
        <v>211</v>
      </c>
    </row>
    <row r="20" spans="1:3">
      <c r="A20" s="3" t="s">
        <v>212</v>
      </c>
      <c r="B20" s="3" t="s">
        <v>48</v>
      </c>
      <c r="C20" s="3" t="s">
        <v>213</v>
      </c>
    </row>
    <row r="21" spans="1:3">
      <c r="A21" s="3" t="s">
        <v>214</v>
      </c>
      <c r="B21" s="3" t="s">
        <v>48</v>
      </c>
      <c r="C21" s="3" t="s">
        <v>140</v>
      </c>
    </row>
    <row r="22" spans="1:3">
      <c r="A22" s="3" t="s">
        <v>215</v>
      </c>
      <c r="B22" s="3" t="s">
        <v>216</v>
      </c>
      <c r="C22" s="3" t="s">
        <v>200</v>
      </c>
    </row>
    <row r="23" spans="1:3">
      <c r="A23" s="3" t="s">
        <v>217</v>
      </c>
      <c r="B23" s="3" t="s">
        <v>218</v>
      </c>
      <c r="C23" s="3" t="s">
        <v>219</v>
      </c>
    </row>
    <row r="24" spans="1:3">
      <c r="A24" s="3" t="s">
        <v>220</v>
      </c>
      <c r="B24" s="3" t="s">
        <v>43</v>
      </c>
      <c r="C24" s="3" t="s">
        <v>221</v>
      </c>
    </row>
    <row r="25" spans="1:3">
      <c r="A25" s="3" t="s">
        <v>222</v>
      </c>
      <c r="B25" s="3" t="s">
        <v>43</v>
      </c>
      <c r="C25" s="3" t="s">
        <v>49</v>
      </c>
    </row>
    <row r="26" spans="1:3">
      <c r="A26" s="3" t="s">
        <v>223</v>
      </c>
      <c r="B26" s="3" t="s">
        <v>43</v>
      </c>
      <c r="C26" s="3" t="s">
        <v>224</v>
      </c>
    </row>
    <row r="27" spans="1:3">
      <c r="A27" s="3" t="s">
        <v>225</v>
      </c>
      <c r="B27" s="3" t="s">
        <v>43</v>
      </c>
      <c r="C27" s="3" t="s">
        <v>44</v>
      </c>
    </row>
    <row r="28" spans="1:3">
      <c r="A28" s="3" t="s">
        <v>226</v>
      </c>
      <c r="B28" s="3" t="s">
        <v>57</v>
      </c>
      <c r="C28" s="3" t="s">
        <v>58</v>
      </c>
    </row>
    <row r="29" spans="1:3">
      <c r="A29" s="3" t="s">
        <v>227</v>
      </c>
      <c r="B29" s="3" t="s">
        <v>228</v>
      </c>
      <c r="C29" s="3" t="s">
        <v>229</v>
      </c>
    </row>
    <row r="30" spans="1:3">
      <c r="A30" s="3" t="s">
        <v>230</v>
      </c>
      <c r="B30" s="3" t="s">
        <v>231</v>
      </c>
      <c r="C30" s="3" t="s">
        <v>232</v>
      </c>
    </row>
    <row r="31" spans="1:3">
      <c r="A31" s="3" t="s">
        <v>233</v>
      </c>
      <c r="B31" s="3" t="s">
        <v>234</v>
      </c>
      <c r="C31" s="3" t="s">
        <v>235</v>
      </c>
    </row>
    <row r="32" spans="1:3">
      <c r="A32" s="3" t="s">
        <v>236</v>
      </c>
      <c r="B32" s="3" t="s">
        <v>237</v>
      </c>
      <c r="C32" s="3" t="s">
        <v>43</v>
      </c>
    </row>
    <row r="33" spans="1:3">
      <c r="A33" s="3" t="s">
        <v>238</v>
      </c>
      <c r="B33" s="3" t="s">
        <v>239</v>
      </c>
      <c r="C33" s="3" t="s">
        <v>240</v>
      </c>
    </row>
    <row r="34" spans="1:3">
      <c r="A34" s="3" t="s">
        <v>241</v>
      </c>
      <c r="B34" s="3" t="s">
        <v>53</v>
      </c>
      <c r="C34" s="3" t="s">
        <v>54</v>
      </c>
    </row>
    <row r="35" spans="1:3">
      <c r="A35" s="3" t="s">
        <v>242</v>
      </c>
      <c r="B35" s="3" t="s">
        <v>243</v>
      </c>
      <c r="C35" s="3" t="s">
        <v>244</v>
      </c>
    </row>
    <row r="36" spans="1:3">
      <c r="A36" s="3" t="s">
        <v>245</v>
      </c>
      <c r="B36" s="3" t="s">
        <v>246</v>
      </c>
      <c r="C36" s="3" t="s">
        <v>48</v>
      </c>
    </row>
    <row r="37" spans="1:3">
      <c r="A37" s="3" t="s">
        <v>247</v>
      </c>
      <c r="B37" s="3" t="s">
        <v>248</v>
      </c>
      <c r="C37" s="3" t="s">
        <v>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F553-43B5-4A3A-80FB-A59179826C90}">
  <dimension ref="A2:B7"/>
  <sheetViews>
    <sheetView workbookViewId="0">
      <selection activeCell="B7" sqref="B7"/>
    </sheetView>
  </sheetViews>
  <sheetFormatPr defaultRowHeight="15"/>
  <cols>
    <col min="2" max="2" width="70.5703125" customWidth="1"/>
  </cols>
  <sheetData>
    <row r="2" spans="1:2">
      <c r="A2" s="90" t="s">
        <v>250</v>
      </c>
      <c r="B2" s="9" t="s">
        <v>251</v>
      </c>
    </row>
    <row r="7" spans="1:2" ht="15" customHeight="1">
      <c r="A7" s="123" t="s">
        <v>252</v>
      </c>
      <c r="B7" s="124" t="s">
        <v>253</v>
      </c>
    </row>
  </sheetData>
  <hyperlinks>
    <hyperlink ref="B2" r:id="rId1" xr:uid="{2B0DE215-7AA0-445B-AF18-C1F6612D3C2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E878-C573-4D49-8777-CBB577ADBB29}">
  <sheetPr filterMode="1"/>
  <dimension ref="A1:O168"/>
  <sheetViews>
    <sheetView workbookViewId="0">
      <pane ySplit="120" topLeftCell="A151" activePane="bottomLeft" state="frozen"/>
      <selection pane="bottomLeft" activeCell="A157" sqref="A157"/>
    </sheetView>
  </sheetViews>
  <sheetFormatPr defaultRowHeight="15" customHeight="1"/>
  <cols>
    <col min="1" max="1" width="20.85546875" bestFit="1" customWidth="1"/>
    <col min="2" max="2" width="6" bestFit="1" customWidth="1"/>
    <col min="3" max="7" width="10.42578125" bestFit="1" customWidth="1"/>
    <col min="8" max="8" width="8.42578125" bestFit="1" customWidth="1"/>
    <col min="9" max="9" width="9" bestFit="1" customWidth="1"/>
    <col min="10" max="10" width="17.7109375" customWidth="1"/>
    <col min="12" max="12" width="7.140625" bestFit="1" customWidth="1"/>
    <col min="13" max="13" width="15.28515625" bestFit="1" customWidth="1"/>
    <col min="15" max="15" width="15.28515625" bestFit="1" customWidth="1"/>
  </cols>
  <sheetData>
    <row r="1" spans="1:15">
      <c r="B1" s="54"/>
      <c r="C1" s="54"/>
      <c r="D1" s="54"/>
      <c r="E1" s="54"/>
      <c r="F1" s="54"/>
      <c r="G1" s="54"/>
      <c r="H1" s="54"/>
      <c r="I1" s="54"/>
      <c r="J1" s="54"/>
      <c r="K1" s="56" t="s">
        <v>254</v>
      </c>
    </row>
    <row r="2" spans="1:15" hidden="1">
      <c r="A2" s="1" t="s">
        <v>1</v>
      </c>
      <c r="B2" s="1" t="s">
        <v>255</v>
      </c>
      <c r="C2" s="1" t="s">
        <v>256</v>
      </c>
      <c r="D2" s="1" t="s">
        <v>257</v>
      </c>
      <c r="E2" s="1" t="s">
        <v>258</v>
      </c>
      <c r="F2" s="1" t="s">
        <v>259</v>
      </c>
      <c r="G2" s="1" t="s">
        <v>260</v>
      </c>
      <c r="H2" s="1" t="s">
        <v>261</v>
      </c>
      <c r="I2" s="1" t="s">
        <v>262</v>
      </c>
      <c r="J2" s="1"/>
      <c r="K2" s="53">
        <v>39</v>
      </c>
    </row>
    <row r="3" spans="1:15" hidden="1">
      <c r="A3" s="3" t="s">
        <v>8</v>
      </c>
      <c r="B3" s="5">
        <v>1</v>
      </c>
      <c r="C3" s="10" t="s">
        <v>263</v>
      </c>
      <c r="D3" s="10" t="s">
        <v>263</v>
      </c>
      <c r="E3" s="10" t="s">
        <v>263</v>
      </c>
      <c r="F3" s="32" t="s">
        <v>263</v>
      </c>
      <c r="G3" s="32" t="s">
        <v>263</v>
      </c>
      <c r="H3" s="11"/>
      <c r="I3" s="49"/>
      <c r="J3" s="49"/>
      <c r="K3" s="53">
        <v>39</v>
      </c>
    </row>
    <row r="4" spans="1:15" hidden="1">
      <c r="A4" s="3" t="s">
        <v>15</v>
      </c>
      <c r="B4" s="5">
        <v>1</v>
      </c>
      <c r="C4" s="10" t="s">
        <v>263</v>
      </c>
      <c r="D4" s="10" t="s">
        <v>263</v>
      </c>
      <c r="E4" s="10" t="s">
        <v>263</v>
      </c>
      <c r="F4" s="32" t="s">
        <v>263</v>
      </c>
      <c r="G4" s="10" t="s">
        <v>263</v>
      </c>
      <c r="H4" s="11"/>
      <c r="I4" s="49"/>
      <c r="J4" s="49"/>
      <c r="K4" s="53">
        <v>39</v>
      </c>
      <c r="N4" s="50" t="s">
        <v>264</v>
      </c>
      <c r="O4" s="15" t="s">
        <v>265</v>
      </c>
    </row>
    <row r="5" spans="1:15" hidden="1">
      <c r="A5" s="3" t="s">
        <v>18</v>
      </c>
      <c r="B5" s="5">
        <v>1</v>
      </c>
      <c r="C5" s="10" t="s">
        <v>263</v>
      </c>
      <c r="D5" s="10" t="s">
        <v>263</v>
      </c>
      <c r="E5" s="10" t="s">
        <v>263</v>
      </c>
      <c r="F5" s="10" t="s">
        <v>263</v>
      </c>
      <c r="G5" s="32" t="s">
        <v>263</v>
      </c>
      <c r="H5" s="11"/>
      <c r="I5" s="49"/>
      <c r="J5" s="49"/>
      <c r="K5" s="53">
        <v>39</v>
      </c>
      <c r="N5" s="51" t="s">
        <v>266</v>
      </c>
      <c r="O5" s="21" t="s">
        <v>267</v>
      </c>
    </row>
    <row r="6" spans="1:15" hidden="1">
      <c r="A6" s="3" t="s">
        <v>20</v>
      </c>
      <c r="B6" s="5">
        <v>1</v>
      </c>
      <c r="C6" s="10" t="s">
        <v>263</v>
      </c>
      <c r="D6" s="10" t="s">
        <v>263</v>
      </c>
      <c r="E6" s="10" t="s">
        <v>263</v>
      </c>
      <c r="F6" s="32" t="s">
        <v>263</v>
      </c>
      <c r="G6" s="32" t="s">
        <v>263</v>
      </c>
      <c r="H6" s="11"/>
      <c r="I6" s="49"/>
      <c r="J6" s="49"/>
      <c r="K6" s="53">
        <v>39</v>
      </c>
      <c r="N6" s="52" t="s">
        <v>154</v>
      </c>
      <c r="O6" s="22" t="s">
        <v>268</v>
      </c>
    </row>
    <row r="7" spans="1:15" hidden="1">
      <c r="A7" s="3" t="s">
        <v>23</v>
      </c>
      <c r="B7" s="5">
        <v>1</v>
      </c>
      <c r="C7" s="10" t="s">
        <v>263</v>
      </c>
      <c r="D7" s="10" t="s">
        <v>263</v>
      </c>
      <c r="E7" s="10" t="s">
        <v>263</v>
      </c>
      <c r="F7" s="32" t="s">
        <v>263</v>
      </c>
      <c r="G7" s="32" t="s">
        <v>263</v>
      </c>
      <c r="H7" s="11"/>
      <c r="I7" s="49"/>
      <c r="J7" s="49"/>
      <c r="K7" s="53">
        <v>39</v>
      </c>
    </row>
    <row r="8" spans="1:15" hidden="1">
      <c r="A8" s="3" t="s">
        <v>26</v>
      </c>
      <c r="B8" s="5">
        <v>1</v>
      </c>
      <c r="C8" s="10" t="s">
        <v>263</v>
      </c>
      <c r="D8" s="10" t="s">
        <v>263</v>
      </c>
      <c r="E8" s="10" t="s">
        <v>263</v>
      </c>
      <c r="F8" s="32" t="s">
        <v>263</v>
      </c>
      <c r="G8" s="32" t="s">
        <v>263</v>
      </c>
      <c r="H8" s="11"/>
      <c r="I8" s="49"/>
      <c r="J8" s="49"/>
      <c r="K8" s="53">
        <v>39</v>
      </c>
    </row>
    <row r="9" spans="1:15" hidden="1">
      <c r="A9" s="3" t="s">
        <v>29</v>
      </c>
      <c r="B9" s="5">
        <v>1</v>
      </c>
      <c r="C9" s="10" t="s">
        <v>263</v>
      </c>
      <c r="D9" s="10" t="s">
        <v>263</v>
      </c>
      <c r="E9" s="10" t="s">
        <v>263</v>
      </c>
      <c r="F9" s="32" t="s">
        <v>263</v>
      </c>
      <c r="G9" s="32" t="s">
        <v>263</v>
      </c>
      <c r="H9" s="11"/>
      <c r="I9" s="49"/>
      <c r="J9" s="49"/>
      <c r="K9" s="53">
        <v>39</v>
      </c>
    </row>
    <row r="10" spans="1:15" hidden="1">
      <c r="A10" s="3" t="s">
        <v>32</v>
      </c>
      <c r="B10" s="5">
        <v>1</v>
      </c>
      <c r="C10" s="10" t="s">
        <v>263</v>
      </c>
      <c r="D10" s="10" t="s">
        <v>263</v>
      </c>
      <c r="E10" s="10" t="s">
        <v>263</v>
      </c>
      <c r="F10" s="32" t="s">
        <v>263</v>
      </c>
      <c r="G10" s="32" t="s">
        <v>263</v>
      </c>
      <c r="H10" s="11"/>
      <c r="I10" s="49"/>
      <c r="J10" s="49"/>
      <c r="K10" s="53">
        <v>39</v>
      </c>
    </row>
    <row r="11" spans="1:15" hidden="1">
      <c r="A11" s="3" t="s">
        <v>35</v>
      </c>
      <c r="B11" s="5">
        <v>1</v>
      </c>
      <c r="C11" s="10" t="s">
        <v>263</v>
      </c>
      <c r="D11" s="10" t="s">
        <v>263</v>
      </c>
      <c r="E11" s="10" t="s">
        <v>263</v>
      </c>
      <c r="F11" s="32" t="s">
        <v>263</v>
      </c>
      <c r="G11" s="32" t="s">
        <v>263</v>
      </c>
      <c r="H11" s="11"/>
      <c r="I11" s="49"/>
      <c r="J11" s="49"/>
      <c r="K11" s="53">
        <v>39</v>
      </c>
    </row>
    <row r="12" spans="1:15" hidden="1">
      <c r="A12" s="3" t="s">
        <v>39</v>
      </c>
      <c r="B12" s="5">
        <v>1</v>
      </c>
      <c r="C12" s="10" t="s">
        <v>263</v>
      </c>
      <c r="D12" s="10" t="s">
        <v>263</v>
      </c>
      <c r="E12" s="10" t="s">
        <v>263</v>
      </c>
      <c r="F12" s="32" t="s">
        <v>263</v>
      </c>
      <c r="G12" s="32" t="s">
        <v>263</v>
      </c>
      <c r="H12" s="11"/>
      <c r="I12" s="49"/>
      <c r="J12" s="49"/>
      <c r="K12" s="53">
        <v>39</v>
      </c>
    </row>
    <row r="13" spans="1:15" hidden="1">
      <c r="A13" s="3" t="s">
        <v>42</v>
      </c>
      <c r="B13" s="5">
        <v>1</v>
      </c>
      <c r="C13" s="10" t="s">
        <v>263</v>
      </c>
      <c r="D13" s="10" t="s">
        <v>263</v>
      </c>
      <c r="E13" s="10" t="s">
        <v>263</v>
      </c>
      <c r="F13" s="32" t="s">
        <v>263</v>
      </c>
      <c r="G13" s="32" t="s">
        <v>263</v>
      </c>
      <c r="H13" s="11"/>
      <c r="I13" s="49"/>
      <c r="J13" s="49"/>
      <c r="K13" s="53">
        <v>39</v>
      </c>
    </row>
    <row r="14" spans="1:15" hidden="1">
      <c r="A14" s="3" t="s">
        <v>47</v>
      </c>
      <c r="B14" s="5">
        <v>1</v>
      </c>
      <c r="C14" s="10" t="s">
        <v>263</v>
      </c>
      <c r="D14" s="10" t="s">
        <v>263</v>
      </c>
      <c r="E14" s="10" t="s">
        <v>263</v>
      </c>
      <c r="F14" s="32" t="s">
        <v>263</v>
      </c>
      <c r="G14" s="32" t="s">
        <v>263</v>
      </c>
      <c r="H14" s="11"/>
      <c r="I14" s="49"/>
      <c r="J14" s="49"/>
      <c r="K14" s="53">
        <v>39</v>
      </c>
    </row>
    <row r="15" spans="1:15" hidden="1">
      <c r="A15" s="3" t="s">
        <v>52</v>
      </c>
      <c r="B15" s="5">
        <v>1</v>
      </c>
      <c r="C15" s="10" t="s">
        <v>263</v>
      </c>
      <c r="D15" s="10" t="s">
        <v>263</v>
      </c>
      <c r="E15" s="10" t="s">
        <v>263</v>
      </c>
      <c r="F15" s="32" t="s">
        <v>263</v>
      </c>
      <c r="G15" s="32" t="s">
        <v>263</v>
      </c>
      <c r="H15" s="11"/>
      <c r="I15" s="49"/>
      <c r="J15" s="49"/>
      <c r="K15" s="53">
        <v>39</v>
      </c>
    </row>
    <row r="16" spans="1:15" hidden="1">
      <c r="A16" s="3" t="s">
        <v>56</v>
      </c>
      <c r="B16" s="5">
        <v>1</v>
      </c>
      <c r="C16" s="10" t="s">
        <v>263</v>
      </c>
      <c r="D16" s="55" t="s">
        <v>263</v>
      </c>
      <c r="E16" s="10" t="s">
        <v>263</v>
      </c>
      <c r="F16" s="32" t="s">
        <v>263</v>
      </c>
      <c r="G16" s="32" t="s">
        <v>263</v>
      </c>
      <c r="H16" s="11"/>
      <c r="I16" s="49"/>
      <c r="J16" s="49"/>
      <c r="K16" s="53">
        <v>39</v>
      </c>
    </row>
    <row r="17" spans="1:11" hidden="1">
      <c r="A17" s="3" t="s">
        <v>61</v>
      </c>
      <c r="B17" s="5">
        <v>1</v>
      </c>
      <c r="C17" s="10" t="s">
        <v>263</v>
      </c>
      <c r="D17" s="10" t="s">
        <v>263</v>
      </c>
      <c r="E17" s="10" t="s">
        <v>263</v>
      </c>
      <c r="F17" s="32" t="s">
        <v>263</v>
      </c>
      <c r="G17" s="32" t="s">
        <v>263</v>
      </c>
      <c r="H17" s="11"/>
      <c r="I17" s="49"/>
      <c r="J17" s="49"/>
      <c r="K17" s="53">
        <v>39</v>
      </c>
    </row>
    <row r="18" spans="1:11" hidden="1">
      <c r="A18" s="3" t="s">
        <v>64</v>
      </c>
      <c r="B18" s="5">
        <v>1</v>
      </c>
      <c r="C18" s="10" t="s">
        <v>263</v>
      </c>
      <c r="D18" s="10" t="s">
        <v>263</v>
      </c>
      <c r="E18" s="10" t="s">
        <v>263</v>
      </c>
      <c r="F18" s="10" t="s">
        <v>263</v>
      </c>
      <c r="G18" s="32" t="s">
        <v>263</v>
      </c>
      <c r="H18" s="11"/>
      <c r="I18" s="49"/>
      <c r="J18" s="49"/>
      <c r="K18" s="53">
        <v>39</v>
      </c>
    </row>
    <row r="19" spans="1:11" hidden="1">
      <c r="A19" s="3" t="s">
        <v>67</v>
      </c>
      <c r="B19" s="5">
        <v>1</v>
      </c>
      <c r="C19" s="10" t="s">
        <v>263</v>
      </c>
      <c r="D19" s="10" t="s">
        <v>263</v>
      </c>
      <c r="E19" s="10" t="s">
        <v>263</v>
      </c>
      <c r="F19" s="32" t="s">
        <v>263</v>
      </c>
      <c r="G19" s="32" t="s">
        <v>263</v>
      </c>
      <c r="H19" s="11"/>
      <c r="I19" s="49"/>
      <c r="J19" s="49"/>
      <c r="K19" s="53">
        <v>39</v>
      </c>
    </row>
    <row r="20" spans="1:11" hidden="1">
      <c r="A20" s="3" t="s">
        <v>70</v>
      </c>
      <c r="B20" s="5">
        <v>1</v>
      </c>
      <c r="C20" s="10" t="s">
        <v>263</v>
      </c>
      <c r="D20" s="10" t="s">
        <v>263</v>
      </c>
      <c r="E20" s="10" t="s">
        <v>263</v>
      </c>
      <c r="F20" s="32" t="s">
        <v>263</v>
      </c>
      <c r="G20" s="32" t="s">
        <v>263</v>
      </c>
      <c r="H20" s="11"/>
      <c r="I20" s="49"/>
      <c r="J20" s="49"/>
      <c r="K20" s="53">
        <v>39</v>
      </c>
    </row>
    <row r="21" spans="1:11" hidden="1">
      <c r="A21" s="3" t="s">
        <v>72</v>
      </c>
      <c r="B21" s="5">
        <v>1</v>
      </c>
      <c r="D21" s="10" t="s">
        <v>263</v>
      </c>
      <c r="E21" s="10" t="s">
        <v>263</v>
      </c>
      <c r="F21" s="10" t="s">
        <v>263</v>
      </c>
      <c r="G21" s="32" t="s">
        <v>263</v>
      </c>
      <c r="H21" s="11"/>
      <c r="I21" s="49"/>
      <c r="J21" s="49"/>
      <c r="K21" s="53">
        <v>39</v>
      </c>
    </row>
    <row r="22" spans="1:11" hidden="1">
      <c r="A22" s="3" t="s">
        <v>75</v>
      </c>
      <c r="B22" s="5">
        <v>1</v>
      </c>
      <c r="C22" s="10" t="s">
        <v>263</v>
      </c>
      <c r="D22" s="10" t="s">
        <v>263</v>
      </c>
      <c r="E22" s="10" t="s">
        <v>263</v>
      </c>
      <c r="F22" s="32" t="s">
        <v>263</v>
      </c>
      <c r="G22" s="32" t="s">
        <v>263</v>
      </c>
      <c r="H22" s="11"/>
      <c r="I22" s="49"/>
      <c r="J22" s="49"/>
      <c r="K22" s="53">
        <v>39</v>
      </c>
    </row>
    <row r="23" spans="1:11" hidden="1">
      <c r="A23" s="3" t="s">
        <v>78</v>
      </c>
      <c r="B23" s="5">
        <v>1</v>
      </c>
      <c r="C23" s="10" t="s">
        <v>263</v>
      </c>
      <c r="D23" s="10" t="s">
        <v>263</v>
      </c>
      <c r="E23" s="10" t="s">
        <v>263</v>
      </c>
      <c r="F23" s="32" t="s">
        <v>263</v>
      </c>
      <c r="G23" s="32" t="s">
        <v>263</v>
      </c>
      <c r="H23" s="11"/>
      <c r="I23" s="49"/>
      <c r="J23" s="49"/>
      <c r="K23" s="53">
        <v>39</v>
      </c>
    </row>
    <row r="24" spans="1:11" hidden="1">
      <c r="A24" s="3" t="s">
        <v>80</v>
      </c>
      <c r="B24" s="5">
        <v>1</v>
      </c>
      <c r="D24" s="10" t="s">
        <v>263</v>
      </c>
      <c r="E24" s="10" t="s">
        <v>263</v>
      </c>
      <c r="F24" s="10" t="s">
        <v>263</v>
      </c>
      <c r="G24" s="32" t="s">
        <v>263</v>
      </c>
      <c r="H24" s="11"/>
      <c r="I24" s="49"/>
      <c r="J24" s="49"/>
      <c r="K24" s="53">
        <v>39</v>
      </c>
    </row>
    <row r="25" spans="1:11" hidden="1">
      <c r="A25" s="3" t="s">
        <v>82</v>
      </c>
      <c r="B25" s="5">
        <v>1</v>
      </c>
      <c r="C25" s="10" t="s">
        <v>263</v>
      </c>
      <c r="D25" s="10" t="s">
        <v>263</v>
      </c>
      <c r="E25" s="10" t="s">
        <v>263</v>
      </c>
      <c r="F25" s="32" t="s">
        <v>263</v>
      </c>
      <c r="G25" s="32" t="s">
        <v>263</v>
      </c>
      <c r="H25" s="11"/>
      <c r="I25" s="49"/>
      <c r="J25" s="49"/>
      <c r="K25" s="53">
        <v>39</v>
      </c>
    </row>
    <row r="26" spans="1:11" hidden="1">
      <c r="A26" s="3" t="s">
        <v>84</v>
      </c>
      <c r="B26" s="5">
        <v>1</v>
      </c>
      <c r="C26" s="10" t="s">
        <v>263</v>
      </c>
      <c r="D26" s="10" t="s">
        <v>263</v>
      </c>
      <c r="E26" s="10" t="s">
        <v>263</v>
      </c>
      <c r="F26" s="32" t="s">
        <v>263</v>
      </c>
      <c r="G26" s="32" t="s">
        <v>263</v>
      </c>
      <c r="H26" s="11"/>
      <c r="I26" s="49"/>
      <c r="J26" s="49"/>
      <c r="K26" s="53">
        <v>39</v>
      </c>
    </row>
    <row r="27" spans="1:11" hidden="1">
      <c r="A27" s="3" t="s">
        <v>86</v>
      </c>
      <c r="B27" s="5">
        <v>1</v>
      </c>
      <c r="C27" s="10" t="s">
        <v>263</v>
      </c>
      <c r="D27" s="10" t="s">
        <v>263</v>
      </c>
      <c r="E27" s="10" t="s">
        <v>263</v>
      </c>
      <c r="F27" s="10" t="s">
        <v>263</v>
      </c>
      <c r="G27" s="32" t="s">
        <v>263</v>
      </c>
      <c r="H27" s="11"/>
      <c r="I27" s="49"/>
      <c r="J27" s="49"/>
      <c r="K27" s="53">
        <v>39</v>
      </c>
    </row>
    <row r="28" spans="1:11" hidden="1">
      <c r="A28" s="3" t="s">
        <v>88</v>
      </c>
      <c r="B28" s="5">
        <v>1</v>
      </c>
      <c r="C28" s="10" t="s">
        <v>263</v>
      </c>
      <c r="D28" s="10" t="s">
        <v>263</v>
      </c>
      <c r="E28" s="10" t="s">
        <v>263</v>
      </c>
      <c r="F28" s="32" t="s">
        <v>263</v>
      </c>
      <c r="G28" s="32" t="s">
        <v>263</v>
      </c>
      <c r="H28" s="11"/>
      <c r="I28" s="49"/>
      <c r="J28" s="49"/>
      <c r="K28" s="53">
        <v>39</v>
      </c>
    </row>
    <row r="29" spans="1:11" hidden="1">
      <c r="A29" s="31" t="s">
        <v>90</v>
      </c>
      <c r="B29" s="5">
        <v>1</v>
      </c>
      <c r="C29" s="10" t="s">
        <v>263</v>
      </c>
      <c r="D29" s="10" t="s">
        <v>263</v>
      </c>
      <c r="E29" s="10" t="s">
        <v>263</v>
      </c>
      <c r="F29" s="32" t="s">
        <v>263</v>
      </c>
      <c r="G29" s="32" t="s">
        <v>263</v>
      </c>
      <c r="H29" s="11"/>
      <c r="I29" s="49"/>
      <c r="J29" s="49"/>
      <c r="K29" s="53">
        <v>39</v>
      </c>
    </row>
    <row r="30" spans="1:11" hidden="1">
      <c r="A30" s="3" t="s">
        <v>228</v>
      </c>
      <c r="B30" s="5">
        <v>1</v>
      </c>
      <c r="E30" s="10" t="s">
        <v>263</v>
      </c>
      <c r="F30" s="10" t="s">
        <v>263</v>
      </c>
      <c r="G30" s="10" t="s">
        <v>263</v>
      </c>
      <c r="H30" s="11"/>
      <c r="I30" s="49"/>
      <c r="J30" s="49"/>
      <c r="K30" s="53">
        <v>39</v>
      </c>
    </row>
    <row r="31" spans="1:11" hidden="1">
      <c r="A31" s="1" t="s">
        <v>1</v>
      </c>
      <c r="B31" s="1" t="s">
        <v>255</v>
      </c>
      <c r="C31" s="2">
        <v>46279</v>
      </c>
      <c r="D31" s="2">
        <v>46280</v>
      </c>
      <c r="E31" s="2">
        <v>46281</v>
      </c>
      <c r="F31" s="2">
        <v>46282</v>
      </c>
      <c r="G31" s="2">
        <v>46283</v>
      </c>
      <c r="H31" s="2">
        <v>46284</v>
      </c>
      <c r="I31" s="2">
        <v>46285</v>
      </c>
      <c r="J31" s="2"/>
      <c r="K31" s="53">
        <v>38</v>
      </c>
    </row>
    <row r="32" spans="1:11" hidden="1">
      <c r="A32" s="47" t="s">
        <v>8</v>
      </c>
      <c r="B32" s="5">
        <v>1</v>
      </c>
      <c r="C32" s="10" t="s">
        <v>263</v>
      </c>
      <c r="D32" s="10" t="s">
        <v>263</v>
      </c>
      <c r="E32" s="10" t="s">
        <v>263</v>
      </c>
      <c r="F32" s="32" t="s">
        <v>263</v>
      </c>
      <c r="G32" s="3" t="s">
        <v>13</v>
      </c>
      <c r="H32" s="11"/>
      <c r="I32" s="11"/>
      <c r="J32" s="11"/>
      <c r="K32" s="53">
        <v>38</v>
      </c>
    </row>
    <row r="33" spans="1:15" hidden="1">
      <c r="A33" s="47" t="s">
        <v>15</v>
      </c>
      <c r="B33" s="5">
        <v>1</v>
      </c>
      <c r="C33" s="10" t="s">
        <v>263</v>
      </c>
      <c r="D33" s="10" t="s">
        <v>263</v>
      </c>
      <c r="E33" s="10" t="s">
        <v>263</v>
      </c>
      <c r="F33" s="32" t="s">
        <v>263</v>
      </c>
      <c r="G33" s="32" t="s">
        <v>263</v>
      </c>
      <c r="H33" s="11"/>
      <c r="I33" s="11"/>
      <c r="J33" s="11"/>
      <c r="K33" s="53">
        <v>38</v>
      </c>
    </row>
    <row r="34" spans="1:15" hidden="1">
      <c r="A34" s="47" t="s">
        <v>18</v>
      </c>
      <c r="B34" s="5">
        <v>1</v>
      </c>
      <c r="C34" s="10" t="s">
        <v>263</v>
      </c>
      <c r="D34" s="10" t="s">
        <v>263</v>
      </c>
      <c r="E34" s="10" t="s">
        <v>263</v>
      </c>
      <c r="F34" s="32" t="s">
        <v>263</v>
      </c>
      <c r="G34" s="32" t="s">
        <v>263</v>
      </c>
      <c r="H34" s="11"/>
      <c r="I34" s="11"/>
      <c r="J34" s="11"/>
      <c r="K34" s="53">
        <v>38</v>
      </c>
    </row>
    <row r="35" spans="1:15" hidden="1">
      <c r="A35" s="3" t="s">
        <v>20</v>
      </c>
      <c r="B35" s="5">
        <v>1</v>
      </c>
      <c r="C35" s="10" t="s">
        <v>263</v>
      </c>
      <c r="D35" s="10" t="s">
        <v>263</v>
      </c>
      <c r="E35" s="55" t="s">
        <v>263</v>
      </c>
      <c r="F35" s="32" t="s">
        <v>263</v>
      </c>
      <c r="G35" s="32" t="s">
        <v>263</v>
      </c>
      <c r="H35" s="11"/>
      <c r="I35" s="11"/>
      <c r="J35" s="11"/>
      <c r="K35" s="53">
        <v>38</v>
      </c>
      <c r="N35" s="59" t="s">
        <v>264</v>
      </c>
      <c r="O35" s="15" t="s">
        <v>265</v>
      </c>
    </row>
    <row r="36" spans="1:15" hidden="1">
      <c r="A36" s="14" t="s">
        <v>23</v>
      </c>
      <c r="B36" s="5">
        <v>1</v>
      </c>
      <c r="C36" s="10" t="s">
        <v>263</v>
      </c>
      <c r="D36" s="10" t="s">
        <v>263</v>
      </c>
      <c r="E36" s="10" t="s">
        <v>263</v>
      </c>
      <c r="F36" s="32" t="s">
        <v>263</v>
      </c>
      <c r="G36" s="32" t="s">
        <v>263</v>
      </c>
      <c r="H36" s="11"/>
      <c r="I36" s="11"/>
      <c r="J36" s="11"/>
      <c r="K36" s="53">
        <v>38</v>
      </c>
      <c r="N36" s="60" t="s">
        <v>266</v>
      </c>
      <c r="O36" s="21" t="s">
        <v>267</v>
      </c>
    </row>
    <row r="37" spans="1:15" hidden="1">
      <c r="A37" s="14" t="s">
        <v>26</v>
      </c>
      <c r="B37" s="5">
        <v>1</v>
      </c>
      <c r="C37" s="10" t="s">
        <v>263</v>
      </c>
      <c r="D37" s="10" t="s">
        <v>263</v>
      </c>
      <c r="E37" s="10" t="s">
        <v>263</v>
      </c>
      <c r="F37" s="32" t="s">
        <v>263</v>
      </c>
      <c r="G37" s="32" t="s">
        <v>263</v>
      </c>
      <c r="H37" s="11"/>
      <c r="I37" s="11"/>
      <c r="J37" s="11"/>
      <c r="K37" s="53">
        <v>38</v>
      </c>
      <c r="N37" s="61" t="s">
        <v>154</v>
      </c>
      <c r="O37" s="22" t="s">
        <v>268</v>
      </c>
    </row>
    <row r="38" spans="1:15" hidden="1">
      <c r="A38" s="3" t="s">
        <v>29</v>
      </c>
      <c r="B38" s="5">
        <v>1</v>
      </c>
      <c r="C38" s="10" t="s">
        <v>263</v>
      </c>
      <c r="D38" s="10" t="s">
        <v>263</v>
      </c>
      <c r="E38" s="10" t="s">
        <v>263</v>
      </c>
      <c r="F38" s="32" t="s">
        <v>263</v>
      </c>
      <c r="G38" s="32" t="s">
        <v>263</v>
      </c>
      <c r="H38" s="11"/>
      <c r="I38" s="11"/>
      <c r="J38" s="11"/>
      <c r="K38" s="53">
        <v>38</v>
      </c>
    </row>
    <row r="39" spans="1:15" hidden="1">
      <c r="A39" s="3" t="s">
        <v>32</v>
      </c>
      <c r="B39" s="5">
        <v>1</v>
      </c>
      <c r="C39" s="10" t="s">
        <v>263</v>
      </c>
      <c r="D39" s="10" t="s">
        <v>263</v>
      </c>
      <c r="E39" s="10" t="s">
        <v>263</v>
      </c>
      <c r="F39" s="32" t="s">
        <v>263</v>
      </c>
      <c r="G39" s="32" t="s">
        <v>263</v>
      </c>
      <c r="H39" s="11"/>
      <c r="I39" s="11"/>
      <c r="J39" s="11"/>
      <c r="K39" s="53">
        <v>38</v>
      </c>
    </row>
    <row r="40" spans="1:15" hidden="1">
      <c r="A40" s="3" t="s">
        <v>35</v>
      </c>
      <c r="B40" s="5">
        <v>1</v>
      </c>
      <c r="C40" s="10" t="s">
        <v>263</v>
      </c>
      <c r="D40" s="10" t="s">
        <v>263</v>
      </c>
      <c r="E40" s="10" t="s">
        <v>263</v>
      </c>
      <c r="F40" s="32" t="s">
        <v>263</v>
      </c>
      <c r="G40" s="32" t="s">
        <v>263</v>
      </c>
      <c r="H40" s="11"/>
      <c r="I40" s="11"/>
      <c r="J40" s="11"/>
      <c r="K40" s="53">
        <v>38</v>
      </c>
    </row>
    <row r="41" spans="1:15" hidden="1">
      <c r="A41" s="3" t="s">
        <v>39</v>
      </c>
      <c r="B41" s="5">
        <v>1</v>
      </c>
      <c r="D41" s="10" t="s">
        <v>263</v>
      </c>
      <c r="E41" s="10" t="s">
        <v>263</v>
      </c>
      <c r="F41" s="32" t="s">
        <v>263</v>
      </c>
      <c r="G41" s="32" t="s">
        <v>263</v>
      </c>
      <c r="H41" s="11"/>
      <c r="I41" s="11"/>
      <c r="J41" s="11"/>
      <c r="K41" s="53">
        <v>38</v>
      </c>
    </row>
    <row r="42" spans="1:15" hidden="1">
      <c r="A42" s="3" t="s">
        <v>42</v>
      </c>
      <c r="B42" s="5">
        <v>1</v>
      </c>
      <c r="E42" s="10" t="s">
        <v>263</v>
      </c>
      <c r="F42" s="32" t="s">
        <v>263</v>
      </c>
      <c r="G42" s="32" t="s">
        <v>263</v>
      </c>
      <c r="H42" s="11"/>
      <c r="I42" s="11"/>
      <c r="J42" s="11"/>
      <c r="K42" s="53">
        <v>38</v>
      </c>
    </row>
    <row r="43" spans="1:15" hidden="1">
      <c r="A43" s="3" t="s">
        <v>47</v>
      </c>
      <c r="B43" s="5">
        <v>1</v>
      </c>
      <c r="D43" s="10" t="s">
        <v>263</v>
      </c>
      <c r="E43" s="10" t="s">
        <v>263</v>
      </c>
      <c r="F43" s="32" t="s">
        <v>263</v>
      </c>
      <c r="G43" s="32" t="s">
        <v>263</v>
      </c>
      <c r="H43" s="11"/>
      <c r="I43" s="11"/>
      <c r="J43" s="11"/>
      <c r="K43" s="53">
        <v>38</v>
      </c>
    </row>
    <row r="44" spans="1:15" hidden="1">
      <c r="A44" s="42" t="s">
        <v>52</v>
      </c>
      <c r="B44" s="5">
        <v>1</v>
      </c>
      <c r="E44" s="10" t="s">
        <v>263</v>
      </c>
      <c r="F44" s="32" t="s">
        <v>263</v>
      </c>
      <c r="G44" s="32" t="s">
        <v>263</v>
      </c>
      <c r="H44" s="11"/>
      <c r="I44" s="11"/>
      <c r="J44" s="11"/>
      <c r="K44" s="53">
        <v>38</v>
      </c>
    </row>
    <row r="45" spans="1:15" hidden="1">
      <c r="A45" s="48" t="s">
        <v>56</v>
      </c>
      <c r="B45" s="5">
        <v>1</v>
      </c>
      <c r="C45" s="10" t="s">
        <v>263</v>
      </c>
      <c r="D45" s="10" t="s">
        <v>263</v>
      </c>
      <c r="E45" s="10" t="s">
        <v>263</v>
      </c>
      <c r="F45" s="32" t="s">
        <v>263</v>
      </c>
      <c r="G45" s="32" t="s">
        <v>263</v>
      </c>
      <c r="H45" s="11"/>
      <c r="I45" s="11"/>
      <c r="J45" s="11"/>
      <c r="K45" s="53">
        <v>38</v>
      </c>
    </row>
    <row r="46" spans="1:15" hidden="1">
      <c r="A46" s="1" t="s">
        <v>1</v>
      </c>
      <c r="B46" s="1" t="s">
        <v>255</v>
      </c>
      <c r="C46" s="1" t="s">
        <v>269</v>
      </c>
      <c r="D46" s="1" t="s">
        <v>270</v>
      </c>
      <c r="E46" s="1" t="s">
        <v>271</v>
      </c>
      <c r="F46" s="1" t="s">
        <v>272</v>
      </c>
      <c r="G46" s="1" t="s">
        <v>273</v>
      </c>
      <c r="H46" s="1" t="s">
        <v>274</v>
      </c>
      <c r="I46" s="1" t="s">
        <v>275</v>
      </c>
      <c r="J46" s="1"/>
      <c r="K46" s="53">
        <v>40</v>
      </c>
    </row>
    <row r="47" spans="1:15" hidden="1">
      <c r="A47" s="3" t="s">
        <v>8</v>
      </c>
      <c r="B47" s="5">
        <v>1</v>
      </c>
      <c r="C47" s="10" t="s">
        <v>263</v>
      </c>
      <c r="D47" s="10" t="s">
        <v>263</v>
      </c>
      <c r="E47" s="55" t="s">
        <v>263</v>
      </c>
      <c r="F47" s="32" t="s">
        <v>263</v>
      </c>
      <c r="G47" s="32" t="s">
        <v>263</v>
      </c>
      <c r="H47" s="11"/>
      <c r="I47" s="49"/>
      <c r="J47" s="49"/>
      <c r="K47" s="53">
        <v>40</v>
      </c>
    </row>
    <row r="48" spans="1:15" hidden="1">
      <c r="A48" s="3" t="s">
        <v>15</v>
      </c>
      <c r="B48" s="5">
        <v>1</v>
      </c>
      <c r="C48" s="10" t="s">
        <v>263</v>
      </c>
      <c r="D48" s="55" t="s">
        <v>263</v>
      </c>
      <c r="E48" s="32" t="s">
        <v>263</v>
      </c>
      <c r="F48" s="10" t="s">
        <v>263</v>
      </c>
      <c r="G48" s="32" t="s">
        <v>263</v>
      </c>
      <c r="H48" s="11"/>
      <c r="I48" s="49"/>
      <c r="J48" s="49"/>
      <c r="K48" s="53">
        <v>40</v>
      </c>
    </row>
    <row r="49" spans="1:15" hidden="1">
      <c r="A49" s="3" t="s">
        <v>18</v>
      </c>
      <c r="B49" s="5">
        <v>1</v>
      </c>
      <c r="C49" s="32" t="s">
        <v>263</v>
      </c>
      <c r="D49" s="55" t="s">
        <v>263</v>
      </c>
      <c r="E49" s="10" t="s">
        <v>263</v>
      </c>
      <c r="F49" s="32" t="s">
        <v>263</v>
      </c>
      <c r="G49" s="32" t="s">
        <v>263</v>
      </c>
      <c r="H49" s="11"/>
      <c r="I49" s="49"/>
      <c r="J49" s="49"/>
      <c r="K49" s="53">
        <v>40</v>
      </c>
    </row>
    <row r="50" spans="1:15" hidden="1">
      <c r="A50" s="3" t="s">
        <v>20</v>
      </c>
      <c r="B50" s="5">
        <v>1</v>
      </c>
      <c r="C50" s="10" t="s">
        <v>263</v>
      </c>
      <c r="D50" s="55" t="s">
        <v>263</v>
      </c>
      <c r="E50" s="55" t="s">
        <v>263</v>
      </c>
      <c r="F50" s="32" t="s">
        <v>263</v>
      </c>
      <c r="G50" s="32" t="s">
        <v>263</v>
      </c>
      <c r="H50" s="11"/>
      <c r="I50" s="49"/>
      <c r="J50" s="49"/>
      <c r="K50" s="53">
        <v>40</v>
      </c>
    </row>
    <row r="51" spans="1:15" hidden="1">
      <c r="A51" s="3" t="s">
        <v>23</v>
      </c>
      <c r="B51" s="5">
        <v>1</v>
      </c>
      <c r="C51" s="10" t="s">
        <v>263</v>
      </c>
      <c r="D51" s="55" t="s">
        <v>263</v>
      </c>
      <c r="E51" s="55" t="s">
        <v>263</v>
      </c>
      <c r="F51" s="32" t="s">
        <v>263</v>
      </c>
      <c r="G51" s="32" t="s">
        <v>263</v>
      </c>
      <c r="H51" s="11"/>
      <c r="I51" s="49"/>
      <c r="J51" s="49"/>
      <c r="K51" s="53">
        <v>40</v>
      </c>
    </row>
    <row r="52" spans="1:15" hidden="1">
      <c r="A52" s="3" t="s">
        <v>26</v>
      </c>
      <c r="B52" s="5">
        <v>1</v>
      </c>
      <c r="C52" s="10" t="s">
        <v>263</v>
      </c>
      <c r="D52" s="55" t="s">
        <v>263</v>
      </c>
      <c r="E52" s="55" t="s">
        <v>263</v>
      </c>
      <c r="F52" s="32" t="s">
        <v>263</v>
      </c>
      <c r="G52" s="32" t="s">
        <v>263</v>
      </c>
      <c r="H52" s="11"/>
      <c r="I52" s="49"/>
      <c r="J52" s="49"/>
      <c r="K52" s="53">
        <v>40</v>
      </c>
    </row>
    <row r="53" spans="1:15" hidden="1">
      <c r="A53" s="3" t="s">
        <v>29</v>
      </c>
      <c r="B53" s="5">
        <v>1</v>
      </c>
      <c r="C53" s="10" t="s">
        <v>263</v>
      </c>
      <c r="D53" s="55" t="s">
        <v>263</v>
      </c>
      <c r="E53" s="55" t="s">
        <v>263</v>
      </c>
      <c r="F53" s="32" t="s">
        <v>263</v>
      </c>
      <c r="G53" s="32" t="s">
        <v>263</v>
      </c>
      <c r="H53" s="11"/>
      <c r="I53" s="49"/>
      <c r="J53" s="49"/>
      <c r="K53" s="53">
        <v>40</v>
      </c>
      <c r="N53" s="59" t="s">
        <v>264</v>
      </c>
      <c r="O53" s="15" t="s">
        <v>265</v>
      </c>
    </row>
    <row r="54" spans="1:15" hidden="1">
      <c r="A54" s="3" t="s">
        <v>32</v>
      </c>
      <c r="B54" s="5">
        <v>1</v>
      </c>
      <c r="C54" s="10" t="s">
        <v>263</v>
      </c>
      <c r="D54" s="55" t="s">
        <v>263</v>
      </c>
      <c r="E54" s="55" t="s">
        <v>263</v>
      </c>
      <c r="F54" s="32" t="s">
        <v>263</v>
      </c>
      <c r="G54" s="32" t="s">
        <v>263</v>
      </c>
      <c r="H54" s="11"/>
      <c r="I54" s="49"/>
      <c r="J54" s="49"/>
      <c r="K54" s="53">
        <v>40</v>
      </c>
      <c r="N54" s="60" t="s">
        <v>266</v>
      </c>
      <c r="O54" s="21" t="s">
        <v>267</v>
      </c>
    </row>
    <row r="55" spans="1:15" hidden="1">
      <c r="A55" s="3" t="s">
        <v>35</v>
      </c>
      <c r="B55" s="5">
        <v>1</v>
      </c>
      <c r="C55" s="10" t="s">
        <v>263</v>
      </c>
      <c r="D55" s="55" t="s">
        <v>263</v>
      </c>
      <c r="E55" s="55" t="s">
        <v>263</v>
      </c>
      <c r="F55" s="32" t="s">
        <v>263</v>
      </c>
      <c r="G55" s="32" t="s">
        <v>263</v>
      </c>
      <c r="H55" s="11"/>
      <c r="I55" s="49"/>
      <c r="J55" s="49"/>
      <c r="K55" s="53">
        <v>40</v>
      </c>
      <c r="N55" s="61" t="s">
        <v>154</v>
      </c>
      <c r="O55" s="22" t="s">
        <v>268</v>
      </c>
    </row>
    <row r="56" spans="1:15" hidden="1">
      <c r="A56" s="3" t="s">
        <v>39</v>
      </c>
      <c r="B56" s="5">
        <v>1</v>
      </c>
      <c r="C56" s="10" t="s">
        <v>263</v>
      </c>
      <c r="D56" s="55" t="s">
        <v>263</v>
      </c>
      <c r="E56" s="55" t="s">
        <v>263</v>
      </c>
      <c r="F56" s="32" t="s">
        <v>263</v>
      </c>
      <c r="G56" s="32" t="s">
        <v>263</v>
      </c>
      <c r="H56" s="11"/>
      <c r="I56" s="49"/>
      <c r="J56" s="49"/>
      <c r="K56" s="53">
        <v>40</v>
      </c>
    </row>
    <row r="57" spans="1:15" hidden="1">
      <c r="A57" s="3" t="s">
        <v>42</v>
      </c>
      <c r="B57" s="5">
        <v>1</v>
      </c>
      <c r="C57" s="10" t="s">
        <v>263</v>
      </c>
      <c r="D57" s="55" t="s">
        <v>263</v>
      </c>
      <c r="E57" s="55" t="s">
        <v>263</v>
      </c>
      <c r="F57" s="32" t="s">
        <v>263</v>
      </c>
      <c r="G57" s="32" t="s">
        <v>263</v>
      </c>
      <c r="H57" s="11"/>
      <c r="I57" s="49"/>
      <c r="J57" s="49"/>
      <c r="K57" s="53">
        <v>40</v>
      </c>
    </row>
    <row r="58" spans="1:15" hidden="1">
      <c r="A58" s="3" t="s">
        <v>47</v>
      </c>
      <c r="B58" s="5">
        <v>1</v>
      </c>
      <c r="C58" s="10" t="s">
        <v>263</v>
      </c>
      <c r="D58" s="55" t="s">
        <v>263</v>
      </c>
      <c r="E58" s="55" t="s">
        <v>263</v>
      </c>
      <c r="F58" s="32" t="s">
        <v>263</v>
      </c>
      <c r="G58" s="32" t="s">
        <v>263</v>
      </c>
      <c r="H58" s="11"/>
      <c r="I58" s="49"/>
      <c r="J58" s="49"/>
      <c r="K58" s="53">
        <v>40</v>
      </c>
    </row>
    <row r="59" spans="1:15" hidden="1">
      <c r="A59" s="3" t="s">
        <v>52</v>
      </c>
      <c r="B59" s="5">
        <v>1</v>
      </c>
      <c r="C59" s="10" t="s">
        <v>263</v>
      </c>
      <c r="D59" s="55" t="s">
        <v>263</v>
      </c>
      <c r="E59" s="55" t="s">
        <v>263</v>
      </c>
      <c r="F59" s="32" t="s">
        <v>263</v>
      </c>
      <c r="G59" s="32" t="s">
        <v>263</v>
      </c>
      <c r="H59" s="11"/>
      <c r="I59" s="49"/>
      <c r="J59" s="49"/>
      <c r="K59" s="53">
        <v>40</v>
      </c>
    </row>
    <row r="60" spans="1:15" hidden="1">
      <c r="A60" s="3" t="s">
        <v>56</v>
      </c>
      <c r="B60" s="5">
        <v>1</v>
      </c>
      <c r="C60" s="10" t="s">
        <v>263</v>
      </c>
      <c r="D60" s="55" t="s">
        <v>263</v>
      </c>
      <c r="E60" s="55" t="s">
        <v>263</v>
      </c>
      <c r="F60" s="32" t="s">
        <v>263</v>
      </c>
      <c r="G60" s="32" t="s">
        <v>263</v>
      </c>
      <c r="H60" s="11"/>
      <c r="I60" s="49"/>
      <c r="J60" s="49"/>
      <c r="K60" s="53">
        <v>40</v>
      </c>
    </row>
    <row r="61" spans="1:15" hidden="1">
      <c r="A61" s="3" t="s">
        <v>61</v>
      </c>
      <c r="B61" s="5">
        <v>1</v>
      </c>
      <c r="C61" s="55" t="s">
        <v>263</v>
      </c>
      <c r="D61" s="55" t="s">
        <v>263</v>
      </c>
      <c r="E61" s="55" t="s">
        <v>263</v>
      </c>
      <c r="F61" s="32" t="s">
        <v>263</v>
      </c>
      <c r="G61" s="32" t="s">
        <v>263</v>
      </c>
      <c r="H61" s="11"/>
      <c r="I61" s="49"/>
      <c r="J61" s="49"/>
      <c r="K61" s="53">
        <v>40</v>
      </c>
    </row>
    <row r="62" spans="1:15" hidden="1">
      <c r="A62" s="3" t="s">
        <v>64</v>
      </c>
      <c r="B62" s="5">
        <v>1</v>
      </c>
      <c r="C62" s="10" t="s">
        <v>263</v>
      </c>
      <c r="D62" s="55" t="s">
        <v>263</v>
      </c>
      <c r="E62" s="32" t="s">
        <v>263</v>
      </c>
      <c r="F62" s="32" t="s">
        <v>263</v>
      </c>
      <c r="G62" s="10" t="s">
        <v>263</v>
      </c>
      <c r="H62" s="11"/>
      <c r="I62" s="49"/>
      <c r="J62" s="49"/>
      <c r="K62" s="53">
        <v>40</v>
      </c>
    </row>
    <row r="63" spans="1:15" hidden="1">
      <c r="A63" s="3" t="s">
        <v>67</v>
      </c>
      <c r="B63" s="5">
        <v>1</v>
      </c>
      <c r="C63" s="10" t="s">
        <v>263</v>
      </c>
      <c r="D63" s="55" t="s">
        <v>263</v>
      </c>
      <c r="E63" s="55" t="s">
        <v>263</v>
      </c>
      <c r="F63" s="32" t="s">
        <v>263</v>
      </c>
      <c r="G63" s="32" t="s">
        <v>263</v>
      </c>
      <c r="H63" s="11"/>
      <c r="I63" s="49"/>
      <c r="J63" s="49"/>
      <c r="K63" s="53">
        <v>40</v>
      </c>
    </row>
    <row r="64" spans="1:15" hidden="1">
      <c r="A64" s="3" t="s">
        <v>70</v>
      </c>
      <c r="B64" s="5">
        <v>1</v>
      </c>
      <c r="C64" s="10" t="s">
        <v>263</v>
      </c>
      <c r="D64" s="55" t="s">
        <v>263</v>
      </c>
      <c r="E64" s="55" t="s">
        <v>263</v>
      </c>
      <c r="F64" s="32" t="s">
        <v>263</v>
      </c>
      <c r="G64" s="32" t="s">
        <v>263</v>
      </c>
      <c r="H64" s="11"/>
      <c r="I64" s="49"/>
      <c r="J64" s="49"/>
      <c r="K64" s="53">
        <v>40</v>
      </c>
    </row>
    <row r="65" spans="1:11" hidden="1">
      <c r="A65" s="3" t="s">
        <v>72</v>
      </c>
      <c r="B65" s="5">
        <v>1</v>
      </c>
      <c r="C65" s="10" t="s">
        <v>263</v>
      </c>
      <c r="D65" s="55" t="s">
        <v>263</v>
      </c>
      <c r="E65" s="55" t="s">
        <v>263</v>
      </c>
      <c r="F65" s="32" t="s">
        <v>263</v>
      </c>
      <c r="G65" s="32" t="s">
        <v>263</v>
      </c>
      <c r="H65" s="11"/>
      <c r="I65" s="49"/>
      <c r="J65" s="49"/>
      <c r="K65" s="53">
        <v>40</v>
      </c>
    </row>
    <row r="66" spans="1:11" hidden="1">
      <c r="A66" s="3" t="s">
        <v>75</v>
      </c>
      <c r="B66" s="5">
        <v>1</v>
      </c>
      <c r="C66" s="10" t="s">
        <v>263</v>
      </c>
      <c r="D66" s="55" t="s">
        <v>263</v>
      </c>
      <c r="E66" s="55" t="s">
        <v>263</v>
      </c>
      <c r="F66" s="32" t="s">
        <v>263</v>
      </c>
      <c r="G66" s="32" t="s">
        <v>263</v>
      </c>
      <c r="H66" s="11"/>
      <c r="I66" s="49"/>
      <c r="J66" s="49"/>
      <c r="K66" s="53">
        <v>40</v>
      </c>
    </row>
    <row r="67" spans="1:11" hidden="1">
      <c r="A67" s="3" t="s">
        <v>78</v>
      </c>
      <c r="B67" s="5">
        <v>1</v>
      </c>
      <c r="C67" s="10" t="s">
        <v>263</v>
      </c>
      <c r="D67" s="55" t="s">
        <v>263</v>
      </c>
      <c r="E67" s="55" t="s">
        <v>263</v>
      </c>
      <c r="F67" s="32" t="s">
        <v>263</v>
      </c>
      <c r="G67" s="32" t="s">
        <v>263</v>
      </c>
      <c r="H67" s="11"/>
      <c r="I67" s="49"/>
      <c r="J67" s="49"/>
      <c r="K67" s="53">
        <v>40</v>
      </c>
    </row>
    <row r="68" spans="1:11" hidden="1">
      <c r="A68" s="3" t="s">
        <v>80</v>
      </c>
      <c r="B68" s="5">
        <v>1</v>
      </c>
      <c r="C68" s="10" t="s">
        <v>263</v>
      </c>
      <c r="D68" s="55" t="s">
        <v>263</v>
      </c>
      <c r="E68" s="55" t="s">
        <v>263</v>
      </c>
      <c r="F68" s="32" t="s">
        <v>263</v>
      </c>
      <c r="G68" s="32" t="s">
        <v>263</v>
      </c>
      <c r="H68" s="11"/>
      <c r="I68" s="49"/>
      <c r="J68" s="49"/>
      <c r="K68" s="53">
        <v>40</v>
      </c>
    </row>
    <row r="69" spans="1:11" hidden="1">
      <c r="A69" s="3" t="s">
        <v>82</v>
      </c>
      <c r="B69" s="5">
        <v>1</v>
      </c>
      <c r="C69" s="10" t="s">
        <v>263</v>
      </c>
      <c r="D69" s="55" t="s">
        <v>263</v>
      </c>
      <c r="E69" s="55" t="s">
        <v>263</v>
      </c>
      <c r="F69" s="32" t="s">
        <v>263</v>
      </c>
      <c r="G69" s="32" t="s">
        <v>263</v>
      </c>
      <c r="H69" s="11"/>
      <c r="I69" s="49"/>
      <c r="J69" s="49"/>
      <c r="K69" s="53">
        <v>40</v>
      </c>
    </row>
    <row r="70" spans="1:11" hidden="1">
      <c r="A70" s="3" t="s">
        <v>84</v>
      </c>
      <c r="B70" s="5">
        <v>1</v>
      </c>
      <c r="C70" s="10" t="s">
        <v>263</v>
      </c>
      <c r="D70" s="55" t="s">
        <v>263</v>
      </c>
      <c r="E70" s="55" t="s">
        <v>263</v>
      </c>
      <c r="F70" s="32" t="s">
        <v>263</v>
      </c>
      <c r="G70" s="32" t="s">
        <v>263</v>
      </c>
      <c r="H70" s="11"/>
      <c r="I70" s="49"/>
      <c r="J70" s="49"/>
      <c r="K70" s="53">
        <v>40</v>
      </c>
    </row>
    <row r="71" spans="1:11" hidden="1">
      <c r="A71" s="3" t="s">
        <v>86</v>
      </c>
      <c r="B71" s="5">
        <v>1</v>
      </c>
      <c r="C71" s="32" t="s">
        <v>263</v>
      </c>
      <c r="D71" s="55" t="s">
        <v>263</v>
      </c>
      <c r="E71" s="55" t="s">
        <v>263</v>
      </c>
      <c r="F71" s="32" t="s">
        <v>263</v>
      </c>
      <c r="G71" s="32" t="s">
        <v>263</v>
      </c>
      <c r="H71" s="11"/>
      <c r="I71" s="49"/>
      <c r="J71" s="49"/>
      <c r="K71" s="53">
        <v>40</v>
      </c>
    </row>
    <row r="72" spans="1:11" hidden="1">
      <c r="A72" s="3" t="s">
        <v>88</v>
      </c>
      <c r="B72" s="5">
        <v>1</v>
      </c>
      <c r="C72" s="10" t="s">
        <v>263</v>
      </c>
      <c r="D72" s="55" t="s">
        <v>263</v>
      </c>
      <c r="E72" s="55" t="s">
        <v>263</v>
      </c>
      <c r="F72" s="32" t="s">
        <v>263</v>
      </c>
      <c r="G72" s="32" t="s">
        <v>263</v>
      </c>
      <c r="H72" s="11"/>
      <c r="I72" s="49"/>
      <c r="J72" s="49"/>
      <c r="K72" s="53">
        <v>40</v>
      </c>
    </row>
    <row r="73" spans="1:11" hidden="1">
      <c r="A73" s="31" t="s">
        <v>90</v>
      </c>
      <c r="B73" s="5">
        <v>1</v>
      </c>
      <c r="C73" s="10" t="s">
        <v>263</v>
      </c>
      <c r="D73" s="55" t="s">
        <v>263</v>
      </c>
      <c r="E73" s="55" t="s">
        <v>263</v>
      </c>
      <c r="F73" s="32" t="s">
        <v>263</v>
      </c>
      <c r="G73" s="32" t="s">
        <v>263</v>
      </c>
      <c r="H73" s="11"/>
      <c r="I73" s="49"/>
      <c r="J73" s="49"/>
      <c r="K73" s="53">
        <v>40</v>
      </c>
    </row>
    <row r="74" spans="1:11" hidden="1">
      <c r="A74" s="3" t="s">
        <v>276</v>
      </c>
      <c r="B74" s="5">
        <v>1</v>
      </c>
      <c r="C74" s="10" t="s">
        <v>263</v>
      </c>
      <c r="D74" s="10" t="s">
        <v>263</v>
      </c>
      <c r="E74" s="10" t="s">
        <v>263</v>
      </c>
      <c r="F74" s="32" t="s">
        <v>263</v>
      </c>
      <c r="G74" s="32" t="s">
        <v>263</v>
      </c>
      <c r="H74" s="11"/>
      <c r="I74" s="49"/>
      <c r="J74" s="49"/>
      <c r="K74" s="53">
        <v>40</v>
      </c>
    </row>
    <row r="75" spans="1:11" hidden="1">
      <c r="A75" s="3" t="s">
        <v>277</v>
      </c>
      <c r="B75" s="5">
        <v>1</v>
      </c>
      <c r="C75" s="10" t="s">
        <v>263</v>
      </c>
      <c r="D75" s="10" t="s">
        <v>263</v>
      </c>
      <c r="E75" s="55" t="s">
        <v>263</v>
      </c>
      <c r="F75" s="32" t="s">
        <v>263</v>
      </c>
      <c r="G75" s="32" t="s">
        <v>263</v>
      </c>
      <c r="H75" s="11"/>
      <c r="I75" s="49"/>
      <c r="J75" s="49"/>
      <c r="K75" s="53">
        <v>40</v>
      </c>
    </row>
    <row r="76" spans="1:11" hidden="1">
      <c r="A76" s="3" t="s">
        <v>96</v>
      </c>
      <c r="B76" s="5">
        <v>1</v>
      </c>
      <c r="C76" s="10" t="s">
        <v>263</v>
      </c>
      <c r="D76" s="10" t="s">
        <v>263</v>
      </c>
      <c r="E76" s="10" t="s">
        <v>263</v>
      </c>
      <c r="F76" s="32" t="s">
        <v>263</v>
      </c>
      <c r="G76" s="32" t="s">
        <v>263</v>
      </c>
      <c r="H76" s="11"/>
      <c r="I76" s="49"/>
      <c r="J76" s="49"/>
      <c r="K76" s="53">
        <v>40</v>
      </c>
    </row>
    <row r="77" spans="1:11" hidden="1">
      <c r="A77" s="3" t="s">
        <v>98</v>
      </c>
      <c r="B77" s="5">
        <v>1</v>
      </c>
      <c r="C77" s="10" t="s">
        <v>263</v>
      </c>
      <c r="D77" s="10" t="s">
        <v>263</v>
      </c>
      <c r="E77" s="55" t="s">
        <v>263</v>
      </c>
      <c r="F77" s="32" t="s">
        <v>263</v>
      </c>
      <c r="G77" s="32" t="s">
        <v>263</v>
      </c>
      <c r="H77" s="11"/>
      <c r="I77" s="49"/>
      <c r="J77" s="49"/>
      <c r="K77" s="53">
        <v>40</v>
      </c>
    </row>
    <row r="78" spans="1:11" hidden="1">
      <c r="A78" s="3" t="s">
        <v>118</v>
      </c>
      <c r="B78" s="5">
        <v>1</v>
      </c>
      <c r="C78" s="10" t="s">
        <v>263</v>
      </c>
      <c r="D78" s="10" t="s">
        <v>263</v>
      </c>
      <c r="E78" s="10" t="s">
        <v>263</v>
      </c>
      <c r="F78" s="32" t="s">
        <v>263</v>
      </c>
      <c r="G78" s="32" t="s">
        <v>263</v>
      </c>
      <c r="H78" s="11"/>
      <c r="I78" s="49"/>
      <c r="J78" s="49"/>
      <c r="K78" s="53">
        <v>40</v>
      </c>
    </row>
    <row r="79" spans="1:11" hidden="1">
      <c r="A79" s="3" t="s">
        <v>102</v>
      </c>
      <c r="B79" s="5">
        <v>1</v>
      </c>
      <c r="C79" s="10" t="s">
        <v>263</v>
      </c>
      <c r="D79" s="10" t="s">
        <v>263</v>
      </c>
      <c r="E79" s="55" t="s">
        <v>263</v>
      </c>
      <c r="F79" s="32" t="s">
        <v>263</v>
      </c>
      <c r="G79" s="32" t="s">
        <v>263</v>
      </c>
      <c r="H79" s="11"/>
      <c r="I79" s="49"/>
      <c r="J79" s="49"/>
      <c r="K79" s="53">
        <v>40</v>
      </c>
    </row>
    <row r="80" spans="1:11" hidden="1">
      <c r="A80" s="3" t="s">
        <v>104</v>
      </c>
      <c r="B80" s="5">
        <v>1</v>
      </c>
      <c r="C80" s="10" t="s">
        <v>263</v>
      </c>
      <c r="D80" s="10" t="s">
        <v>263</v>
      </c>
      <c r="E80" s="10" t="s">
        <v>263</v>
      </c>
      <c r="F80" s="32" t="s">
        <v>263</v>
      </c>
      <c r="G80" s="32" t="s">
        <v>263</v>
      </c>
      <c r="H80" s="11"/>
      <c r="I80" s="49"/>
      <c r="J80" s="49"/>
      <c r="K80" s="53">
        <v>40</v>
      </c>
    </row>
    <row r="81" spans="1:15" hidden="1">
      <c r="A81" s="1" t="s">
        <v>1</v>
      </c>
      <c r="B81" s="1" t="s">
        <v>255</v>
      </c>
      <c r="C81" s="1" t="s">
        <v>278</v>
      </c>
      <c r="D81" s="1" t="s">
        <v>279</v>
      </c>
      <c r="E81" s="1" t="s">
        <v>280</v>
      </c>
      <c r="F81" s="1" t="s">
        <v>281</v>
      </c>
      <c r="G81" s="1" t="s">
        <v>282</v>
      </c>
      <c r="H81" s="1" t="s">
        <v>283</v>
      </c>
      <c r="I81" s="1" t="s">
        <v>284</v>
      </c>
      <c r="J81" s="1" t="s">
        <v>285</v>
      </c>
      <c r="K81" s="53">
        <v>41</v>
      </c>
    </row>
    <row r="82" spans="1:15" hidden="1">
      <c r="A82" s="128" t="s">
        <v>15</v>
      </c>
      <c r="B82" s="5">
        <v>1</v>
      </c>
      <c r="C82" s="10" t="s">
        <v>263</v>
      </c>
      <c r="D82" s="10" t="s">
        <v>263</v>
      </c>
      <c r="E82" s="10" t="s">
        <v>263</v>
      </c>
      <c r="F82" s="32" t="s">
        <v>263</v>
      </c>
      <c r="G82" s="32" t="s">
        <v>263</v>
      </c>
      <c r="H82" s="11"/>
      <c r="I82" s="49"/>
      <c r="J82" s="126" t="s">
        <v>286</v>
      </c>
      <c r="K82" s="53">
        <v>41</v>
      </c>
    </row>
    <row r="83" spans="1:15" hidden="1">
      <c r="A83" s="128" t="s">
        <v>18</v>
      </c>
      <c r="B83" s="5">
        <v>1</v>
      </c>
      <c r="C83" s="10" t="s">
        <v>263</v>
      </c>
      <c r="D83" s="10" t="s">
        <v>263</v>
      </c>
      <c r="E83" s="10" t="s">
        <v>263</v>
      </c>
      <c r="F83" s="32" t="s">
        <v>263</v>
      </c>
      <c r="G83" s="32" t="s">
        <v>263</v>
      </c>
      <c r="H83" s="11"/>
      <c r="I83" s="49"/>
      <c r="J83" s="126" t="s">
        <v>286</v>
      </c>
      <c r="K83" s="53">
        <v>41</v>
      </c>
    </row>
    <row r="84" spans="1:15" hidden="1">
      <c r="A84" s="129" t="s">
        <v>20</v>
      </c>
      <c r="B84" s="5">
        <v>1</v>
      </c>
      <c r="C84" s="10" t="s">
        <v>263</v>
      </c>
      <c r="D84" s="10" t="s">
        <v>263</v>
      </c>
      <c r="E84" s="10" t="s">
        <v>263</v>
      </c>
      <c r="F84" s="32" t="s">
        <v>263</v>
      </c>
      <c r="G84" s="32" t="s">
        <v>263</v>
      </c>
      <c r="H84" s="11"/>
      <c r="I84" s="49"/>
      <c r="J84" s="126" t="s">
        <v>286</v>
      </c>
      <c r="K84" s="53">
        <v>41</v>
      </c>
    </row>
    <row r="85" spans="1:15" hidden="1">
      <c r="A85" s="129" t="s">
        <v>23</v>
      </c>
      <c r="B85" s="5">
        <v>1</v>
      </c>
      <c r="C85" s="10" t="s">
        <v>263</v>
      </c>
      <c r="D85" s="10" t="s">
        <v>263</v>
      </c>
      <c r="E85" s="10" t="s">
        <v>263</v>
      </c>
      <c r="F85" s="32" t="s">
        <v>263</v>
      </c>
      <c r="G85" s="32" t="s">
        <v>263</v>
      </c>
      <c r="H85" s="11"/>
      <c r="I85" s="49"/>
      <c r="J85" s="126" t="s">
        <v>286</v>
      </c>
      <c r="K85" s="53">
        <v>41</v>
      </c>
    </row>
    <row r="86" spans="1:15" hidden="1">
      <c r="A86" s="129" t="s">
        <v>26</v>
      </c>
      <c r="B86" s="5">
        <v>1</v>
      </c>
      <c r="C86" s="10" t="s">
        <v>263</v>
      </c>
      <c r="D86" s="10" t="s">
        <v>263</v>
      </c>
      <c r="E86" s="10" t="s">
        <v>263</v>
      </c>
      <c r="F86" s="32" t="s">
        <v>263</v>
      </c>
      <c r="G86" s="32" t="s">
        <v>263</v>
      </c>
      <c r="H86" s="11"/>
      <c r="I86" s="49"/>
      <c r="J86" s="126" t="s">
        <v>286</v>
      </c>
      <c r="K86" s="53">
        <v>41</v>
      </c>
    </row>
    <row r="87" spans="1:15" hidden="1">
      <c r="A87" s="129" t="s">
        <v>29</v>
      </c>
      <c r="B87" s="5">
        <v>1</v>
      </c>
      <c r="C87" s="10" t="s">
        <v>263</v>
      </c>
      <c r="D87" s="10" t="s">
        <v>263</v>
      </c>
      <c r="E87" s="10" t="s">
        <v>263</v>
      </c>
      <c r="F87" s="32" t="s">
        <v>263</v>
      </c>
      <c r="G87" s="32" t="s">
        <v>263</v>
      </c>
      <c r="H87" s="11"/>
      <c r="I87" s="49"/>
      <c r="J87" s="126" t="s">
        <v>286</v>
      </c>
      <c r="K87" s="53">
        <v>41</v>
      </c>
    </row>
    <row r="88" spans="1:15" hidden="1">
      <c r="A88" s="129" t="s">
        <v>32</v>
      </c>
      <c r="B88" s="5">
        <v>1</v>
      </c>
      <c r="C88" s="10" t="s">
        <v>263</v>
      </c>
      <c r="D88" s="10" t="s">
        <v>263</v>
      </c>
      <c r="E88" s="10" t="s">
        <v>263</v>
      </c>
      <c r="F88" s="32" t="s">
        <v>263</v>
      </c>
      <c r="G88" s="32" t="s">
        <v>263</v>
      </c>
      <c r="H88" s="11"/>
      <c r="I88" s="49"/>
      <c r="J88" s="126" t="s">
        <v>286</v>
      </c>
      <c r="K88" s="53">
        <v>41</v>
      </c>
      <c r="N88" s="59" t="s">
        <v>264</v>
      </c>
      <c r="O88" s="15" t="s">
        <v>265</v>
      </c>
    </row>
    <row r="89" spans="1:15" hidden="1">
      <c r="A89" s="129" t="s">
        <v>35</v>
      </c>
      <c r="B89" s="5">
        <v>1</v>
      </c>
      <c r="C89" s="10" t="s">
        <v>263</v>
      </c>
      <c r="D89" s="10" t="s">
        <v>263</v>
      </c>
      <c r="E89" s="10" t="s">
        <v>263</v>
      </c>
      <c r="F89" s="32" t="s">
        <v>263</v>
      </c>
      <c r="G89" s="32" t="s">
        <v>263</v>
      </c>
      <c r="H89" s="11"/>
      <c r="I89" s="49"/>
      <c r="J89" s="126" t="s">
        <v>286</v>
      </c>
      <c r="K89" s="53">
        <v>41</v>
      </c>
      <c r="N89" s="60" t="s">
        <v>266</v>
      </c>
      <c r="O89" s="21" t="s">
        <v>267</v>
      </c>
    </row>
    <row r="90" spans="1:15" hidden="1">
      <c r="A90" s="129" t="s">
        <v>39</v>
      </c>
      <c r="B90" s="5">
        <v>1</v>
      </c>
      <c r="C90" s="10" t="s">
        <v>263</v>
      </c>
      <c r="D90" s="10" t="s">
        <v>263</v>
      </c>
      <c r="E90" s="10" t="s">
        <v>263</v>
      </c>
      <c r="F90" s="32" t="s">
        <v>263</v>
      </c>
      <c r="G90" s="32" t="s">
        <v>263</v>
      </c>
      <c r="H90" s="11"/>
      <c r="I90" s="49"/>
      <c r="J90" s="126" t="s">
        <v>286</v>
      </c>
      <c r="K90" s="53">
        <v>41</v>
      </c>
      <c r="N90" s="61" t="s">
        <v>154</v>
      </c>
      <c r="O90" s="22" t="s">
        <v>268</v>
      </c>
    </row>
    <row r="91" spans="1:15" hidden="1">
      <c r="A91" s="129" t="s">
        <v>42</v>
      </c>
      <c r="B91" s="5">
        <v>1</v>
      </c>
      <c r="C91" s="10" t="s">
        <v>263</v>
      </c>
      <c r="D91" s="10" t="s">
        <v>263</v>
      </c>
      <c r="E91" s="10" t="s">
        <v>263</v>
      </c>
      <c r="F91" s="32" t="s">
        <v>263</v>
      </c>
      <c r="G91" s="32" t="s">
        <v>263</v>
      </c>
      <c r="H91" s="11"/>
      <c r="I91" s="49"/>
      <c r="J91" s="126" t="s">
        <v>286</v>
      </c>
      <c r="K91" s="53">
        <v>41</v>
      </c>
    </row>
    <row r="92" spans="1:15" hidden="1">
      <c r="A92" s="129" t="s">
        <v>47</v>
      </c>
      <c r="B92" s="5">
        <v>1</v>
      </c>
      <c r="C92" s="10" t="s">
        <v>263</v>
      </c>
      <c r="D92" s="10" t="s">
        <v>263</v>
      </c>
      <c r="E92" s="10" t="s">
        <v>263</v>
      </c>
      <c r="F92" s="32" t="s">
        <v>263</v>
      </c>
      <c r="G92" s="32" t="s">
        <v>263</v>
      </c>
      <c r="H92" s="11"/>
      <c r="I92" s="49"/>
      <c r="J92" s="126" t="s">
        <v>286</v>
      </c>
      <c r="K92" s="53">
        <v>41</v>
      </c>
    </row>
    <row r="93" spans="1:15" hidden="1">
      <c r="A93" s="129" t="s">
        <v>52</v>
      </c>
      <c r="B93" s="5">
        <v>1</v>
      </c>
      <c r="C93" s="10" t="s">
        <v>263</v>
      </c>
      <c r="D93" s="10" t="s">
        <v>263</v>
      </c>
      <c r="E93" s="10" t="s">
        <v>263</v>
      </c>
      <c r="F93" s="32" t="s">
        <v>263</v>
      </c>
      <c r="G93" s="32" t="s">
        <v>263</v>
      </c>
      <c r="H93" s="11"/>
      <c r="I93" s="49"/>
      <c r="J93" s="126" t="s">
        <v>286</v>
      </c>
      <c r="K93" s="53">
        <v>41</v>
      </c>
    </row>
    <row r="94" spans="1:15" hidden="1">
      <c r="A94" s="129" t="s">
        <v>56</v>
      </c>
      <c r="B94" s="5">
        <v>1</v>
      </c>
      <c r="C94" s="10" t="s">
        <v>263</v>
      </c>
      <c r="D94" s="10" t="s">
        <v>263</v>
      </c>
      <c r="E94" s="10" t="s">
        <v>263</v>
      </c>
      <c r="F94" s="32" t="s">
        <v>263</v>
      </c>
      <c r="G94" s="32" t="s">
        <v>263</v>
      </c>
      <c r="H94" s="11"/>
      <c r="I94" s="49"/>
      <c r="J94" s="126" t="s">
        <v>286</v>
      </c>
      <c r="K94" s="53">
        <v>41</v>
      </c>
    </row>
    <row r="95" spans="1:15" hidden="1">
      <c r="A95" s="129" t="s">
        <v>61</v>
      </c>
      <c r="B95" s="5">
        <v>1</v>
      </c>
      <c r="C95" s="10" t="s">
        <v>263</v>
      </c>
      <c r="D95" s="10" t="s">
        <v>263</v>
      </c>
      <c r="E95" s="10" t="s">
        <v>263</v>
      </c>
      <c r="F95" s="32" t="s">
        <v>263</v>
      </c>
      <c r="G95" s="32" t="s">
        <v>263</v>
      </c>
      <c r="H95" s="11"/>
      <c r="I95" s="49"/>
      <c r="J95" s="126" t="s">
        <v>286</v>
      </c>
      <c r="K95" s="53">
        <v>41</v>
      </c>
    </row>
    <row r="96" spans="1:15" hidden="1">
      <c r="A96" s="129" t="s">
        <v>64</v>
      </c>
      <c r="B96" s="5">
        <v>1</v>
      </c>
      <c r="C96" s="10" t="s">
        <v>263</v>
      </c>
      <c r="D96" s="10" t="s">
        <v>263</v>
      </c>
      <c r="E96" s="10" t="s">
        <v>263</v>
      </c>
      <c r="F96" s="32" t="s">
        <v>263</v>
      </c>
      <c r="G96" s="32" t="s">
        <v>263</v>
      </c>
      <c r="H96" s="11"/>
      <c r="I96" s="49"/>
      <c r="J96" s="126" t="s">
        <v>286</v>
      </c>
      <c r="K96" s="53">
        <v>41</v>
      </c>
    </row>
    <row r="97" spans="1:11" hidden="1">
      <c r="A97" s="129" t="s">
        <v>67</v>
      </c>
      <c r="B97" s="5">
        <v>1</v>
      </c>
      <c r="C97" s="10" t="s">
        <v>263</v>
      </c>
      <c r="D97" s="10" t="s">
        <v>263</v>
      </c>
      <c r="E97" s="10" t="s">
        <v>263</v>
      </c>
      <c r="F97" s="32" t="s">
        <v>263</v>
      </c>
      <c r="G97" s="32" t="s">
        <v>263</v>
      </c>
      <c r="H97" s="11"/>
      <c r="I97" s="49"/>
      <c r="J97" s="126" t="s">
        <v>286</v>
      </c>
      <c r="K97" s="53">
        <v>41</v>
      </c>
    </row>
    <row r="98" spans="1:11" hidden="1">
      <c r="A98" s="129" t="s">
        <v>70</v>
      </c>
      <c r="B98" s="5">
        <v>1</v>
      </c>
      <c r="C98" s="10" t="s">
        <v>263</v>
      </c>
      <c r="D98" s="10" t="s">
        <v>263</v>
      </c>
      <c r="E98" s="10" t="s">
        <v>263</v>
      </c>
      <c r="F98" s="32" t="s">
        <v>263</v>
      </c>
      <c r="G98" s="32" t="s">
        <v>263</v>
      </c>
      <c r="H98" s="11"/>
      <c r="I98" s="49"/>
      <c r="J98" s="126" t="s">
        <v>286</v>
      </c>
      <c r="K98" s="53">
        <v>41</v>
      </c>
    </row>
    <row r="99" spans="1:11" hidden="1">
      <c r="A99" s="129" t="s">
        <v>72</v>
      </c>
      <c r="B99" s="5">
        <v>1</v>
      </c>
      <c r="C99" s="10" t="s">
        <v>263</v>
      </c>
      <c r="D99" s="10" t="s">
        <v>263</v>
      </c>
      <c r="E99" s="10" t="s">
        <v>263</v>
      </c>
      <c r="F99" s="32" t="s">
        <v>263</v>
      </c>
      <c r="G99" s="32" t="s">
        <v>263</v>
      </c>
      <c r="H99" s="11"/>
      <c r="I99" s="49"/>
      <c r="J99" s="126" t="s">
        <v>286</v>
      </c>
      <c r="K99" s="53">
        <v>41</v>
      </c>
    </row>
    <row r="100" spans="1:11" hidden="1">
      <c r="A100" s="129" t="s">
        <v>75</v>
      </c>
      <c r="B100" s="5">
        <v>1</v>
      </c>
      <c r="C100" s="10" t="s">
        <v>263</v>
      </c>
      <c r="D100" s="10" t="s">
        <v>263</v>
      </c>
      <c r="E100" s="10" t="s">
        <v>263</v>
      </c>
      <c r="F100" s="32" t="s">
        <v>263</v>
      </c>
      <c r="G100" s="32" t="s">
        <v>263</v>
      </c>
      <c r="H100" s="11"/>
      <c r="I100" s="49"/>
      <c r="J100" s="126" t="s">
        <v>286</v>
      </c>
      <c r="K100" s="53">
        <v>41</v>
      </c>
    </row>
    <row r="101" spans="1:11" hidden="1">
      <c r="A101" s="129" t="s">
        <v>78</v>
      </c>
      <c r="B101" s="5">
        <v>1</v>
      </c>
      <c r="C101" s="10" t="s">
        <v>263</v>
      </c>
      <c r="D101" s="10" t="s">
        <v>263</v>
      </c>
      <c r="E101" s="10" t="s">
        <v>263</v>
      </c>
      <c r="F101" s="32" t="s">
        <v>263</v>
      </c>
      <c r="G101" s="32" t="s">
        <v>263</v>
      </c>
      <c r="H101" s="11"/>
      <c r="I101" s="49"/>
      <c r="J101" s="126" t="s">
        <v>286</v>
      </c>
      <c r="K101" s="53">
        <v>41</v>
      </c>
    </row>
    <row r="102" spans="1:11" hidden="1">
      <c r="A102" s="129" t="s">
        <v>80</v>
      </c>
      <c r="B102" s="5">
        <v>1</v>
      </c>
      <c r="C102" s="10" t="s">
        <v>263</v>
      </c>
      <c r="D102" s="10" t="s">
        <v>263</v>
      </c>
      <c r="E102" s="10" t="s">
        <v>263</v>
      </c>
      <c r="F102" s="32" t="s">
        <v>263</v>
      </c>
      <c r="G102" s="32" t="s">
        <v>263</v>
      </c>
      <c r="H102" s="11"/>
      <c r="I102" s="49"/>
      <c r="J102" s="126" t="s">
        <v>286</v>
      </c>
      <c r="K102" s="53">
        <v>41</v>
      </c>
    </row>
    <row r="103" spans="1:11" hidden="1">
      <c r="A103" s="129" t="s">
        <v>82</v>
      </c>
      <c r="B103" s="5">
        <v>1</v>
      </c>
      <c r="C103" s="10" t="s">
        <v>263</v>
      </c>
      <c r="D103" s="10" t="s">
        <v>263</v>
      </c>
      <c r="E103" s="10" t="s">
        <v>263</v>
      </c>
      <c r="F103" s="32" t="s">
        <v>263</v>
      </c>
      <c r="G103" s="32" t="s">
        <v>263</v>
      </c>
      <c r="H103" s="11"/>
      <c r="I103" s="49"/>
      <c r="J103" s="126" t="s">
        <v>286</v>
      </c>
      <c r="K103" s="53">
        <v>41</v>
      </c>
    </row>
    <row r="104" spans="1:11" hidden="1">
      <c r="A104" s="129" t="s">
        <v>84</v>
      </c>
      <c r="B104" s="5">
        <v>1</v>
      </c>
      <c r="C104" s="10" t="s">
        <v>263</v>
      </c>
      <c r="D104" s="10" t="s">
        <v>263</v>
      </c>
      <c r="E104" s="10" t="s">
        <v>263</v>
      </c>
      <c r="F104" s="32" t="s">
        <v>263</v>
      </c>
      <c r="G104" s="32" t="s">
        <v>263</v>
      </c>
      <c r="H104" s="11"/>
      <c r="I104" s="49"/>
      <c r="J104" s="126" t="s">
        <v>286</v>
      </c>
      <c r="K104" s="53">
        <v>41</v>
      </c>
    </row>
    <row r="105" spans="1:11" hidden="1">
      <c r="A105" s="129" t="s">
        <v>86</v>
      </c>
      <c r="B105" s="5">
        <v>1</v>
      </c>
      <c r="C105" s="10" t="s">
        <v>263</v>
      </c>
      <c r="D105" s="10" t="s">
        <v>263</v>
      </c>
      <c r="E105" s="10" t="s">
        <v>263</v>
      </c>
      <c r="F105" s="32" t="s">
        <v>263</v>
      </c>
      <c r="G105" s="32" t="s">
        <v>263</v>
      </c>
      <c r="H105" s="11"/>
      <c r="I105" s="49"/>
      <c r="J105" s="126" t="s">
        <v>286</v>
      </c>
      <c r="K105" s="53">
        <v>41</v>
      </c>
    </row>
    <row r="106" spans="1:11" hidden="1">
      <c r="A106" s="129" t="s">
        <v>88</v>
      </c>
      <c r="B106" s="5">
        <v>1</v>
      </c>
      <c r="C106" s="10" t="s">
        <v>263</v>
      </c>
      <c r="D106" s="10" t="s">
        <v>263</v>
      </c>
      <c r="E106" s="10" t="s">
        <v>263</v>
      </c>
      <c r="F106" s="32" t="s">
        <v>263</v>
      </c>
      <c r="G106" s="32" t="s">
        <v>263</v>
      </c>
      <c r="H106" s="11"/>
      <c r="I106" s="49"/>
      <c r="J106" s="126" t="s">
        <v>286</v>
      </c>
      <c r="K106" s="53">
        <v>41</v>
      </c>
    </row>
    <row r="107" spans="1:11" hidden="1">
      <c r="A107" s="129" t="s">
        <v>90</v>
      </c>
      <c r="B107" s="5">
        <v>1</v>
      </c>
      <c r="C107" s="10" t="s">
        <v>263</v>
      </c>
      <c r="D107" s="10" t="s">
        <v>263</v>
      </c>
      <c r="E107" s="10" t="s">
        <v>263</v>
      </c>
      <c r="F107" s="32" t="s">
        <v>263</v>
      </c>
      <c r="G107" s="32" t="s">
        <v>263</v>
      </c>
      <c r="H107" s="11"/>
      <c r="I107" s="49"/>
      <c r="J107" s="126" t="s">
        <v>286</v>
      </c>
      <c r="K107" s="53">
        <v>41</v>
      </c>
    </row>
    <row r="108" spans="1:11" hidden="1">
      <c r="A108" s="130" t="s">
        <v>8</v>
      </c>
      <c r="B108" s="5">
        <v>1</v>
      </c>
      <c r="C108" s="10" t="s">
        <v>263</v>
      </c>
      <c r="D108" s="10" t="s">
        <v>263</v>
      </c>
      <c r="E108" s="10" t="s">
        <v>263</v>
      </c>
      <c r="F108" s="32" t="s">
        <v>263</v>
      </c>
      <c r="G108" s="32" t="s">
        <v>263</v>
      </c>
      <c r="H108" s="11"/>
      <c r="I108" s="49"/>
      <c r="J108" s="127" t="s">
        <v>287</v>
      </c>
      <c r="K108" s="53">
        <v>41</v>
      </c>
    </row>
    <row r="109" spans="1:11" hidden="1">
      <c r="A109" s="47" t="s">
        <v>92</v>
      </c>
      <c r="B109" s="5">
        <v>2</v>
      </c>
      <c r="C109" s="10" t="s">
        <v>263</v>
      </c>
      <c r="D109" s="10" t="s">
        <v>263</v>
      </c>
      <c r="E109" s="10" t="s">
        <v>263</v>
      </c>
      <c r="F109" s="32" t="s">
        <v>263</v>
      </c>
      <c r="G109" s="32" t="s">
        <v>263</v>
      </c>
      <c r="H109" s="11"/>
      <c r="I109" s="49"/>
      <c r="J109" s="127" t="s">
        <v>287</v>
      </c>
      <c r="K109" s="53">
        <v>41</v>
      </c>
    </row>
    <row r="110" spans="1:11" hidden="1">
      <c r="A110" s="47" t="s">
        <v>94</v>
      </c>
      <c r="B110" s="5">
        <v>2</v>
      </c>
      <c r="C110" s="10" t="s">
        <v>263</v>
      </c>
      <c r="D110" s="10" t="s">
        <v>263</v>
      </c>
      <c r="E110" s="10" t="s">
        <v>263</v>
      </c>
      <c r="F110" s="32" t="s">
        <v>263</v>
      </c>
      <c r="G110" s="32" t="s">
        <v>263</v>
      </c>
      <c r="H110" s="11"/>
      <c r="I110" s="49"/>
      <c r="J110" s="127" t="s">
        <v>287</v>
      </c>
      <c r="K110" s="53">
        <v>41</v>
      </c>
    </row>
    <row r="111" spans="1:11" hidden="1">
      <c r="A111" s="47" t="s">
        <v>96</v>
      </c>
      <c r="B111" s="5">
        <v>2</v>
      </c>
      <c r="C111" s="10" t="s">
        <v>263</v>
      </c>
      <c r="D111" s="10" t="s">
        <v>263</v>
      </c>
      <c r="E111" s="10" t="s">
        <v>263</v>
      </c>
      <c r="F111" s="32" t="s">
        <v>263</v>
      </c>
      <c r="G111" s="32" t="s">
        <v>263</v>
      </c>
      <c r="H111" s="11"/>
      <c r="I111" s="49"/>
      <c r="J111" s="127" t="s">
        <v>287</v>
      </c>
      <c r="K111" s="53">
        <v>41</v>
      </c>
    </row>
    <row r="112" spans="1:11" hidden="1">
      <c r="A112" s="47" t="s">
        <v>98</v>
      </c>
      <c r="B112" s="5">
        <v>2</v>
      </c>
      <c r="C112" s="10" t="s">
        <v>263</v>
      </c>
      <c r="D112" s="10" t="s">
        <v>263</v>
      </c>
      <c r="E112" s="10" t="s">
        <v>263</v>
      </c>
      <c r="F112" s="32" t="s">
        <v>263</v>
      </c>
      <c r="G112" s="32" t="s">
        <v>263</v>
      </c>
      <c r="H112" s="11"/>
      <c r="I112" s="49"/>
      <c r="J112" s="127" t="s">
        <v>287</v>
      </c>
      <c r="K112" s="53">
        <v>41</v>
      </c>
    </row>
    <row r="113" spans="1:11" hidden="1">
      <c r="A113" s="47" t="s">
        <v>118</v>
      </c>
      <c r="B113" s="5">
        <v>2</v>
      </c>
      <c r="C113" s="10" t="s">
        <v>263</v>
      </c>
      <c r="D113" s="10" t="s">
        <v>263</v>
      </c>
      <c r="E113" s="10" t="s">
        <v>263</v>
      </c>
      <c r="F113" s="32" t="s">
        <v>263</v>
      </c>
      <c r="G113" s="32" t="s">
        <v>263</v>
      </c>
      <c r="H113" s="11"/>
      <c r="I113" s="49"/>
      <c r="J113" s="127" t="s">
        <v>287</v>
      </c>
      <c r="K113" s="53">
        <v>41</v>
      </c>
    </row>
    <row r="114" spans="1:11" hidden="1">
      <c r="A114" s="47" t="s">
        <v>102</v>
      </c>
      <c r="B114" s="5">
        <v>2</v>
      </c>
      <c r="C114" s="10" t="s">
        <v>263</v>
      </c>
      <c r="D114" s="10" t="s">
        <v>263</v>
      </c>
      <c r="E114" s="10" t="s">
        <v>263</v>
      </c>
      <c r="F114" s="32" t="s">
        <v>263</v>
      </c>
      <c r="G114" s="32" t="s">
        <v>263</v>
      </c>
      <c r="H114" s="11"/>
      <c r="I114" s="49"/>
      <c r="J114" s="127" t="s">
        <v>287</v>
      </c>
      <c r="K114" s="53">
        <v>41</v>
      </c>
    </row>
    <row r="115" spans="1:11" hidden="1">
      <c r="A115" s="47" t="s">
        <v>104</v>
      </c>
      <c r="B115" s="5">
        <v>2</v>
      </c>
      <c r="C115" s="10" t="s">
        <v>263</v>
      </c>
      <c r="D115" s="10" t="s">
        <v>263</v>
      </c>
      <c r="E115" s="10" t="s">
        <v>263</v>
      </c>
      <c r="F115" s="32" t="s">
        <v>263</v>
      </c>
      <c r="G115" s="32" t="s">
        <v>263</v>
      </c>
      <c r="H115" s="11"/>
      <c r="I115" s="49"/>
      <c r="J115" s="127" t="s">
        <v>287</v>
      </c>
      <c r="K115" s="53">
        <v>41</v>
      </c>
    </row>
    <row r="116" spans="1:11" hidden="1">
      <c r="A116" s="47" t="s">
        <v>106</v>
      </c>
      <c r="B116" s="5"/>
      <c r="C116" s="10" t="s">
        <v>263</v>
      </c>
      <c r="D116" s="10" t="s">
        <v>263</v>
      </c>
      <c r="E116" s="10" t="s">
        <v>263</v>
      </c>
      <c r="F116" s="32" t="s">
        <v>263</v>
      </c>
      <c r="G116" s="32" t="s">
        <v>263</v>
      </c>
      <c r="H116" s="11"/>
      <c r="I116" s="49"/>
      <c r="J116" s="127" t="s">
        <v>287</v>
      </c>
      <c r="K116" s="53">
        <v>41</v>
      </c>
    </row>
    <row r="117" spans="1:11" hidden="1">
      <c r="A117" s="47" t="s">
        <v>164</v>
      </c>
      <c r="B117" s="5">
        <v>2</v>
      </c>
      <c r="C117" s="10" t="s">
        <v>263</v>
      </c>
      <c r="D117" s="10" t="s">
        <v>263</v>
      </c>
      <c r="E117" s="10" t="s">
        <v>263</v>
      </c>
      <c r="F117" s="32" t="s">
        <v>263</v>
      </c>
      <c r="G117" s="32" t="s">
        <v>263</v>
      </c>
      <c r="H117" s="11"/>
      <c r="I117" s="49"/>
      <c r="J117" s="127" t="s">
        <v>287</v>
      </c>
      <c r="K117" s="53">
        <v>41</v>
      </c>
    </row>
    <row r="118" spans="1:11" hidden="1">
      <c r="A118" s="47" t="s">
        <v>112</v>
      </c>
      <c r="B118" s="5">
        <v>2</v>
      </c>
      <c r="C118" s="10" t="s">
        <v>263</v>
      </c>
      <c r="D118" s="10" t="s">
        <v>263</v>
      </c>
      <c r="E118" s="10" t="s">
        <v>263</v>
      </c>
      <c r="F118" s="32" t="s">
        <v>263</v>
      </c>
      <c r="G118" s="32" t="s">
        <v>263</v>
      </c>
      <c r="H118" s="11"/>
      <c r="I118" s="49"/>
      <c r="J118" s="127" t="s">
        <v>287</v>
      </c>
      <c r="K118" s="53">
        <v>41</v>
      </c>
    </row>
    <row r="119" spans="1:11" hidden="1">
      <c r="A119" s="47" t="s">
        <v>114</v>
      </c>
      <c r="B119" s="5">
        <v>2</v>
      </c>
      <c r="C119" s="10" t="s">
        <v>263</v>
      </c>
      <c r="D119" s="10" t="s">
        <v>263</v>
      </c>
      <c r="E119" s="10" t="s">
        <v>263</v>
      </c>
      <c r="F119" s="32" t="s">
        <v>263</v>
      </c>
      <c r="G119" s="32" t="s">
        <v>263</v>
      </c>
      <c r="H119" s="11"/>
      <c r="I119" s="49"/>
      <c r="J119" s="127" t="s">
        <v>287</v>
      </c>
      <c r="K119" s="53">
        <v>41</v>
      </c>
    </row>
    <row r="120" spans="1:11" ht="15" customHeight="1">
      <c r="A120" s="1" t="s">
        <v>1</v>
      </c>
      <c r="B120" s="1" t="s">
        <v>255</v>
      </c>
      <c r="C120" s="1" t="s">
        <v>288</v>
      </c>
      <c r="D120" s="1" t="s">
        <v>289</v>
      </c>
      <c r="E120" s="1" t="s">
        <v>290</v>
      </c>
      <c r="F120" s="1" t="s">
        <v>291</v>
      </c>
      <c r="G120" s="1" t="s">
        <v>292</v>
      </c>
      <c r="H120" s="1" t="s">
        <v>293</v>
      </c>
      <c r="I120" s="1" t="s">
        <v>294</v>
      </c>
      <c r="J120" s="1" t="s">
        <v>285</v>
      </c>
      <c r="K120" s="53">
        <v>42</v>
      </c>
    </row>
    <row r="121" spans="1:11" ht="15" customHeight="1">
      <c r="A121" s="128" t="s">
        <v>8</v>
      </c>
      <c r="B121" s="5">
        <v>1</v>
      </c>
      <c r="C121" s="171" t="s">
        <v>263</v>
      </c>
      <c r="D121" s="171" t="s">
        <v>263</v>
      </c>
      <c r="E121" s="171" t="s">
        <v>263</v>
      </c>
      <c r="F121" s="172" t="s">
        <v>263</v>
      </c>
      <c r="G121" s="172" t="s">
        <v>263</v>
      </c>
      <c r="H121" s="173"/>
      <c r="I121" s="174"/>
      <c r="J121" s="126" t="s">
        <v>286</v>
      </c>
      <c r="K121" s="53">
        <v>42</v>
      </c>
    </row>
    <row r="122" spans="1:11" ht="15" customHeight="1">
      <c r="A122" s="128" t="s">
        <v>18</v>
      </c>
      <c r="B122" s="5">
        <v>1</v>
      </c>
      <c r="C122" s="171" t="s">
        <v>263</v>
      </c>
      <c r="D122" s="171" t="s">
        <v>263</v>
      </c>
      <c r="E122" s="171" t="s">
        <v>263</v>
      </c>
      <c r="F122" s="172" t="s">
        <v>263</v>
      </c>
      <c r="G122" s="172" t="s">
        <v>263</v>
      </c>
      <c r="H122" s="173"/>
      <c r="I122" s="174"/>
      <c r="J122" s="126" t="s">
        <v>286</v>
      </c>
      <c r="K122" s="53">
        <v>42</v>
      </c>
    </row>
    <row r="123" spans="1:11" ht="15" customHeight="1">
      <c r="A123" s="129" t="s">
        <v>20</v>
      </c>
      <c r="B123" s="5">
        <v>1</v>
      </c>
      <c r="C123" s="171" t="s">
        <v>263</v>
      </c>
      <c r="D123" s="171" t="s">
        <v>263</v>
      </c>
      <c r="E123" s="171" t="s">
        <v>263</v>
      </c>
      <c r="F123" s="172" t="s">
        <v>263</v>
      </c>
      <c r="G123" s="172" t="s">
        <v>263</v>
      </c>
      <c r="H123" s="173"/>
      <c r="I123" s="174"/>
      <c r="J123" s="126" t="s">
        <v>286</v>
      </c>
      <c r="K123" s="53">
        <v>42</v>
      </c>
    </row>
    <row r="124" spans="1:11" ht="15" customHeight="1">
      <c r="A124" s="129" t="s">
        <v>23</v>
      </c>
      <c r="B124" s="5">
        <v>1</v>
      </c>
      <c r="C124" s="171" t="s">
        <v>263</v>
      </c>
      <c r="D124" s="171" t="s">
        <v>263</v>
      </c>
      <c r="E124" s="171" t="s">
        <v>263</v>
      </c>
      <c r="F124" s="172" t="s">
        <v>263</v>
      </c>
      <c r="G124" s="172" t="s">
        <v>263</v>
      </c>
      <c r="H124" s="173"/>
      <c r="I124" s="174"/>
      <c r="J124" s="126" t="s">
        <v>286</v>
      </c>
      <c r="K124" s="53">
        <v>42</v>
      </c>
    </row>
    <row r="125" spans="1:11" ht="15" customHeight="1">
      <c r="A125" s="129" t="s">
        <v>26</v>
      </c>
      <c r="B125" s="5">
        <v>1</v>
      </c>
      <c r="C125" s="171" t="s">
        <v>263</v>
      </c>
      <c r="D125" s="171" t="s">
        <v>263</v>
      </c>
      <c r="E125" s="171" t="s">
        <v>263</v>
      </c>
      <c r="F125" s="172" t="s">
        <v>263</v>
      </c>
      <c r="G125" s="172" t="s">
        <v>263</v>
      </c>
      <c r="H125" s="173"/>
      <c r="I125" s="174"/>
      <c r="J125" s="126" t="s">
        <v>286</v>
      </c>
      <c r="K125" s="53">
        <v>42</v>
      </c>
    </row>
    <row r="126" spans="1:11" ht="15" customHeight="1">
      <c r="A126" s="129" t="s">
        <v>29</v>
      </c>
      <c r="B126" s="5">
        <v>1</v>
      </c>
      <c r="C126" s="171" t="s">
        <v>263</v>
      </c>
      <c r="D126" s="171" t="s">
        <v>263</v>
      </c>
      <c r="E126" s="171" t="s">
        <v>263</v>
      </c>
      <c r="F126" s="172" t="s">
        <v>263</v>
      </c>
      <c r="G126" s="172" t="s">
        <v>263</v>
      </c>
      <c r="H126" s="173"/>
      <c r="I126" s="174"/>
      <c r="J126" s="126" t="s">
        <v>286</v>
      </c>
      <c r="K126" s="53">
        <v>42</v>
      </c>
    </row>
    <row r="127" spans="1:11" ht="15" customHeight="1">
      <c r="A127" s="129" t="s">
        <v>32</v>
      </c>
      <c r="B127" s="5">
        <v>1</v>
      </c>
      <c r="C127" s="171" t="s">
        <v>263</v>
      </c>
      <c r="D127" s="171" t="s">
        <v>263</v>
      </c>
      <c r="E127" s="171" t="s">
        <v>263</v>
      </c>
      <c r="F127" s="172" t="s">
        <v>263</v>
      </c>
      <c r="G127" s="172" t="s">
        <v>263</v>
      </c>
      <c r="H127" s="173"/>
      <c r="I127" s="174"/>
      <c r="J127" s="126" t="s">
        <v>286</v>
      </c>
      <c r="K127" s="53">
        <v>42</v>
      </c>
    </row>
    <row r="128" spans="1:11" ht="15" customHeight="1">
      <c r="A128" s="129" t="s">
        <v>35</v>
      </c>
      <c r="B128" s="5">
        <v>1</v>
      </c>
      <c r="C128" s="171" t="s">
        <v>263</v>
      </c>
      <c r="D128" s="171" t="s">
        <v>263</v>
      </c>
      <c r="E128" s="171" t="s">
        <v>263</v>
      </c>
      <c r="F128" s="172" t="s">
        <v>263</v>
      </c>
      <c r="G128" s="172" t="s">
        <v>263</v>
      </c>
      <c r="H128" s="173"/>
      <c r="I128" s="174"/>
      <c r="J128" s="126" t="s">
        <v>286</v>
      </c>
      <c r="K128" s="53">
        <v>42</v>
      </c>
    </row>
    <row r="129" spans="1:11" ht="15" customHeight="1">
      <c r="A129" s="129" t="s">
        <v>39</v>
      </c>
      <c r="B129" s="5">
        <v>1</v>
      </c>
      <c r="C129" s="171" t="s">
        <v>263</v>
      </c>
      <c r="D129" s="171" t="s">
        <v>263</v>
      </c>
      <c r="E129" s="171" t="s">
        <v>263</v>
      </c>
      <c r="F129" s="172" t="s">
        <v>263</v>
      </c>
      <c r="G129" s="172" t="s">
        <v>263</v>
      </c>
      <c r="H129" s="173"/>
      <c r="I129" s="174"/>
      <c r="J129" s="126" t="s">
        <v>286</v>
      </c>
      <c r="K129" s="53">
        <v>42</v>
      </c>
    </row>
    <row r="130" spans="1:11" ht="15" customHeight="1">
      <c r="A130" s="129" t="s">
        <v>42</v>
      </c>
      <c r="B130" s="5">
        <v>1</v>
      </c>
      <c r="C130" s="171" t="s">
        <v>263</v>
      </c>
      <c r="D130" s="171" t="s">
        <v>263</v>
      </c>
      <c r="E130" s="171" t="s">
        <v>263</v>
      </c>
      <c r="F130" s="172" t="s">
        <v>263</v>
      </c>
      <c r="G130" s="172" t="s">
        <v>263</v>
      </c>
      <c r="H130" s="173"/>
      <c r="I130" s="174"/>
      <c r="J130" s="126" t="s">
        <v>286</v>
      </c>
      <c r="K130" s="53">
        <v>42</v>
      </c>
    </row>
    <row r="131" spans="1:11" ht="15" customHeight="1">
      <c r="A131" s="129" t="s">
        <v>47</v>
      </c>
      <c r="B131" s="5">
        <v>1</v>
      </c>
      <c r="C131" s="171" t="s">
        <v>263</v>
      </c>
      <c r="D131" s="171" t="s">
        <v>263</v>
      </c>
      <c r="E131" s="171" t="s">
        <v>263</v>
      </c>
      <c r="F131" s="172" t="s">
        <v>263</v>
      </c>
      <c r="G131" s="172" t="s">
        <v>263</v>
      </c>
      <c r="H131" s="173"/>
      <c r="I131" s="174"/>
      <c r="J131" s="126" t="s">
        <v>286</v>
      </c>
      <c r="K131" s="53">
        <v>42</v>
      </c>
    </row>
    <row r="132" spans="1:11" ht="15" customHeight="1">
      <c r="A132" s="129" t="s">
        <v>52</v>
      </c>
      <c r="B132" s="5">
        <v>1</v>
      </c>
      <c r="C132" s="171" t="s">
        <v>263</v>
      </c>
      <c r="D132" s="171" t="s">
        <v>263</v>
      </c>
      <c r="E132" s="171" t="s">
        <v>263</v>
      </c>
      <c r="F132" s="172" t="s">
        <v>263</v>
      </c>
      <c r="G132" s="172" t="s">
        <v>263</v>
      </c>
      <c r="H132" s="173"/>
      <c r="I132" s="174"/>
      <c r="J132" s="126" t="s">
        <v>286</v>
      </c>
      <c r="K132" s="53">
        <v>42</v>
      </c>
    </row>
    <row r="133" spans="1:11" ht="15" customHeight="1">
      <c r="A133" s="129" t="s">
        <v>56</v>
      </c>
      <c r="B133" s="5">
        <v>1</v>
      </c>
      <c r="C133" s="171" t="s">
        <v>263</v>
      </c>
      <c r="D133" s="171" t="s">
        <v>263</v>
      </c>
      <c r="E133" s="171" t="s">
        <v>263</v>
      </c>
      <c r="F133" s="172" t="s">
        <v>263</v>
      </c>
      <c r="G133" s="172" t="s">
        <v>263</v>
      </c>
      <c r="H133" s="173"/>
      <c r="I133" s="174"/>
      <c r="J133" s="126" t="s">
        <v>286</v>
      </c>
      <c r="K133" s="53">
        <v>42</v>
      </c>
    </row>
    <row r="134" spans="1:11" ht="15" customHeight="1">
      <c r="A134" s="129" t="s">
        <v>61</v>
      </c>
      <c r="B134" s="5">
        <v>1</v>
      </c>
      <c r="C134" s="171" t="s">
        <v>263</v>
      </c>
      <c r="D134" s="171" t="s">
        <v>263</v>
      </c>
      <c r="E134" s="171" t="s">
        <v>263</v>
      </c>
      <c r="F134" s="172" t="s">
        <v>263</v>
      </c>
      <c r="G134" s="172" t="s">
        <v>263</v>
      </c>
      <c r="H134" s="173"/>
      <c r="I134" s="174"/>
      <c r="J134" s="126" t="s">
        <v>286</v>
      </c>
      <c r="K134" s="53">
        <v>42</v>
      </c>
    </row>
    <row r="135" spans="1:11" ht="15" customHeight="1">
      <c r="A135" s="129" t="s">
        <v>64</v>
      </c>
      <c r="B135" s="5">
        <v>1</v>
      </c>
      <c r="C135" s="171" t="s">
        <v>263</v>
      </c>
      <c r="D135" s="171" t="s">
        <v>263</v>
      </c>
      <c r="E135" s="171" t="s">
        <v>263</v>
      </c>
      <c r="F135" s="172" t="s">
        <v>263</v>
      </c>
      <c r="G135" s="172" t="s">
        <v>263</v>
      </c>
      <c r="H135" s="173"/>
      <c r="I135" s="174"/>
      <c r="J135" s="126" t="s">
        <v>286</v>
      </c>
      <c r="K135" s="53">
        <v>42</v>
      </c>
    </row>
    <row r="136" spans="1:11" ht="15" customHeight="1">
      <c r="A136" s="129" t="s">
        <v>67</v>
      </c>
      <c r="B136" s="5">
        <v>1</v>
      </c>
      <c r="C136" s="171" t="s">
        <v>263</v>
      </c>
      <c r="D136" s="171" t="s">
        <v>263</v>
      </c>
      <c r="E136" s="171" t="s">
        <v>263</v>
      </c>
      <c r="F136" s="172" t="s">
        <v>263</v>
      </c>
      <c r="G136" s="172" t="s">
        <v>263</v>
      </c>
      <c r="H136" s="173"/>
      <c r="I136" s="174"/>
      <c r="J136" s="126" t="s">
        <v>286</v>
      </c>
      <c r="K136" s="53">
        <v>42</v>
      </c>
    </row>
    <row r="137" spans="1:11" ht="15" customHeight="1">
      <c r="A137" s="129" t="s">
        <v>70</v>
      </c>
      <c r="B137" s="5">
        <v>1</v>
      </c>
      <c r="C137" s="171" t="s">
        <v>263</v>
      </c>
      <c r="D137" s="171" t="s">
        <v>263</v>
      </c>
      <c r="E137" s="171" t="s">
        <v>263</v>
      </c>
      <c r="F137" s="172" t="s">
        <v>263</v>
      </c>
      <c r="G137" s="172" t="s">
        <v>263</v>
      </c>
      <c r="H137" s="173"/>
      <c r="I137" s="174"/>
      <c r="J137" s="126" t="s">
        <v>286</v>
      </c>
      <c r="K137" s="53">
        <v>42</v>
      </c>
    </row>
    <row r="138" spans="1:11" ht="15" customHeight="1">
      <c r="A138" s="129" t="s">
        <v>72</v>
      </c>
      <c r="B138" s="5">
        <v>1</v>
      </c>
      <c r="C138" s="171" t="s">
        <v>263</v>
      </c>
      <c r="D138" s="171" t="s">
        <v>263</v>
      </c>
      <c r="E138" s="171" t="s">
        <v>263</v>
      </c>
      <c r="F138" s="172" t="s">
        <v>263</v>
      </c>
      <c r="G138" s="172" t="s">
        <v>263</v>
      </c>
      <c r="H138" s="173"/>
      <c r="I138" s="174"/>
      <c r="J138" s="126" t="s">
        <v>286</v>
      </c>
      <c r="K138" s="53">
        <v>42</v>
      </c>
    </row>
    <row r="139" spans="1:11" ht="15" customHeight="1">
      <c r="A139" s="129" t="s">
        <v>75</v>
      </c>
      <c r="B139" s="5">
        <v>1</v>
      </c>
      <c r="C139" s="171" t="s">
        <v>263</v>
      </c>
      <c r="D139" s="171" t="s">
        <v>263</v>
      </c>
      <c r="E139" s="171" t="s">
        <v>263</v>
      </c>
      <c r="F139" s="172" t="s">
        <v>263</v>
      </c>
      <c r="G139" s="172" t="s">
        <v>263</v>
      </c>
      <c r="H139" s="173"/>
      <c r="I139" s="174"/>
      <c r="J139" s="126" t="s">
        <v>286</v>
      </c>
      <c r="K139" s="53">
        <v>42</v>
      </c>
    </row>
    <row r="140" spans="1:11" ht="15" customHeight="1">
      <c r="A140" s="129" t="s">
        <v>78</v>
      </c>
      <c r="B140" s="5">
        <v>1</v>
      </c>
      <c r="C140" s="171" t="s">
        <v>263</v>
      </c>
      <c r="D140" s="171" t="s">
        <v>263</v>
      </c>
      <c r="E140" s="171" t="s">
        <v>263</v>
      </c>
      <c r="F140" s="172" t="s">
        <v>263</v>
      </c>
      <c r="G140" s="172" t="s">
        <v>263</v>
      </c>
      <c r="H140" s="173"/>
      <c r="I140" s="174"/>
      <c r="J140" s="126" t="s">
        <v>286</v>
      </c>
      <c r="K140" s="53">
        <v>42</v>
      </c>
    </row>
    <row r="141" spans="1:11" ht="15" customHeight="1">
      <c r="A141" s="129" t="s">
        <v>80</v>
      </c>
      <c r="B141" s="5">
        <v>1</v>
      </c>
      <c r="C141" s="171" t="s">
        <v>263</v>
      </c>
      <c r="D141" s="171" t="s">
        <v>263</v>
      </c>
      <c r="E141" s="171" t="s">
        <v>263</v>
      </c>
      <c r="F141" s="172" t="s">
        <v>263</v>
      </c>
      <c r="G141" s="172" t="s">
        <v>263</v>
      </c>
      <c r="H141" s="173"/>
      <c r="I141" s="174"/>
      <c r="J141" s="126" t="s">
        <v>286</v>
      </c>
      <c r="K141" s="53">
        <v>42</v>
      </c>
    </row>
    <row r="142" spans="1:11" ht="15" customHeight="1">
      <c r="A142" s="129" t="s">
        <v>82</v>
      </c>
      <c r="B142" s="5">
        <v>1</v>
      </c>
      <c r="C142" s="171" t="s">
        <v>263</v>
      </c>
      <c r="D142" s="171" t="s">
        <v>263</v>
      </c>
      <c r="E142" s="171" t="s">
        <v>263</v>
      </c>
      <c r="F142" s="172" t="s">
        <v>263</v>
      </c>
      <c r="G142" s="172" t="s">
        <v>263</v>
      </c>
      <c r="H142" s="173"/>
      <c r="I142" s="174"/>
      <c r="J142" s="126" t="s">
        <v>286</v>
      </c>
      <c r="K142" s="53">
        <v>42</v>
      </c>
    </row>
    <row r="143" spans="1:11" ht="15" customHeight="1">
      <c r="A143" s="129" t="s">
        <v>84</v>
      </c>
      <c r="B143" s="5">
        <v>1</v>
      </c>
      <c r="C143" s="171" t="s">
        <v>263</v>
      </c>
      <c r="D143" s="171" t="s">
        <v>263</v>
      </c>
      <c r="E143" s="171" t="s">
        <v>263</v>
      </c>
      <c r="F143" s="172" t="s">
        <v>263</v>
      </c>
      <c r="G143" s="172" t="s">
        <v>263</v>
      </c>
      <c r="H143" s="173"/>
      <c r="I143" s="174"/>
      <c r="J143" s="126" t="s">
        <v>286</v>
      </c>
      <c r="K143" s="53">
        <v>42</v>
      </c>
    </row>
    <row r="144" spans="1:11" ht="15" customHeight="1">
      <c r="A144" s="129" t="s">
        <v>86</v>
      </c>
      <c r="B144" s="5">
        <v>1</v>
      </c>
      <c r="C144" s="171" t="s">
        <v>263</v>
      </c>
      <c r="D144" s="171" t="s">
        <v>263</v>
      </c>
      <c r="E144" s="171" t="s">
        <v>263</v>
      </c>
      <c r="F144" s="172" t="s">
        <v>263</v>
      </c>
      <c r="G144" s="172" t="s">
        <v>263</v>
      </c>
      <c r="H144" s="173"/>
      <c r="I144" s="174"/>
      <c r="J144" s="126" t="s">
        <v>286</v>
      </c>
      <c r="K144" s="53">
        <v>42</v>
      </c>
    </row>
    <row r="145" spans="1:11" ht="15" customHeight="1">
      <c r="A145" s="129" t="s">
        <v>88</v>
      </c>
      <c r="B145" s="5">
        <v>1</v>
      </c>
      <c r="C145" s="171" t="s">
        <v>263</v>
      </c>
      <c r="D145" s="171" t="s">
        <v>263</v>
      </c>
      <c r="E145" s="171" t="s">
        <v>263</v>
      </c>
      <c r="F145" s="172" t="s">
        <v>263</v>
      </c>
      <c r="G145" s="172" t="s">
        <v>263</v>
      </c>
      <c r="H145" s="173"/>
      <c r="I145" s="174"/>
      <c r="J145" s="126" t="s">
        <v>286</v>
      </c>
      <c r="K145" s="53">
        <v>42</v>
      </c>
    </row>
    <row r="146" spans="1:11" ht="15" customHeight="1">
      <c r="A146" s="129" t="s">
        <v>90</v>
      </c>
      <c r="B146" s="5">
        <v>1</v>
      </c>
      <c r="C146" s="171" t="s">
        <v>263</v>
      </c>
      <c r="D146" s="171" t="s">
        <v>263</v>
      </c>
      <c r="E146" s="171" t="s">
        <v>263</v>
      </c>
      <c r="F146" s="172" t="s">
        <v>263</v>
      </c>
      <c r="G146" s="172" t="s">
        <v>263</v>
      </c>
      <c r="H146" s="173"/>
      <c r="I146" s="174"/>
      <c r="J146" s="126" t="s">
        <v>286</v>
      </c>
      <c r="K146" s="53">
        <v>42</v>
      </c>
    </row>
    <row r="147" spans="1:11" ht="15" customHeight="1">
      <c r="A147" s="129" t="s">
        <v>124</v>
      </c>
      <c r="B147" s="5">
        <v>1</v>
      </c>
      <c r="C147" s="171" t="s">
        <v>263</v>
      </c>
      <c r="D147" s="171" t="s">
        <v>263</v>
      </c>
      <c r="E147" s="171" t="s">
        <v>263</v>
      </c>
      <c r="F147" s="172" t="s">
        <v>263</v>
      </c>
      <c r="G147" s="172" t="s">
        <v>263</v>
      </c>
      <c r="H147" s="173"/>
      <c r="I147" s="174"/>
      <c r="J147" s="126" t="s">
        <v>286</v>
      </c>
      <c r="K147" s="53">
        <v>42</v>
      </c>
    </row>
    <row r="148" spans="1:11" ht="15" customHeight="1">
      <c r="A148" s="129" t="s">
        <v>92</v>
      </c>
      <c r="B148" s="5">
        <v>2</v>
      </c>
      <c r="C148" s="171" t="s">
        <v>263</v>
      </c>
      <c r="D148" s="171" t="s">
        <v>263</v>
      </c>
      <c r="E148" s="171" t="s">
        <v>263</v>
      </c>
      <c r="F148" s="172" t="s">
        <v>263</v>
      </c>
      <c r="G148" s="172" t="s">
        <v>263</v>
      </c>
      <c r="H148" s="173"/>
      <c r="I148" s="174"/>
      <c r="J148" s="126" t="s">
        <v>286</v>
      </c>
      <c r="K148" s="53">
        <v>42</v>
      </c>
    </row>
    <row r="149" spans="1:11" ht="15" customHeight="1">
      <c r="A149" s="129" t="s">
        <v>94</v>
      </c>
      <c r="B149" s="5">
        <v>2</v>
      </c>
      <c r="C149" s="171" t="s">
        <v>263</v>
      </c>
      <c r="D149" s="171" t="s">
        <v>263</v>
      </c>
      <c r="E149" s="171" t="s">
        <v>263</v>
      </c>
      <c r="F149" s="172" t="s">
        <v>263</v>
      </c>
      <c r="G149" s="172" t="s">
        <v>263</v>
      </c>
      <c r="H149" s="173"/>
      <c r="I149" s="174"/>
      <c r="J149" s="126" t="s">
        <v>286</v>
      </c>
      <c r="K149" s="53">
        <v>42</v>
      </c>
    </row>
    <row r="150" spans="1:11" ht="15" customHeight="1">
      <c r="A150" s="129" t="s">
        <v>96</v>
      </c>
      <c r="B150" s="5">
        <v>2</v>
      </c>
      <c r="C150" s="171" t="s">
        <v>263</v>
      </c>
      <c r="D150" s="171" t="s">
        <v>263</v>
      </c>
      <c r="E150" s="171" t="s">
        <v>263</v>
      </c>
      <c r="F150" s="172" t="s">
        <v>263</v>
      </c>
      <c r="G150" s="172" t="s">
        <v>263</v>
      </c>
      <c r="H150" s="173"/>
      <c r="I150" s="174"/>
      <c r="J150" s="126" t="s">
        <v>286</v>
      </c>
      <c r="K150" s="53">
        <v>42</v>
      </c>
    </row>
    <row r="151" spans="1:11" ht="15" customHeight="1">
      <c r="A151" s="129" t="s">
        <v>98</v>
      </c>
      <c r="B151" s="5">
        <v>2</v>
      </c>
      <c r="C151" s="171" t="s">
        <v>263</v>
      </c>
      <c r="D151" s="171" t="s">
        <v>263</v>
      </c>
      <c r="E151" s="171" t="s">
        <v>263</v>
      </c>
      <c r="F151" s="172" t="s">
        <v>263</v>
      </c>
      <c r="G151" s="172" t="s">
        <v>263</v>
      </c>
      <c r="H151" s="173"/>
      <c r="I151" s="174"/>
      <c r="J151" s="126" t="s">
        <v>286</v>
      </c>
      <c r="K151" s="53">
        <v>42</v>
      </c>
    </row>
    <row r="152" spans="1:11" ht="15" customHeight="1">
      <c r="A152" s="129" t="s">
        <v>118</v>
      </c>
      <c r="B152" s="5">
        <v>2</v>
      </c>
      <c r="C152" s="171" t="s">
        <v>263</v>
      </c>
      <c r="D152" s="171" t="s">
        <v>263</v>
      </c>
      <c r="E152" s="171" t="s">
        <v>263</v>
      </c>
      <c r="F152" s="172" t="s">
        <v>263</v>
      </c>
      <c r="G152" s="172" t="s">
        <v>263</v>
      </c>
      <c r="H152" s="173"/>
      <c r="I152" s="174"/>
      <c r="J152" s="126" t="s">
        <v>286</v>
      </c>
      <c r="K152" s="53">
        <v>42</v>
      </c>
    </row>
    <row r="153" spans="1:11" ht="15" customHeight="1">
      <c r="A153" s="129" t="s">
        <v>102</v>
      </c>
      <c r="B153" s="5">
        <v>2</v>
      </c>
      <c r="C153" s="171" t="s">
        <v>263</v>
      </c>
      <c r="D153" s="171" t="s">
        <v>263</v>
      </c>
      <c r="E153" s="171" t="s">
        <v>263</v>
      </c>
      <c r="F153" s="172" t="s">
        <v>263</v>
      </c>
      <c r="G153" s="172" t="s">
        <v>263</v>
      </c>
      <c r="H153" s="173"/>
      <c r="I153" s="174"/>
      <c r="J153" s="126" t="s">
        <v>286</v>
      </c>
      <c r="K153" s="53">
        <v>42</v>
      </c>
    </row>
    <row r="154" spans="1:11" ht="15" customHeight="1">
      <c r="A154" s="129" t="s">
        <v>104</v>
      </c>
      <c r="B154" s="5">
        <v>2</v>
      </c>
      <c r="C154" s="171" t="s">
        <v>263</v>
      </c>
      <c r="D154" s="171" t="s">
        <v>263</v>
      </c>
      <c r="E154" s="171" t="s">
        <v>263</v>
      </c>
      <c r="F154" s="172" t="s">
        <v>263</v>
      </c>
      <c r="G154" s="172" t="s">
        <v>263</v>
      </c>
      <c r="H154" s="173"/>
      <c r="I154" s="174"/>
      <c r="J154" s="126" t="s">
        <v>286</v>
      </c>
      <c r="K154" s="53">
        <v>42</v>
      </c>
    </row>
    <row r="155" spans="1:11" ht="15" customHeight="1">
      <c r="A155" s="129" t="s">
        <v>106</v>
      </c>
      <c r="B155" s="5"/>
      <c r="C155" s="171" t="s">
        <v>263</v>
      </c>
      <c r="D155" s="171" t="s">
        <v>263</v>
      </c>
      <c r="E155" s="171" t="s">
        <v>263</v>
      </c>
      <c r="F155" s="172" t="s">
        <v>263</v>
      </c>
      <c r="G155" s="172" t="s">
        <v>263</v>
      </c>
      <c r="H155" s="173"/>
      <c r="I155" s="174"/>
      <c r="J155" s="126" t="s">
        <v>286</v>
      </c>
      <c r="K155" s="53">
        <v>42</v>
      </c>
    </row>
    <row r="156" spans="1:11" ht="15" customHeight="1">
      <c r="A156" s="129" t="s">
        <v>109</v>
      </c>
      <c r="B156" s="5">
        <v>2</v>
      </c>
      <c r="C156" s="171" t="s">
        <v>263</v>
      </c>
      <c r="D156" s="171" t="s">
        <v>263</v>
      </c>
      <c r="E156" s="171" t="s">
        <v>263</v>
      </c>
      <c r="F156" s="172" t="s">
        <v>263</v>
      </c>
      <c r="G156" s="172" t="s">
        <v>263</v>
      </c>
      <c r="H156" s="173"/>
      <c r="I156" s="174"/>
      <c r="J156" s="126" t="s">
        <v>286</v>
      </c>
      <c r="K156" s="53">
        <v>42</v>
      </c>
    </row>
    <row r="157" spans="1:11" ht="15" customHeight="1">
      <c r="A157" s="129" t="s">
        <v>122</v>
      </c>
      <c r="B157" s="5">
        <v>2</v>
      </c>
      <c r="C157" s="171" t="s">
        <v>263</v>
      </c>
      <c r="D157" s="171" t="s">
        <v>263</v>
      </c>
      <c r="E157" s="171" t="s">
        <v>263</v>
      </c>
      <c r="F157" s="172" t="s">
        <v>263</v>
      </c>
      <c r="G157" s="172" t="s">
        <v>263</v>
      </c>
      <c r="H157" s="173"/>
      <c r="I157" s="174"/>
      <c r="J157" s="126" t="s">
        <v>286</v>
      </c>
      <c r="K157" s="53">
        <v>42</v>
      </c>
    </row>
    <row r="158" spans="1:11" ht="15" customHeight="1">
      <c r="A158" s="170" t="s">
        <v>15</v>
      </c>
      <c r="B158" s="5">
        <v>1</v>
      </c>
      <c r="C158" s="171" t="s">
        <v>263</v>
      </c>
      <c r="D158" s="171" t="s">
        <v>263</v>
      </c>
      <c r="E158" s="171" t="s">
        <v>263</v>
      </c>
      <c r="F158" s="172" t="s">
        <v>263</v>
      </c>
      <c r="G158" s="172" t="s">
        <v>263</v>
      </c>
      <c r="H158" s="173"/>
      <c r="I158" s="174"/>
      <c r="J158" s="127" t="s">
        <v>295</v>
      </c>
      <c r="K158" s="53">
        <v>42</v>
      </c>
    </row>
    <row r="159" spans="1:11" ht="15" customHeight="1">
      <c r="A159" s="47" t="s">
        <v>126</v>
      </c>
      <c r="B159" s="109">
        <v>3</v>
      </c>
      <c r="C159" s="171" t="s">
        <v>263</v>
      </c>
      <c r="D159" s="171" t="s">
        <v>263</v>
      </c>
      <c r="E159" s="171" t="s">
        <v>263</v>
      </c>
      <c r="F159" s="172" t="s">
        <v>263</v>
      </c>
      <c r="G159" s="172" t="s">
        <v>263</v>
      </c>
      <c r="H159" s="173"/>
      <c r="I159" s="174"/>
      <c r="J159" s="127" t="s">
        <v>295</v>
      </c>
      <c r="K159" s="53">
        <v>42</v>
      </c>
    </row>
    <row r="160" spans="1:11" ht="15" customHeight="1">
      <c r="A160" s="47" t="s">
        <v>128</v>
      </c>
      <c r="B160" s="109">
        <v>3</v>
      </c>
      <c r="C160" s="171" t="s">
        <v>263</v>
      </c>
      <c r="D160" s="171" t="s">
        <v>263</v>
      </c>
      <c r="E160" s="171" t="s">
        <v>263</v>
      </c>
      <c r="F160" s="172" t="s">
        <v>263</v>
      </c>
      <c r="G160" s="172" t="s">
        <v>263</v>
      </c>
      <c r="H160" s="173"/>
      <c r="I160" s="174"/>
      <c r="J160" s="127" t="s">
        <v>295</v>
      </c>
      <c r="K160" s="53">
        <v>42</v>
      </c>
    </row>
    <row r="161" spans="1:11" ht="15" customHeight="1">
      <c r="A161" s="47" t="s">
        <v>129</v>
      </c>
      <c r="B161" s="109">
        <v>3</v>
      </c>
      <c r="C161" s="171" t="s">
        <v>263</v>
      </c>
      <c r="D161" s="171" t="s">
        <v>263</v>
      </c>
      <c r="E161" s="171" t="s">
        <v>263</v>
      </c>
      <c r="F161" s="172" t="s">
        <v>263</v>
      </c>
      <c r="G161" s="172" t="s">
        <v>263</v>
      </c>
      <c r="H161" s="173"/>
      <c r="I161" s="174"/>
      <c r="J161" s="127" t="s">
        <v>295</v>
      </c>
      <c r="K161" s="53">
        <v>42</v>
      </c>
    </row>
    <row r="162" spans="1:11" ht="15" customHeight="1">
      <c r="A162" s="47" t="s">
        <v>130</v>
      </c>
      <c r="B162" s="109">
        <v>3</v>
      </c>
      <c r="C162" s="171" t="s">
        <v>263</v>
      </c>
      <c r="D162" s="171" t="s">
        <v>263</v>
      </c>
      <c r="E162" s="171" t="s">
        <v>263</v>
      </c>
      <c r="F162" s="172" t="s">
        <v>263</v>
      </c>
      <c r="G162" s="172" t="s">
        <v>263</v>
      </c>
      <c r="H162" s="173"/>
      <c r="I162" s="174"/>
      <c r="J162" s="127" t="s">
        <v>295</v>
      </c>
      <c r="K162" s="53">
        <v>42</v>
      </c>
    </row>
    <row r="163" spans="1:11" ht="15" customHeight="1">
      <c r="A163" s="47" t="s">
        <v>131</v>
      </c>
      <c r="B163" s="109">
        <v>3</v>
      </c>
      <c r="C163" s="171" t="s">
        <v>263</v>
      </c>
      <c r="D163" s="171" t="s">
        <v>263</v>
      </c>
      <c r="E163" s="171" t="s">
        <v>263</v>
      </c>
      <c r="F163" s="172" t="s">
        <v>263</v>
      </c>
      <c r="G163" s="172" t="s">
        <v>263</v>
      </c>
      <c r="H163" s="173"/>
      <c r="I163" s="174"/>
      <c r="J163" s="127" t="s">
        <v>295</v>
      </c>
      <c r="K163" s="53">
        <v>42</v>
      </c>
    </row>
    <row r="164" spans="1:11" ht="15" customHeight="1">
      <c r="A164" s="47" t="s">
        <v>133</v>
      </c>
      <c r="B164" s="109">
        <v>3</v>
      </c>
      <c r="C164" s="171" t="s">
        <v>263</v>
      </c>
      <c r="D164" s="171" t="s">
        <v>263</v>
      </c>
      <c r="E164" s="171" t="s">
        <v>263</v>
      </c>
      <c r="F164" s="172" t="s">
        <v>263</v>
      </c>
      <c r="G164" s="172" t="s">
        <v>263</v>
      </c>
      <c r="H164" s="173"/>
      <c r="I164" s="174"/>
      <c r="J164" s="127" t="s">
        <v>295</v>
      </c>
      <c r="K164" s="53">
        <v>42</v>
      </c>
    </row>
    <row r="165" spans="1:11" ht="15" customHeight="1">
      <c r="A165" s="47" t="s">
        <v>134</v>
      </c>
      <c r="B165" s="109">
        <v>3</v>
      </c>
      <c r="C165" s="171" t="s">
        <v>263</v>
      </c>
      <c r="D165" s="171" t="s">
        <v>263</v>
      </c>
      <c r="E165" s="171" t="s">
        <v>263</v>
      </c>
      <c r="F165" s="172" t="s">
        <v>263</v>
      </c>
      <c r="G165" s="172" t="s">
        <v>263</v>
      </c>
      <c r="H165" s="173"/>
      <c r="I165" s="174"/>
      <c r="J165" s="127" t="s">
        <v>295</v>
      </c>
      <c r="K165" s="53">
        <v>42</v>
      </c>
    </row>
    <row r="166" spans="1:11" ht="15" customHeight="1">
      <c r="A166" s="47" t="s">
        <v>135</v>
      </c>
      <c r="B166" s="109">
        <v>3</v>
      </c>
      <c r="C166" s="171" t="s">
        <v>263</v>
      </c>
      <c r="D166" s="171" t="s">
        <v>263</v>
      </c>
      <c r="E166" s="171" t="s">
        <v>263</v>
      </c>
      <c r="F166" s="172" t="s">
        <v>263</v>
      </c>
      <c r="G166" s="172" t="s">
        <v>263</v>
      </c>
      <c r="H166" s="173"/>
      <c r="I166" s="174"/>
      <c r="J166" s="127" t="s">
        <v>295</v>
      </c>
      <c r="K166" s="53">
        <v>42</v>
      </c>
    </row>
    <row r="167" spans="1:11" ht="15" customHeight="1">
      <c r="A167" s="47" t="s">
        <v>136</v>
      </c>
      <c r="B167" s="109">
        <v>3</v>
      </c>
      <c r="C167" s="171" t="s">
        <v>263</v>
      </c>
      <c r="D167" s="171" t="s">
        <v>263</v>
      </c>
      <c r="E167" s="171" t="s">
        <v>263</v>
      </c>
      <c r="F167" s="172" t="s">
        <v>263</v>
      </c>
      <c r="G167" s="172" t="s">
        <v>263</v>
      </c>
      <c r="H167" s="173"/>
      <c r="I167" s="174"/>
      <c r="J167" s="127" t="s">
        <v>295</v>
      </c>
      <c r="K167" s="53">
        <v>42</v>
      </c>
    </row>
    <row r="168" spans="1:11" ht="15" customHeight="1">
      <c r="A168" s="47" t="s">
        <v>137</v>
      </c>
      <c r="B168" s="109">
        <v>3</v>
      </c>
      <c r="C168" s="171" t="s">
        <v>263</v>
      </c>
      <c r="D168" s="171" t="s">
        <v>263</v>
      </c>
      <c r="E168" s="171" t="s">
        <v>263</v>
      </c>
      <c r="F168" s="172" t="s">
        <v>263</v>
      </c>
      <c r="G168" s="172" t="s">
        <v>263</v>
      </c>
      <c r="H168" s="173"/>
      <c r="I168" s="174"/>
      <c r="J168" s="127" t="s">
        <v>295</v>
      </c>
      <c r="K168" s="53">
        <v>42</v>
      </c>
    </row>
  </sheetData>
  <autoFilter ref="A1:K168" xr:uid="{97AEE878-C573-4D49-8777-CBB577ADBB29}">
    <filterColumn colId="10">
      <filters>
        <filter val="42"/>
      </filters>
    </filterColumn>
  </autoFilter>
  <conditionalFormatting sqref="G32">
    <cfRule type="cellIs" dxfId="74" priority="7" operator="equal">
      <formula>"Off"</formula>
    </cfRule>
    <cfRule type="cellIs" dxfId="73" priority="8" operator="equal">
      <formula>"Emergency"</formula>
    </cfRule>
    <cfRule type="cellIs" dxfId="72" priority="9" operator="equal">
      <formula>"NCNS"</formula>
    </cfRule>
    <cfRule type="cellIs" dxfId="71" priority="10" operator="equal">
      <formula>"Sick"</formula>
    </cfRule>
    <cfRule type="cellIs" dxfId="70" priority="11" operator="equal">
      <formula>"Annual"</formula>
    </cfRule>
    <cfRule type="cellIs" dxfId="69" priority="12" operator="equal">
      <formula>"Attended"</formula>
    </cfRule>
  </conditionalFormatting>
  <hyperlinks>
    <hyperlink ref="A16" r:id="rId1" display="alaa.madkour@capgemini.com" xr:uid="{75EE84D6-4305-4060-858A-41F027CCF3EE}"/>
    <hyperlink ref="A14" r:id="rId2" display="mohamed.abdelgawad@capgemini.com" xr:uid="{3EEDB31A-E890-4ADA-A25C-52F228DB2B10}"/>
    <hyperlink ref="A45" r:id="rId3" display="alaa.madkour@capgemini.com" xr:uid="{19FB2F83-FC1C-4D68-B38C-70B696D27342}"/>
    <hyperlink ref="A43" r:id="rId4" display="mohamed.abdelgawad@capgemini.com" xr:uid="{C41E1E02-DA75-47F0-8289-F45BE789416F}"/>
    <hyperlink ref="A60" r:id="rId5" display="alaa.madkour@capgemini.com" xr:uid="{A03C0E8B-4428-4B1F-A5CE-2739D9436ADA}"/>
    <hyperlink ref="A58" r:id="rId6" display="mohamed.abdelgawad@capgemini.com" xr:uid="{21CAB2C1-4840-4EF3-BF4A-80ACD7792504}"/>
    <hyperlink ref="A94" r:id="rId7" display="alaa.madkour@capgemini.com" xr:uid="{7DC8A799-1FEF-4D90-9A01-5E926594B4FE}"/>
    <hyperlink ref="A92" r:id="rId8" display="mohamed.abdelgawad@capgemini.com" xr:uid="{43DA8F32-D64A-4C60-A055-33C92D62DCEE}"/>
    <hyperlink ref="A133" r:id="rId9" display="alaa.madkour@capgemini.com" xr:uid="{26555060-21E3-4FE5-81DC-DD1784B1CA45}"/>
    <hyperlink ref="A131" r:id="rId10" display="mohamed.abdelgawad@capgemini.com" xr:uid="{EEF2AC6D-EF7A-43FC-8B00-FAC510AB477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3924-B0ED-4394-9CB6-41A8EAA4F387}">
  <dimension ref="A1:F25"/>
  <sheetViews>
    <sheetView topLeftCell="A11" zoomScale="145" zoomScaleNormal="145" workbookViewId="0">
      <selection activeCell="C23" sqref="C23"/>
    </sheetView>
  </sheetViews>
  <sheetFormatPr defaultRowHeight="14.45"/>
  <cols>
    <col min="1" max="1" width="9.85546875" bestFit="1" customWidth="1"/>
    <col min="2" max="2" width="13.42578125" bestFit="1" customWidth="1"/>
    <col min="3" max="3" width="5.7109375" bestFit="1" customWidth="1"/>
    <col min="4" max="4" width="23.5703125" bestFit="1" customWidth="1"/>
    <col min="5" max="5" width="9" customWidth="1"/>
    <col min="6" max="6" width="28.7109375" customWidth="1"/>
    <col min="8" max="8" width="20.85546875" bestFit="1" customWidth="1"/>
    <col min="9" max="9" width="11.85546875" bestFit="1" customWidth="1"/>
    <col min="10" max="10" width="11.5703125" bestFit="1" customWidth="1"/>
    <col min="11" max="11" width="36.5703125" bestFit="1" customWidth="1"/>
    <col min="12" max="12" width="18.7109375" bestFit="1" customWidth="1"/>
  </cols>
  <sheetData>
    <row r="1" spans="1:6" ht="15">
      <c r="A1" s="28" t="s">
        <v>296</v>
      </c>
      <c r="B1" s="29" t="s">
        <v>297</v>
      </c>
      <c r="C1" s="29" t="s">
        <v>298</v>
      </c>
      <c r="D1" s="29" t="s">
        <v>299</v>
      </c>
      <c r="E1" s="30" t="s">
        <v>300</v>
      </c>
      <c r="F1" s="29" t="s">
        <v>301</v>
      </c>
    </row>
    <row r="2" spans="1:6" ht="15">
      <c r="A2" s="24">
        <v>46286</v>
      </c>
      <c r="B2" s="23" t="s">
        <v>302</v>
      </c>
      <c r="C2" s="23" t="s">
        <v>303</v>
      </c>
      <c r="D2" s="23" t="s">
        <v>304</v>
      </c>
      <c r="E2" s="7">
        <v>30</v>
      </c>
      <c r="F2" s="132"/>
    </row>
    <row r="3" spans="1:6" ht="15">
      <c r="A3" s="24"/>
      <c r="B3" s="23" t="s">
        <v>305</v>
      </c>
      <c r="C3" s="23" t="s">
        <v>303</v>
      </c>
      <c r="D3" s="23" t="s">
        <v>306</v>
      </c>
      <c r="E3" s="7">
        <v>6</v>
      </c>
      <c r="F3" s="23"/>
    </row>
    <row r="4" spans="1:6" ht="15">
      <c r="A4" s="25">
        <v>46287</v>
      </c>
      <c r="B4" s="23" t="s">
        <v>307</v>
      </c>
      <c r="C4" s="23" t="s">
        <v>308</v>
      </c>
      <c r="D4" s="23" t="s">
        <v>309</v>
      </c>
      <c r="E4" s="7">
        <v>8</v>
      </c>
      <c r="F4" s="23"/>
    </row>
    <row r="5" spans="1:6" ht="15">
      <c r="A5" s="26">
        <v>46288</v>
      </c>
      <c r="B5" s="23" t="s">
        <v>302</v>
      </c>
      <c r="C5" s="3" t="s">
        <v>310</v>
      </c>
      <c r="D5" s="23" t="s">
        <v>311</v>
      </c>
      <c r="E5" s="7">
        <v>30</v>
      </c>
      <c r="F5" s="23"/>
    </row>
    <row r="6" spans="1:6" ht="15">
      <c r="A6" s="27"/>
      <c r="B6" s="23" t="s">
        <v>307</v>
      </c>
      <c r="C6" s="23" t="s">
        <v>308</v>
      </c>
      <c r="D6" s="23" t="s">
        <v>312</v>
      </c>
      <c r="E6" s="7">
        <v>8</v>
      </c>
      <c r="F6" s="23"/>
    </row>
    <row r="7" spans="1:6" ht="15">
      <c r="A7" s="26">
        <v>46289</v>
      </c>
      <c r="B7" s="23" t="s">
        <v>307</v>
      </c>
      <c r="C7" s="23" t="s">
        <v>308</v>
      </c>
      <c r="D7" s="23" t="s">
        <v>313</v>
      </c>
      <c r="E7" s="7">
        <v>8</v>
      </c>
      <c r="F7" s="23"/>
    </row>
    <row r="8" spans="1:6" ht="15">
      <c r="A8" s="27"/>
      <c r="B8" s="31" t="s">
        <v>302</v>
      </c>
      <c r="C8" s="14" t="s">
        <v>310</v>
      </c>
      <c r="D8" s="31" t="s">
        <v>314</v>
      </c>
      <c r="E8" s="8">
        <v>30</v>
      </c>
      <c r="F8" s="23"/>
    </row>
    <row r="9" spans="1:6" ht="15">
      <c r="A9" s="35">
        <v>46290</v>
      </c>
      <c r="B9" s="23" t="s">
        <v>302</v>
      </c>
      <c r="C9" s="3" t="s">
        <v>310</v>
      </c>
      <c r="D9" s="23" t="s">
        <v>309</v>
      </c>
      <c r="E9" s="3">
        <v>30</v>
      </c>
      <c r="F9" s="23"/>
    </row>
    <row r="10" spans="1:6" ht="15">
      <c r="A10" s="23" t="s">
        <v>315</v>
      </c>
      <c r="B10" s="23" t="s">
        <v>302</v>
      </c>
      <c r="C10" s="23" t="s">
        <v>308</v>
      </c>
      <c r="D10" s="23" t="s">
        <v>309</v>
      </c>
      <c r="E10" s="3">
        <v>30</v>
      </c>
      <c r="F10" s="23"/>
    </row>
    <row r="11" spans="1:6" ht="15">
      <c r="A11" s="57">
        <v>46295</v>
      </c>
      <c r="B11" s="23" t="s">
        <v>302</v>
      </c>
      <c r="C11" s="23" t="s">
        <v>303</v>
      </c>
      <c r="D11" s="23" t="s">
        <v>309</v>
      </c>
      <c r="E11" s="3">
        <v>30</v>
      </c>
      <c r="F11" s="23"/>
    </row>
    <row r="12" spans="1:6" ht="15">
      <c r="A12" s="23" t="s">
        <v>316</v>
      </c>
      <c r="B12" s="23" t="s">
        <v>302</v>
      </c>
      <c r="C12" s="23" t="s">
        <v>308</v>
      </c>
      <c r="D12" s="23" t="s">
        <v>309</v>
      </c>
      <c r="E12" s="3">
        <v>30</v>
      </c>
      <c r="F12" s="23"/>
    </row>
    <row r="13" spans="1:6" ht="15">
      <c r="A13" s="58">
        <v>46300</v>
      </c>
      <c r="B13" s="23" t="s">
        <v>302</v>
      </c>
      <c r="C13" s="23" t="s">
        <v>308</v>
      </c>
      <c r="D13" s="23" t="s">
        <v>309</v>
      </c>
      <c r="E13" s="3">
        <v>30</v>
      </c>
      <c r="F13" s="23"/>
    </row>
    <row r="14" spans="1:6" ht="15">
      <c r="A14" s="58"/>
      <c r="B14" s="23" t="s">
        <v>302</v>
      </c>
      <c r="C14" s="23" t="s">
        <v>310</v>
      </c>
      <c r="D14" s="23" t="s">
        <v>317</v>
      </c>
      <c r="E14" s="7">
        <v>30</v>
      </c>
      <c r="F14" s="23"/>
    </row>
    <row r="15" spans="1:6" ht="15">
      <c r="A15" s="58">
        <v>46301</v>
      </c>
      <c r="B15" s="23" t="s">
        <v>302</v>
      </c>
      <c r="C15" s="23" t="s">
        <v>308</v>
      </c>
      <c r="D15" s="23" t="s">
        <v>309</v>
      </c>
      <c r="E15" s="3">
        <v>30</v>
      </c>
      <c r="F15" s="23"/>
    </row>
    <row r="16" spans="1:6" ht="15">
      <c r="A16" s="58">
        <v>46302</v>
      </c>
      <c r="B16" s="23" t="s">
        <v>302</v>
      </c>
      <c r="C16" s="23" t="s">
        <v>308</v>
      </c>
      <c r="D16" s="23" t="s">
        <v>304</v>
      </c>
      <c r="E16" s="3">
        <v>30</v>
      </c>
      <c r="F16" s="23"/>
    </row>
    <row r="17" spans="1:6" ht="15">
      <c r="A17" s="58"/>
      <c r="B17" s="23" t="s">
        <v>302</v>
      </c>
      <c r="C17" s="23" t="s">
        <v>303</v>
      </c>
      <c r="D17" s="23" t="s">
        <v>306</v>
      </c>
      <c r="E17" s="3">
        <v>30</v>
      </c>
      <c r="F17" s="23"/>
    </row>
    <row r="18" spans="1:6" ht="15">
      <c r="A18" s="58">
        <v>46303</v>
      </c>
      <c r="B18" s="23" t="s">
        <v>302</v>
      </c>
      <c r="C18" s="23" t="s">
        <v>308</v>
      </c>
      <c r="D18" s="23" t="s">
        <v>309</v>
      </c>
      <c r="E18" s="3">
        <v>30</v>
      </c>
      <c r="F18" s="23"/>
    </row>
    <row r="19" spans="1:6" ht="15">
      <c r="A19" s="35">
        <v>46304</v>
      </c>
      <c r="B19" s="23" t="s">
        <v>302</v>
      </c>
      <c r="C19" s="23" t="s">
        <v>308</v>
      </c>
      <c r="D19" s="23" t="s">
        <v>309</v>
      </c>
      <c r="E19" s="3">
        <v>30</v>
      </c>
      <c r="F19" s="23"/>
    </row>
    <row r="20" spans="1:6" ht="15">
      <c r="A20" s="131">
        <v>46307</v>
      </c>
      <c r="B20" s="23" t="s">
        <v>302</v>
      </c>
      <c r="C20" s="23" t="s">
        <v>308</v>
      </c>
      <c r="D20" s="23" t="s">
        <v>309</v>
      </c>
      <c r="E20" s="3">
        <v>30</v>
      </c>
      <c r="F20" s="23"/>
    </row>
    <row r="21" spans="1:6" ht="15">
      <c r="A21" s="131">
        <v>46308</v>
      </c>
      <c r="B21" s="23" t="s">
        <v>302</v>
      </c>
      <c r="C21" s="23" t="s">
        <v>308</v>
      </c>
      <c r="D21" s="23" t="s">
        <v>309</v>
      </c>
      <c r="E21" s="3">
        <v>30</v>
      </c>
      <c r="F21" s="23"/>
    </row>
    <row r="22" spans="1:6" ht="15">
      <c r="A22" s="131">
        <v>46309</v>
      </c>
      <c r="B22" s="23" t="s">
        <v>302</v>
      </c>
      <c r="C22" s="3" t="s">
        <v>310</v>
      </c>
      <c r="D22" s="23" t="s">
        <v>309</v>
      </c>
      <c r="E22" s="3">
        <v>30</v>
      </c>
      <c r="F22" s="23" t="s">
        <v>318</v>
      </c>
    </row>
    <row r="23" spans="1:6" ht="15">
      <c r="A23" s="131">
        <v>46310</v>
      </c>
      <c r="B23" s="23" t="s">
        <v>302</v>
      </c>
      <c r="C23" s="3" t="s">
        <v>310</v>
      </c>
      <c r="D23" s="23" t="s">
        <v>309</v>
      </c>
      <c r="E23" s="3">
        <v>30</v>
      </c>
      <c r="F23" s="23"/>
    </row>
    <row r="24" spans="1:6" ht="15">
      <c r="A24" s="131">
        <v>46311</v>
      </c>
      <c r="B24" s="23" t="s">
        <v>302</v>
      </c>
      <c r="C24" s="23" t="s">
        <v>308</v>
      </c>
      <c r="D24" s="23" t="s">
        <v>309</v>
      </c>
      <c r="E24" s="3">
        <v>30</v>
      </c>
      <c r="F24" s="31"/>
    </row>
    <row r="25" spans="1:6" ht="15">
      <c r="A25" s="131">
        <v>46314</v>
      </c>
      <c r="B25" s="23" t="s">
        <v>302</v>
      </c>
      <c r="C25" s="23" t="s">
        <v>308</v>
      </c>
      <c r="D25" s="23" t="s">
        <v>309</v>
      </c>
      <c r="E25" s="3">
        <v>30</v>
      </c>
      <c r="F25" s="3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5A57-A350-4E72-9D1A-8B4B51EEDCEA}">
  <dimension ref="A1:H49"/>
  <sheetViews>
    <sheetView tabSelected="1" topLeftCell="A33" workbookViewId="0">
      <selection activeCell="B48" sqref="B48"/>
    </sheetView>
  </sheetViews>
  <sheetFormatPr defaultRowHeight="15"/>
  <cols>
    <col min="1" max="1" width="20.85546875" bestFit="1" customWidth="1"/>
    <col min="2" max="2" width="11.85546875" bestFit="1" customWidth="1"/>
    <col min="3" max="3" width="12" bestFit="1" customWidth="1"/>
    <col min="4" max="4" width="45" bestFit="1" customWidth="1"/>
    <col min="5" max="5" width="10.140625" bestFit="1" customWidth="1"/>
    <col min="6" max="6" width="27.5703125" bestFit="1" customWidth="1"/>
    <col min="7" max="7" width="15.42578125" bestFit="1" customWidth="1"/>
    <col min="8" max="8" width="16.85546875" bestFit="1" customWidth="1"/>
  </cols>
  <sheetData>
    <row r="1" spans="1:8">
      <c r="A1" s="86" t="s">
        <v>1</v>
      </c>
      <c r="B1" s="86" t="s">
        <v>2</v>
      </c>
      <c r="C1" s="86" t="s">
        <v>3</v>
      </c>
      <c r="D1" s="86" t="s">
        <v>4</v>
      </c>
      <c r="E1" s="86" t="s">
        <v>5</v>
      </c>
      <c r="F1" s="86" t="s">
        <v>6</v>
      </c>
      <c r="G1" s="86" t="s">
        <v>319</v>
      </c>
      <c r="H1" s="86" t="s">
        <v>320</v>
      </c>
    </row>
    <row r="2" spans="1:8">
      <c r="A2" s="23" t="s">
        <v>8</v>
      </c>
      <c r="B2" s="23" t="s">
        <v>169</v>
      </c>
      <c r="C2" s="23" t="s">
        <v>169</v>
      </c>
      <c r="D2" s="44" t="s">
        <v>9</v>
      </c>
      <c r="E2" s="87">
        <v>46235</v>
      </c>
      <c r="F2" s="23" t="s">
        <v>10</v>
      </c>
      <c r="G2" s="23" t="s">
        <v>144</v>
      </c>
      <c r="H2" s="23" t="s">
        <v>321</v>
      </c>
    </row>
    <row r="3" spans="1:8">
      <c r="A3" s="23" t="s">
        <v>15</v>
      </c>
      <c r="B3" s="23" t="s">
        <v>183</v>
      </c>
      <c r="C3" s="23" t="s">
        <v>184</v>
      </c>
      <c r="D3" s="44" t="s">
        <v>16</v>
      </c>
      <c r="E3" s="87">
        <v>46251</v>
      </c>
      <c r="F3" s="23" t="s">
        <v>10</v>
      </c>
      <c r="G3" s="23" t="s">
        <v>144</v>
      </c>
      <c r="H3" s="23" t="s">
        <v>321</v>
      </c>
    </row>
    <row r="4" spans="1:8">
      <c r="A4" s="23" t="s">
        <v>18</v>
      </c>
      <c r="B4" s="23" t="s">
        <v>207</v>
      </c>
      <c r="C4" s="23" t="s">
        <v>208</v>
      </c>
      <c r="D4" s="44" t="s">
        <v>19</v>
      </c>
      <c r="E4" s="87">
        <v>46235</v>
      </c>
      <c r="F4" s="23" t="s">
        <v>10</v>
      </c>
      <c r="G4" s="23" t="s">
        <v>144</v>
      </c>
      <c r="H4" s="23" t="s">
        <v>321</v>
      </c>
    </row>
    <row r="5" spans="1:8">
      <c r="A5" s="23" t="s">
        <v>20</v>
      </c>
      <c r="B5" s="23" t="s">
        <v>188</v>
      </c>
      <c r="C5" s="23" t="s">
        <v>189</v>
      </c>
      <c r="D5" s="44" t="s">
        <v>21</v>
      </c>
      <c r="E5" s="87">
        <v>46272</v>
      </c>
      <c r="F5" s="23" t="s">
        <v>22</v>
      </c>
      <c r="G5" s="23" t="s">
        <v>144</v>
      </c>
      <c r="H5" s="23" t="s">
        <v>321</v>
      </c>
    </row>
    <row r="6" spans="1:8">
      <c r="A6" s="23" t="s">
        <v>23</v>
      </c>
      <c r="B6" s="23" t="s">
        <v>202</v>
      </c>
      <c r="C6" s="23" t="s">
        <v>48</v>
      </c>
      <c r="D6" s="44" t="s">
        <v>24</v>
      </c>
      <c r="E6" s="87">
        <v>46267</v>
      </c>
      <c r="F6" s="23" t="s">
        <v>22</v>
      </c>
      <c r="G6" s="23" t="s">
        <v>144</v>
      </c>
      <c r="H6" s="23" t="s">
        <v>321</v>
      </c>
    </row>
    <row r="7" spans="1:8">
      <c r="A7" s="23" t="s">
        <v>26</v>
      </c>
      <c r="B7" s="23" t="s">
        <v>322</v>
      </c>
      <c r="C7" s="23" t="s">
        <v>197</v>
      </c>
      <c r="D7" s="44" t="s">
        <v>27</v>
      </c>
      <c r="E7" s="88">
        <v>46279</v>
      </c>
      <c r="F7" s="23" t="s">
        <v>22</v>
      </c>
      <c r="G7" s="23" t="s">
        <v>144</v>
      </c>
      <c r="H7" s="23" t="s">
        <v>321</v>
      </c>
    </row>
    <row r="8" spans="1:8">
      <c r="A8" s="23" t="s">
        <v>29</v>
      </c>
      <c r="B8" s="23" t="s">
        <v>248</v>
      </c>
      <c r="C8" s="23" t="s">
        <v>249</v>
      </c>
      <c r="D8" s="44" t="s">
        <v>30</v>
      </c>
      <c r="E8" s="88">
        <v>46279</v>
      </c>
      <c r="F8" s="23" t="s">
        <v>22</v>
      </c>
      <c r="G8" s="23" t="s">
        <v>144</v>
      </c>
      <c r="H8" s="23" t="s">
        <v>321</v>
      </c>
    </row>
    <row r="9" spans="1:8">
      <c r="A9" s="23" t="s">
        <v>32</v>
      </c>
      <c r="B9" s="23" t="s">
        <v>239</v>
      </c>
      <c r="C9" s="23" t="s">
        <v>240</v>
      </c>
      <c r="D9" s="44" t="s">
        <v>33</v>
      </c>
      <c r="E9" s="88">
        <v>46279</v>
      </c>
      <c r="F9" s="23" t="s">
        <v>22</v>
      </c>
      <c r="G9" s="23" t="s">
        <v>144</v>
      </c>
      <c r="H9" s="23" t="s">
        <v>321</v>
      </c>
    </row>
    <row r="10" spans="1:8">
      <c r="A10" s="23" t="s">
        <v>35</v>
      </c>
      <c r="B10" s="23" t="s">
        <v>177</v>
      </c>
      <c r="C10" s="23" t="s">
        <v>178</v>
      </c>
      <c r="D10" s="44" t="s">
        <v>36</v>
      </c>
      <c r="E10" s="88">
        <v>46279</v>
      </c>
      <c r="F10" s="23" t="s">
        <v>22</v>
      </c>
      <c r="G10" s="23" t="s">
        <v>144</v>
      </c>
      <c r="H10" s="23" t="s">
        <v>321</v>
      </c>
    </row>
    <row r="11" spans="1:8">
      <c r="A11" s="23" t="s">
        <v>323</v>
      </c>
      <c r="B11" s="23" t="s">
        <v>48</v>
      </c>
      <c r="C11" s="23" t="s">
        <v>211</v>
      </c>
      <c r="D11" s="84" t="s">
        <v>324</v>
      </c>
      <c r="E11" s="88">
        <v>46280</v>
      </c>
      <c r="F11" s="23" t="s">
        <v>22</v>
      </c>
      <c r="G11" s="23" t="s">
        <v>144</v>
      </c>
      <c r="H11" s="23" t="s">
        <v>321</v>
      </c>
    </row>
    <row r="12" spans="1:8">
      <c r="A12" s="23" t="s">
        <v>325</v>
      </c>
      <c r="B12" s="23" t="s">
        <v>43</v>
      </c>
      <c r="C12" s="23" t="s">
        <v>44</v>
      </c>
      <c r="D12" s="84" t="s">
        <v>326</v>
      </c>
      <c r="E12" s="88">
        <v>46281</v>
      </c>
      <c r="F12" s="23" t="s">
        <v>22</v>
      </c>
      <c r="G12" s="23" t="s">
        <v>144</v>
      </c>
      <c r="H12" s="23" t="s">
        <v>321</v>
      </c>
    </row>
    <row r="13" spans="1:8">
      <c r="A13" s="23" t="s">
        <v>47</v>
      </c>
      <c r="B13" s="23" t="s">
        <v>48</v>
      </c>
      <c r="C13" s="23" t="s">
        <v>49</v>
      </c>
      <c r="D13" s="44" t="s">
        <v>50</v>
      </c>
      <c r="E13" s="88">
        <v>46280</v>
      </c>
      <c r="F13" s="23" t="s">
        <v>22</v>
      </c>
      <c r="G13" s="23" t="s">
        <v>144</v>
      </c>
      <c r="H13" s="23" t="s">
        <v>321</v>
      </c>
    </row>
    <row r="14" spans="1:8">
      <c r="A14" s="23" t="s">
        <v>327</v>
      </c>
      <c r="B14" s="23" t="s">
        <v>328</v>
      </c>
      <c r="C14" s="23" t="s">
        <v>54</v>
      </c>
      <c r="D14" s="84" t="s">
        <v>55</v>
      </c>
      <c r="E14" s="88">
        <v>46281</v>
      </c>
      <c r="F14" s="23" t="s">
        <v>22</v>
      </c>
      <c r="G14" s="23" t="s">
        <v>144</v>
      </c>
      <c r="H14" s="23" t="s">
        <v>321</v>
      </c>
    </row>
    <row r="15" spans="1:8">
      <c r="A15" s="23" t="s">
        <v>56</v>
      </c>
      <c r="B15" s="23" t="s">
        <v>57</v>
      </c>
      <c r="C15" s="23" t="s">
        <v>58</v>
      </c>
      <c r="D15" s="44" t="s">
        <v>59</v>
      </c>
      <c r="E15" s="88">
        <v>46279</v>
      </c>
      <c r="F15" s="23" t="s">
        <v>60</v>
      </c>
      <c r="G15" s="23" t="s">
        <v>144</v>
      </c>
      <c r="H15" s="23" t="s">
        <v>321</v>
      </c>
    </row>
    <row r="16" spans="1:8">
      <c r="A16" s="23" t="s">
        <v>61</v>
      </c>
      <c r="B16" s="23" t="s">
        <v>110</v>
      </c>
      <c r="C16" s="23" t="s">
        <v>62</v>
      </c>
      <c r="D16" s="44" t="s">
        <v>63</v>
      </c>
      <c r="E16" s="88">
        <v>46286</v>
      </c>
      <c r="F16" s="23" t="s">
        <v>22</v>
      </c>
      <c r="G16" s="23" t="s">
        <v>144</v>
      </c>
      <c r="H16" s="23" t="s">
        <v>321</v>
      </c>
    </row>
    <row r="17" spans="1:8">
      <c r="A17" s="23" t="s">
        <v>64</v>
      </c>
      <c r="B17" s="23" t="s">
        <v>48</v>
      </c>
      <c r="C17" s="23" t="s">
        <v>213</v>
      </c>
      <c r="D17" s="44" t="s">
        <v>65</v>
      </c>
      <c r="E17" s="88">
        <v>46286</v>
      </c>
      <c r="F17" s="23" t="s">
        <v>66</v>
      </c>
      <c r="G17" s="23" t="s">
        <v>144</v>
      </c>
      <c r="H17" s="23" t="s">
        <v>321</v>
      </c>
    </row>
    <row r="18" spans="1:8">
      <c r="A18" s="23" t="s">
        <v>329</v>
      </c>
      <c r="B18" s="23" t="s">
        <v>330</v>
      </c>
      <c r="C18" s="23" t="s">
        <v>200</v>
      </c>
      <c r="D18" s="44" t="s">
        <v>68</v>
      </c>
      <c r="E18" s="88">
        <v>46286</v>
      </c>
      <c r="F18" s="23" t="s">
        <v>69</v>
      </c>
      <c r="G18" s="23" t="s">
        <v>144</v>
      </c>
      <c r="H18" s="23" t="s">
        <v>321</v>
      </c>
    </row>
    <row r="19" spans="1:8">
      <c r="A19" s="23" t="s">
        <v>70</v>
      </c>
      <c r="B19" s="23" t="s">
        <v>171</v>
      </c>
      <c r="C19" s="23" t="s">
        <v>331</v>
      </c>
      <c r="D19" s="44" t="s">
        <v>71</v>
      </c>
      <c r="E19" s="88">
        <v>46286</v>
      </c>
      <c r="F19" s="23" t="s">
        <v>60</v>
      </c>
      <c r="G19" s="23" t="s">
        <v>144</v>
      </c>
      <c r="H19" s="23" t="s">
        <v>321</v>
      </c>
    </row>
    <row r="20" spans="1:8">
      <c r="A20" s="23" t="s">
        <v>72</v>
      </c>
      <c r="B20" s="23" t="s">
        <v>43</v>
      </c>
      <c r="C20" s="23" t="s">
        <v>73</v>
      </c>
      <c r="D20" s="44" t="s">
        <v>74</v>
      </c>
      <c r="E20" s="88">
        <v>46287</v>
      </c>
      <c r="F20" s="23" t="s">
        <v>22</v>
      </c>
      <c r="G20" s="23" t="s">
        <v>144</v>
      </c>
      <c r="H20" s="23" t="s">
        <v>321</v>
      </c>
    </row>
    <row r="21" spans="1:8">
      <c r="A21" s="23" t="s">
        <v>75</v>
      </c>
      <c r="B21" s="23" t="s">
        <v>48</v>
      </c>
      <c r="C21" s="23" t="s">
        <v>140</v>
      </c>
      <c r="D21" s="89" t="s">
        <v>76</v>
      </c>
      <c r="E21" s="88">
        <v>46286</v>
      </c>
      <c r="F21" s="23" t="s">
        <v>22</v>
      </c>
      <c r="G21" s="23" t="s">
        <v>144</v>
      </c>
      <c r="H21" s="23" t="s">
        <v>321</v>
      </c>
    </row>
    <row r="22" spans="1:8">
      <c r="A22" s="23" t="s">
        <v>78</v>
      </c>
      <c r="B22" s="23" t="s">
        <v>174</v>
      </c>
      <c r="C22" s="23" t="s">
        <v>175</v>
      </c>
      <c r="D22" s="44" t="s">
        <v>79</v>
      </c>
      <c r="E22" s="88">
        <v>46286</v>
      </c>
      <c r="F22" s="23" t="s">
        <v>22</v>
      </c>
      <c r="G22" s="23" t="s">
        <v>144</v>
      </c>
      <c r="H22" s="23" t="s">
        <v>321</v>
      </c>
    </row>
    <row r="23" spans="1:8">
      <c r="A23" s="23" t="s">
        <v>332</v>
      </c>
      <c r="B23" s="23" t="s">
        <v>43</v>
      </c>
      <c r="C23" s="23" t="s">
        <v>333</v>
      </c>
      <c r="D23" s="44" t="s">
        <v>81</v>
      </c>
      <c r="E23" s="88">
        <v>46286</v>
      </c>
      <c r="F23" s="23" t="s">
        <v>22</v>
      </c>
      <c r="G23" s="23" t="s">
        <v>144</v>
      </c>
      <c r="H23" s="23" t="s">
        <v>321</v>
      </c>
    </row>
    <row r="24" spans="1:8">
      <c r="A24" s="23" t="s">
        <v>82</v>
      </c>
      <c r="B24" s="23" t="s">
        <v>43</v>
      </c>
      <c r="C24" s="23" t="s">
        <v>49</v>
      </c>
      <c r="D24" s="44" t="s">
        <v>83</v>
      </c>
      <c r="E24" s="88">
        <v>46286</v>
      </c>
      <c r="F24" s="23" t="s">
        <v>22</v>
      </c>
      <c r="G24" s="23" t="s">
        <v>144</v>
      </c>
      <c r="H24" s="23" t="s">
        <v>321</v>
      </c>
    </row>
    <row r="25" spans="1:8">
      <c r="A25" s="23" t="s">
        <v>84</v>
      </c>
      <c r="B25" s="23" t="s">
        <v>322</v>
      </c>
      <c r="C25" s="23" t="s">
        <v>48</v>
      </c>
      <c r="D25" s="44" t="s">
        <v>85</v>
      </c>
      <c r="E25" s="88">
        <v>46286</v>
      </c>
      <c r="F25" s="23" t="s">
        <v>22</v>
      </c>
      <c r="G25" s="23" t="s">
        <v>144</v>
      </c>
      <c r="H25" s="23" t="s">
        <v>321</v>
      </c>
    </row>
    <row r="26" spans="1:8">
      <c r="A26" s="23" t="s">
        <v>334</v>
      </c>
      <c r="B26" s="23" t="s">
        <v>48</v>
      </c>
      <c r="C26" s="23" t="s">
        <v>335</v>
      </c>
      <c r="D26" s="44" t="s">
        <v>87</v>
      </c>
      <c r="E26" s="88">
        <v>46286</v>
      </c>
      <c r="F26" s="23" t="s">
        <v>22</v>
      </c>
      <c r="G26" s="23" t="s">
        <v>144</v>
      </c>
      <c r="H26" s="23" t="s">
        <v>321</v>
      </c>
    </row>
    <row r="27" spans="1:8">
      <c r="A27" s="23" t="s">
        <v>88</v>
      </c>
      <c r="B27" s="23" t="s">
        <v>204</v>
      </c>
      <c r="C27" s="23" t="s">
        <v>336</v>
      </c>
      <c r="D27" s="44" t="s">
        <v>89</v>
      </c>
      <c r="E27" s="88">
        <v>46286</v>
      </c>
      <c r="F27" s="23" t="s">
        <v>22</v>
      </c>
      <c r="G27" s="23" t="s">
        <v>144</v>
      </c>
      <c r="H27" s="23" t="s">
        <v>321</v>
      </c>
    </row>
    <row r="28" spans="1:8">
      <c r="A28" s="23" t="s">
        <v>337</v>
      </c>
      <c r="B28" s="23" t="s">
        <v>338</v>
      </c>
      <c r="C28" s="23" t="s">
        <v>232</v>
      </c>
      <c r="D28" s="44" t="s">
        <v>91</v>
      </c>
      <c r="E28" s="88">
        <v>46286</v>
      </c>
      <c r="F28" s="23" t="s">
        <v>22</v>
      </c>
      <c r="G28" s="23" t="s">
        <v>144</v>
      </c>
      <c r="H28" s="23" t="s">
        <v>321</v>
      </c>
    </row>
    <row r="29" spans="1:8">
      <c r="A29" s="23" t="s">
        <v>92</v>
      </c>
      <c r="B29" s="23" t="s">
        <v>228</v>
      </c>
      <c r="C29" s="23" t="s">
        <v>229</v>
      </c>
      <c r="D29" s="46" t="s">
        <v>93</v>
      </c>
      <c r="E29" s="88">
        <v>46288</v>
      </c>
      <c r="F29" s="23" t="s">
        <v>22</v>
      </c>
      <c r="G29" s="23" t="s">
        <v>144</v>
      </c>
      <c r="H29" s="23" t="s">
        <v>302</v>
      </c>
    </row>
    <row r="30" spans="1:8">
      <c r="A30" s="3" t="s">
        <v>94</v>
      </c>
      <c r="B30" s="3" t="str">
        <f t="shared" ref="B30:B36" si="0">PROPER(_xlfn.TEXTBEFORE(TRIM(A30), " ", 1))</f>
        <v>Sarah</v>
      </c>
      <c r="C30" s="3" t="str">
        <f t="shared" ref="C30:C36" si="1">_xlfn.TEXTAFTER(TRIM(A30), " ", -1)</f>
        <v>Mohamed</v>
      </c>
      <c r="D30" s="46" t="s">
        <v>95</v>
      </c>
      <c r="E30" s="17">
        <v>46293</v>
      </c>
      <c r="F30" s="3" t="s">
        <v>22</v>
      </c>
      <c r="G30" s="23" t="s">
        <v>144</v>
      </c>
      <c r="H30" s="23" t="s">
        <v>302</v>
      </c>
    </row>
    <row r="31" spans="1:8">
      <c r="A31" s="3" t="s">
        <v>96</v>
      </c>
      <c r="B31" s="3" t="str">
        <f t="shared" si="0"/>
        <v>Dalia</v>
      </c>
      <c r="C31" s="3" t="str">
        <f t="shared" si="1"/>
        <v>Elsabbagh</v>
      </c>
      <c r="D31" s="46" t="s">
        <v>97</v>
      </c>
      <c r="E31" s="17">
        <v>46293</v>
      </c>
      <c r="F31" s="3" t="s">
        <v>22</v>
      </c>
      <c r="G31" s="23" t="s">
        <v>144</v>
      </c>
      <c r="H31" s="23" t="s">
        <v>302</v>
      </c>
    </row>
    <row r="32" spans="1:8">
      <c r="A32" s="3" t="s">
        <v>98</v>
      </c>
      <c r="B32" s="3" t="str">
        <f t="shared" si="0"/>
        <v>Salma</v>
      </c>
      <c r="C32" s="3" t="str">
        <f t="shared" si="1"/>
        <v>Dawaly</v>
      </c>
      <c r="D32" s="46" t="s">
        <v>99</v>
      </c>
      <c r="E32" s="17">
        <v>46293</v>
      </c>
      <c r="F32" s="3" t="s">
        <v>22</v>
      </c>
      <c r="G32" s="23" t="s">
        <v>144</v>
      </c>
      <c r="H32" s="23" t="s">
        <v>302</v>
      </c>
    </row>
    <row r="33" spans="1:8">
      <c r="A33" s="3" t="s">
        <v>118</v>
      </c>
      <c r="B33" s="3" t="str">
        <f t="shared" si="0"/>
        <v>Ammar</v>
      </c>
      <c r="C33" s="3" t="str">
        <f t="shared" si="1"/>
        <v>Ali</v>
      </c>
      <c r="D33" s="145" t="s">
        <v>119</v>
      </c>
      <c r="E33" s="17">
        <v>46293</v>
      </c>
      <c r="F33" s="3" t="s">
        <v>22</v>
      </c>
      <c r="G33" s="23" t="s">
        <v>144</v>
      </c>
      <c r="H33" s="23" t="s">
        <v>302</v>
      </c>
    </row>
    <row r="34" spans="1:8">
      <c r="A34" s="3" t="s">
        <v>102</v>
      </c>
      <c r="B34" s="3" t="str">
        <f t="shared" si="0"/>
        <v>Amr</v>
      </c>
      <c r="C34" s="3" t="str">
        <f t="shared" si="1"/>
        <v>Kotb</v>
      </c>
      <c r="D34" s="46" t="s">
        <v>103</v>
      </c>
      <c r="E34" s="17">
        <v>46293</v>
      </c>
      <c r="F34" s="3" t="s">
        <v>22</v>
      </c>
      <c r="G34" s="23" t="s">
        <v>144</v>
      </c>
      <c r="H34" s="23" t="s">
        <v>302</v>
      </c>
    </row>
    <row r="35" spans="1:8">
      <c r="A35" s="3" t="s">
        <v>104</v>
      </c>
      <c r="B35" s="3" t="str">
        <f t="shared" si="0"/>
        <v>Khaled</v>
      </c>
      <c r="C35" s="3" t="str">
        <f t="shared" si="1"/>
        <v>Abdalgalil</v>
      </c>
      <c r="D35" s="46" t="s">
        <v>105</v>
      </c>
      <c r="E35" s="17">
        <v>46293</v>
      </c>
      <c r="F35" s="3" t="s">
        <v>22</v>
      </c>
      <c r="G35" s="23" t="s">
        <v>144</v>
      </c>
      <c r="H35" s="23" t="s">
        <v>302</v>
      </c>
    </row>
    <row r="36" spans="1:8">
      <c r="A36" s="3" t="s">
        <v>109</v>
      </c>
      <c r="B36" s="3" t="str">
        <f t="shared" si="0"/>
        <v>Hagar</v>
      </c>
      <c r="C36" s="3" t="str">
        <f t="shared" si="1"/>
        <v>Abdelhameed</v>
      </c>
      <c r="D36" s="46" t="s">
        <v>121</v>
      </c>
      <c r="E36" s="17">
        <v>46295</v>
      </c>
      <c r="F36" s="3" t="s">
        <v>22</v>
      </c>
      <c r="G36" s="23" t="s">
        <v>144</v>
      </c>
      <c r="H36" s="23" t="s">
        <v>302</v>
      </c>
    </row>
    <row r="37" spans="1:8">
      <c r="A37" s="3" t="s">
        <v>122</v>
      </c>
      <c r="B37" s="3" t="str">
        <f t="shared" ref="B37:B38" si="2">PROPER(_xlfn.TEXTBEFORE(TRIM(A37), " ", 1))</f>
        <v>Basel</v>
      </c>
      <c r="C37" s="3" t="str">
        <f t="shared" ref="C37:C38" si="3">_xlfn.TEXTAFTER(TRIM(A37), " ", -1)</f>
        <v>Shalaby</v>
      </c>
      <c r="D37" s="134" t="s">
        <v>123</v>
      </c>
      <c r="E37" s="17">
        <v>46295</v>
      </c>
      <c r="F37" s="3" t="s">
        <v>22</v>
      </c>
      <c r="G37" s="23" t="s">
        <v>144</v>
      </c>
      <c r="H37" s="23" t="s">
        <v>302</v>
      </c>
    </row>
    <row r="38" spans="1:8">
      <c r="A38" s="3" t="s">
        <v>124</v>
      </c>
      <c r="B38" s="3" t="str">
        <f t="shared" si="2"/>
        <v>Hanin</v>
      </c>
      <c r="C38" s="3" t="str">
        <f t="shared" si="3"/>
        <v>Ahmed</v>
      </c>
      <c r="D38" s="134" t="s">
        <v>125</v>
      </c>
      <c r="E38" s="17">
        <v>46295</v>
      </c>
      <c r="F38" s="3" t="s">
        <v>22</v>
      </c>
      <c r="G38" s="23" t="s">
        <v>144</v>
      </c>
      <c r="H38" s="23" t="s">
        <v>302</v>
      </c>
    </row>
    <row r="39" spans="1:8">
      <c r="A39" s="149" t="s">
        <v>106</v>
      </c>
      <c r="B39" s="23" t="s">
        <v>218</v>
      </c>
      <c r="C39" s="23" t="s">
        <v>219</v>
      </c>
      <c r="D39" s="44" t="s">
        <v>107</v>
      </c>
      <c r="E39" s="88">
        <v>46296</v>
      </c>
      <c r="F39" s="23" t="s">
        <v>120</v>
      </c>
      <c r="G39" s="23" t="s">
        <v>144</v>
      </c>
      <c r="H39" s="23" t="s">
        <v>339</v>
      </c>
    </row>
    <row r="40" spans="1:8">
      <c r="A40" s="149" t="s">
        <v>126</v>
      </c>
      <c r="B40" s="3" t="str">
        <f t="shared" ref="B40:B49" si="4">PROPER(_xlfn.TEXTBEFORE(TRIM(A40), " ", 1))</f>
        <v>Mohamed</v>
      </c>
      <c r="C40" s="3" t="str">
        <f t="shared" ref="C40:C49" si="5">_xlfn.TEXTAFTER(TRIM(A40), " ", -1)</f>
        <v>Safwat</v>
      </c>
      <c r="D40" s="46" t="s">
        <v>340</v>
      </c>
      <c r="E40" s="17">
        <v>46301</v>
      </c>
      <c r="F40" s="7" t="s">
        <v>127</v>
      </c>
      <c r="G40" s="23" t="s">
        <v>144</v>
      </c>
      <c r="H40" s="23" t="s">
        <v>302</v>
      </c>
    </row>
    <row r="41" spans="1:8">
      <c r="A41" s="188" t="s">
        <v>128</v>
      </c>
      <c r="B41" s="187" t="str">
        <f t="shared" si="4"/>
        <v>Hesham</v>
      </c>
      <c r="C41" s="187" t="str">
        <f t="shared" si="5"/>
        <v>Mostafa</v>
      </c>
      <c r="D41" s="35"/>
      <c r="E41" s="17">
        <v>46301</v>
      </c>
      <c r="F41" s="150" t="s">
        <v>10</v>
      </c>
      <c r="G41" s="23" t="s">
        <v>341</v>
      </c>
      <c r="H41" s="23" t="s">
        <v>302</v>
      </c>
    </row>
    <row r="42" spans="1:8">
      <c r="A42" s="149" t="s">
        <v>129</v>
      </c>
      <c r="B42" s="3" t="str">
        <f t="shared" si="4"/>
        <v>Mohamed</v>
      </c>
      <c r="C42" s="3" t="str">
        <f t="shared" si="5"/>
        <v>Badr</v>
      </c>
      <c r="D42" s="46" t="s">
        <v>342</v>
      </c>
      <c r="E42" s="17">
        <v>46301</v>
      </c>
      <c r="F42" s="7" t="s">
        <v>66</v>
      </c>
      <c r="G42" s="23" t="s">
        <v>144</v>
      </c>
      <c r="H42" s="23" t="s">
        <v>302</v>
      </c>
    </row>
    <row r="43" spans="1:8">
      <c r="A43" s="149" t="s">
        <v>130</v>
      </c>
      <c r="B43" s="3" t="str">
        <f t="shared" si="4"/>
        <v>Merna</v>
      </c>
      <c r="C43" s="3" t="str">
        <f t="shared" si="5"/>
        <v>Ashraf</v>
      </c>
      <c r="D43" s="46" t="s">
        <v>343</v>
      </c>
      <c r="E43" s="17">
        <v>46301</v>
      </c>
      <c r="F43" s="7" t="s">
        <v>22</v>
      </c>
      <c r="G43" s="23" t="s">
        <v>144</v>
      </c>
      <c r="H43" s="23" t="s">
        <v>302</v>
      </c>
    </row>
    <row r="44" spans="1:8">
      <c r="A44" s="149" t="s">
        <v>131</v>
      </c>
      <c r="B44" s="3" t="str">
        <f t="shared" si="4"/>
        <v>Ziad</v>
      </c>
      <c r="C44" s="3" t="str">
        <f t="shared" si="5"/>
        <v>Eid</v>
      </c>
      <c r="D44" s="46" t="s">
        <v>344</v>
      </c>
      <c r="E44" s="17">
        <v>46301</v>
      </c>
      <c r="F44" s="150" t="s">
        <v>132</v>
      </c>
      <c r="G44" s="23" t="s">
        <v>144</v>
      </c>
      <c r="H44" s="23" t="s">
        <v>302</v>
      </c>
    </row>
    <row r="45" spans="1:8">
      <c r="A45" s="149" t="s">
        <v>133</v>
      </c>
      <c r="B45" s="3" t="str">
        <f t="shared" si="4"/>
        <v>Kyrillos</v>
      </c>
      <c r="C45" s="3" t="str">
        <f t="shared" si="5"/>
        <v>Wagdy</v>
      </c>
      <c r="D45" s="46" t="s">
        <v>345</v>
      </c>
      <c r="E45" s="17">
        <v>46301</v>
      </c>
      <c r="F45" s="7" t="s">
        <v>22</v>
      </c>
      <c r="G45" s="23" t="s">
        <v>144</v>
      </c>
      <c r="H45" s="23" t="s">
        <v>302</v>
      </c>
    </row>
    <row r="46" spans="1:8">
      <c r="A46" s="149" t="s">
        <v>134</v>
      </c>
      <c r="B46" s="3" t="str">
        <f t="shared" si="4"/>
        <v>Mahmoud</v>
      </c>
      <c r="C46" s="3" t="str">
        <f t="shared" si="5"/>
        <v>Salah</v>
      </c>
      <c r="D46" s="46" t="s">
        <v>346</v>
      </c>
      <c r="E46" s="17">
        <v>46301</v>
      </c>
      <c r="F46" s="7" t="s">
        <v>22</v>
      </c>
      <c r="G46" s="181" t="s">
        <v>144</v>
      </c>
      <c r="H46" s="23" t="s">
        <v>302</v>
      </c>
    </row>
    <row r="47" spans="1:8">
      <c r="A47" s="149" t="s">
        <v>135</v>
      </c>
      <c r="B47" s="3" t="str">
        <f t="shared" si="4"/>
        <v>Nada</v>
      </c>
      <c r="C47" s="3" t="str">
        <f t="shared" si="5"/>
        <v>Gamal</v>
      </c>
      <c r="D47" s="46" t="s">
        <v>347</v>
      </c>
      <c r="E47" s="17">
        <v>46301</v>
      </c>
      <c r="F47" s="7" t="s">
        <v>22</v>
      </c>
      <c r="G47" s="181" t="s">
        <v>144</v>
      </c>
      <c r="H47" s="23" t="s">
        <v>302</v>
      </c>
    </row>
    <row r="48" spans="1:8">
      <c r="A48" s="188" t="s">
        <v>136</v>
      </c>
      <c r="B48" s="187" t="str">
        <f t="shared" si="4"/>
        <v>Ahmed</v>
      </c>
      <c r="C48" s="187" t="str">
        <f t="shared" si="5"/>
        <v>Mansour</v>
      </c>
      <c r="D48" s="35"/>
      <c r="E48" s="17">
        <v>46301</v>
      </c>
      <c r="F48" s="7" t="s">
        <v>22</v>
      </c>
      <c r="G48" s="23" t="s">
        <v>341</v>
      </c>
      <c r="H48" s="23" t="s">
        <v>302</v>
      </c>
    </row>
    <row r="49" spans="1:8">
      <c r="A49" s="187" t="s">
        <v>137</v>
      </c>
      <c r="B49" s="187" t="str">
        <f t="shared" si="4"/>
        <v>Nada</v>
      </c>
      <c r="C49" s="187" t="str">
        <f t="shared" si="5"/>
        <v>Noeman</v>
      </c>
      <c r="D49" s="35"/>
      <c r="E49" s="17">
        <v>46302</v>
      </c>
      <c r="F49" s="3" t="s">
        <v>22</v>
      </c>
      <c r="G49" s="23" t="s">
        <v>341</v>
      </c>
      <c r="H49" s="23" t="s">
        <v>302</v>
      </c>
    </row>
  </sheetData>
  <conditionalFormatting sqref="F40">
    <cfRule type="cellIs" dxfId="59" priority="55" operator="equal">
      <formula>"Off"</formula>
    </cfRule>
    <cfRule type="cellIs" dxfId="58" priority="56" operator="equal">
      <formula>"Emergency"</formula>
    </cfRule>
    <cfRule type="cellIs" dxfId="57" priority="57" operator="equal">
      <formula>"NCNS"</formula>
    </cfRule>
    <cfRule type="cellIs" dxfId="56" priority="58" operator="equal">
      <formula>"Sick"</formula>
    </cfRule>
    <cfRule type="cellIs" dxfId="55" priority="59" operator="equal">
      <formula>"Annual"</formula>
    </cfRule>
    <cfRule type="cellIs" dxfId="54" priority="60" operator="equal">
      <formula>"Attended"</formula>
    </cfRule>
  </conditionalFormatting>
  <conditionalFormatting sqref="F43">
    <cfRule type="cellIs" dxfId="53" priority="49" operator="equal">
      <formula>"Off"</formula>
    </cfRule>
    <cfRule type="cellIs" dxfId="52" priority="50" operator="equal">
      <formula>"Emergency"</formula>
    </cfRule>
    <cfRule type="cellIs" dxfId="51" priority="51" operator="equal">
      <formula>"NCNS"</formula>
    </cfRule>
    <cfRule type="cellIs" dxfId="50" priority="52" operator="equal">
      <formula>"Sick"</formula>
    </cfRule>
    <cfRule type="cellIs" dxfId="49" priority="53" operator="equal">
      <formula>"Annual"</formula>
    </cfRule>
    <cfRule type="cellIs" dxfId="48" priority="54" operator="equal">
      <formula>"Attended"</formula>
    </cfRule>
  </conditionalFormatting>
  <conditionalFormatting sqref="F45:F48">
    <cfRule type="cellIs" dxfId="47" priority="43" operator="equal">
      <formula>"Off"</formula>
    </cfRule>
    <cfRule type="cellIs" dxfId="46" priority="44" operator="equal">
      <formula>"Emergency"</formula>
    </cfRule>
    <cfRule type="cellIs" dxfId="45" priority="45" operator="equal">
      <formula>"NCNS"</formula>
    </cfRule>
    <cfRule type="cellIs" dxfId="44" priority="46" operator="equal">
      <formula>"Sick"</formula>
    </cfRule>
    <cfRule type="cellIs" dxfId="43" priority="47" operator="equal">
      <formula>"Annual"</formula>
    </cfRule>
    <cfRule type="cellIs" dxfId="42" priority="48" operator="equal">
      <formula>"Attended"</formula>
    </cfRule>
  </conditionalFormatting>
  <conditionalFormatting sqref="E40:E48">
    <cfRule type="cellIs" dxfId="41" priority="37" operator="equal">
      <formula>"Off"</formula>
    </cfRule>
    <cfRule type="cellIs" dxfId="40" priority="38" operator="equal">
      <formula>"Emergency"</formula>
    </cfRule>
    <cfRule type="cellIs" dxfId="39" priority="39" operator="equal">
      <formula>"NCNS"</formula>
    </cfRule>
    <cfRule type="cellIs" dxfId="38" priority="40" operator="equal">
      <formula>"Sick"</formula>
    </cfRule>
    <cfRule type="cellIs" dxfId="37" priority="41" operator="equal">
      <formula>"Annual"</formula>
    </cfRule>
    <cfRule type="cellIs" dxfId="36" priority="42" operator="equal">
      <formula>"Attended"</formula>
    </cfRule>
  </conditionalFormatting>
  <conditionalFormatting sqref="F57">
    <cfRule type="cellIs" dxfId="35" priority="31" operator="equal">
      <formula>"Off"</formula>
    </cfRule>
    <cfRule type="cellIs" dxfId="34" priority="32" operator="equal">
      <formula>"Emergency"</formula>
    </cfRule>
    <cfRule type="cellIs" dxfId="33" priority="33" operator="equal">
      <formula>"NCNS"</formula>
    </cfRule>
    <cfRule type="cellIs" dxfId="32" priority="34" operator="equal">
      <formula>"Sick"</formula>
    </cfRule>
    <cfRule type="cellIs" dxfId="31" priority="35" operator="equal">
      <formula>"Annual"</formula>
    </cfRule>
    <cfRule type="cellIs" dxfId="30" priority="36" operator="equal">
      <formula>"Attended"</formula>
    </cfRule>
  </conditionalFormatting>
  <conditionalFormatting sqref="F60">
    <cfRule type="cellIs" dxfId="29" priority="25" operator="equal">
      <formula>"Off"</formula>
    </cfRule>
    <cfRule type="cellIs" dxfId="28" priority="26" operator="equal">
      <formula>"Emergency"</formula>
    </cfRule>
    <cfRule type="cellIs" dxfId="27" priority="27" operator="equal">
      <formula>"NCNS"</formula>
    </cfRule>
    <cfRule type="cellIs" dxfId="26" priority="28" operator="equal">
      <formula>"Sick"</formula>
    </cfRule>
    <cfRule type="cellIs" dxfId="25" priority="29" operator="equal">
      <formula>"Annual"</formula>
    </cfRule>
    <cfRule type="cellIs" dxfId="24" priority="30" operator="equal">
      <formula>"Attended"</formula>
    </cfRule>
  </conditionalFormatting>
  <conditionalFormatting sqref="F62:F65">
    <cfRule type="cellIs" dxfId="23" priority="19" operator="equal">
      <formula>"Off"</formula>
    </cfRule>
    <cfRule type="cellIs" dxfId="22" priority="20" operator="equal">
      <formula>"Emergency"</formula>
    </cfRule>
    <cfRule type="cellIs" dxfId="21" priority="21" operator="equal">
      <formula>"NCNS"</formula>
    </cfRule>
    <cfRule type="cellIs" dxfId="20" priority="22" operator="equal">
      <formula>"Sick"</formula>
    </cfRule>
    <cfRule type="cellIs" dxfId="19" priority="23" operator="equal">
      <formula>"Annual"</formula>
    </cfRule>
    <cfRule type="cellIs" dxfId="18" priority="24" operator="equal">
      <formula>"Attended"</formula>
    </cfRule>
  </conditionalFormatting>
  <conditionalFormatting sqref="E57:E65">
    <cfRule type="cellIs" dxfId="17" priority="13" operator="equal">
      <formula>"Off"</formula>
    </cfRule>
    <cfRule type="cellIs" dxfId="16" priority="14" operator="equal">
      <formula>"Emergency"</formula>
    </cfRule>
    <cfRule type="cellIs" dxfId="15" priority="15" operator="equal">
      <formula>"NCNS"</formula>
    </cfRule>
    <cfRule type="cellIs" dxfId="14" priority="16" operator="equal">
      <formula>"Sick"</formula>
    </cfRule>
    <cfRule type="cellIs" dxfId="13" priority="17" operator="equal">
      <formula>"Annual"</formula>
    </cfRule>
    <cfRule type="cellIs" dxfId="12" priority="18" operator="equal">
      <formula>"Attended"</formula>
    </cfRule>
  </conditionalFormatting>
  <conditionalFormatting sqref="F49">
    <cfRule type="cellIs" dxfId="11" priority="7" operator="equal">
      <formula>"Off"</formula>
    </cfRule>
    <cfRule type="cellIs" dxfId="10" priority="8" operator="equal">
      <formula>"Emergency"</formula>
    </cfRule>
    <cfRule type="cellIs" dxfId="9" priority="9" operator="equal">
      <formula>"NCNS"</formula>
    </cfRule>
    <cfRule type="cellIs" dxfId="8" priority="10" operator="equal">
      <formula>"Sick"</formula>
    </cfRule>
    <cfRule type="cellIs" dxfId="7" priority="11" operator="equal">
      <formula>"Annual"</formula>
    </cfRule>
    <cfRule type="cellIs" dxfId="6" priority="12" operator="equal">
      <formula>"Attended"</formula>
    </cfRule>
  </conditionalFormatting>
  <conditionalFormatting sqref="E49">
    <cfRule type="cellIs" dxfId="5" priority="1" operator="equal">
      <formula>"Off"</formula>
    </cfRule>
    <cfRule type="cellIs" dxfId="4" priority="2" operator="equal">
      <formula>"Emergency"</formula>
    </cfRule>
    <cfRule type="cellIs" dxfId="3" priority="3" operator="equal">
      <formula>"NCNS"</formula>
    </cfRule>
    <cfRule type="cellIs" dxfId="2" priority="4" operator="equal">
      <formula>"Sick"</formula>
    </cfRule>
    <cfRule type="cellIs" dxfId="1" priority="5" operator="equal">
      <formula>"Annual"</formula>
    </cfRule>
    <cfRule type="cellIs" dxfId="0" priority="6" operator="equal">
      <formula>"Attended"</formula>
    </cfRule>
  </conditionalFormatting>
  <hyperlinks>
    <hyperlink ref="D2" r:id="rId1" xr:uid="{F233C68E-7BAC-4CBE-90B9-37E2E104B059}"/>
    <hyperlink ref="D3" r:id="rId2" xr:uid="{31752C56-226F-4D80-A666-8690EB795526}"/>
    <hyperlink ref="D4" r:id="rId3" xr:uid="{D30DA1C5-0538-4F17-B45C-287B8F4DF930}"/>
    <hyperlink ref="D5" r:id="rId4" xr:uid="{87A8D926-9B0B-4368-A5EE-E6AA20028B18}"/>
    <hyperlink ref="D6" r:id="rId5" xr:uid="{A41A717D-8486-4A1E-9941-4F606C5E8159}"/>
    <hyperlink ref="D7" r:id="rId6" xr:uid="{EC1B84FE-0375-40AE-8690-A1578804EFC7}"/>
    <hyperlink ref="D8" r:id="rId7" xr:uid="{DD0A820B-F2F6-42BB-855F-F049912000FC}"/>
    <hyperlink ref="D9" r:id="rId8" xr:uid="{6ACAF9AB-F9A1-4897-AE92-A9248D7CC903}"/>
    <hyperlink ref="D10" r:id="rId9" xr:uid="{1536433D-51A5-456A-B974-70D3C5F995E4}"/>
    <hyperlink ref="A13" r:id="rId10" xr:uid="{221093C2-13E2-4FF8-BA00-C0619EB9F2C4}"/>
    <hyperlink ref="D13" r:id="rId11" xr:uid="{0CC358B0-4A03-4C20-BD08-05ED7873B6A0}"/>
    <hyperlink ref="A15" r:id="rId12" xr:uid="{B34E4604-055D-45EE-8646-AFB418DFC035}"/>
    <hyperlink ref="D15" r:id="rId13" xr:uid="{39BA7AAC-994A-49F7-B9CA-97276B464FED}"/>
    <hyperlink ref="D16" r:id="rId14" xr:uid="{4BF7AAD8-F3A8-4C98-86DB-37DE4A19572D}"/>
    <hyperlink ref="D17" r:id="rId15" xr:uid="{4F9DE7FB-1E02-42EE-B76E-C98BAAD5B3FA}"/>
    <hyperlink ref="D18" r:id="rId16" xr:uid="{8874AE78-3CBB-40F0-824C-4B26B7FB6E20}"/>
    <hyperlink ref="D19" r:id="rId17" xr:uid="{6951F083-A5E3-49BB-9458-F8B6EDF8E834}"/>
    <hyperlink ref="D20" r:id="rId18" xr:uid="{83BB3211-91A6-4F84-9F74-A6D880B99861}"/>
    <hyperlink ref="D21" r:id="rId19" xr:uid="{9DB0E876-CDEA-4A2C-AD73-58C42A4F1B4E}"/>
    <hyperlink ref="D22" r:id="rId20" xr:uid="{00955642-5C4C-49E3-B857-FEDF71227C08}"/>
    <hyperlink ref="D23" r:id="rId21" xr:uid="{F4D7CCF3-E79D-4FED-82D8-70D3C339CF1F}"/>
    <hyperlink ref="D24" r:id="rId22" xr:uid="{5A78468B-5A77-4D8C-A32B-D1DF37E1FF41}"/>
    <hyperlink ref="D25" r:id="rId23" xr:uid="{4C0745C7-3D28-45D0-AAAF-B4969ED650F7}"/>
    <hyperlink ref="D26" r:id="rId24" xr:uid="{F1745FDE-250C-43A4-9520-F9EE287494D8}"/>
    <hyperlink ref="D27" r:id="rId25" xr:uid="{B0FCE2BA-A0F3-412E-95DB-BDC090BFC36F}"/>
    <hyperlink ref="D28" r:id="rId26" xr:uid="{E2C5B6C8-E6C0-4607-BCA4-5303D2450D94}"/>
    <hyperlink ref="D39" r:id="rId27" xr:uid="{84CBF191-AEEB-4374-B95D-D3CB5383EBE9}"/>
    <hyperlink ref="D34" r:id="rId28" xr:uid="{0B3DCE0C-643C-457A-9D31-845D42A009F0}"/>
    <hyperlink ref="D30" r:id="rId29" xr:uid="{4A3078DD-0BE9-4763-A97B-CDF95045FA78}"/>
    <hyperlink ref="D32" r:id="rId30" xr:uid="{E3A2AF24-D973-4528-924D-F644FE75FD91}"/>
    <hyperlink ref="D29" r:id="rId31" xr:uid="{E46FDA5E-1910-4E78-92B2-0ACEB1E6F242}"/>
    <hyperlink ref="D31" r:id="rId32" xr:uid="{3C40E43D-A4F5-4861-A381-F2177082A039}"/>
    <hyperlink ref="D35" r:id="rId33" xr:uid="{5636FFD7-18B0-4961-94C8-C39C2B7BCBB0}"/>
    <hyperlink ref="D33" r:id="rId34" xr:uid="{D5E196D0-B60D-44DF-B98F-8018E7CD781E}"/>
    <hyperlink ref="D52" r:id="rId35" xr:uid="{5B19AE40-AF69-4A78-B9B8-157785C332E3}"/>
    <hyperlink ref="D50" r:id="rId36" xr:uid="{66057A3F-FD9E-413E-9A91-1C570C8775D1}"/>
    <hyperlink ref="D53" r:id="rId37" xr:uid="{FB3F0772-1051-4037-A293-9AF3BB9C1922}"/>
    <hyperlink ref="D51" r:id="rId38" xr:uid="{A7BABFFD-FF0B-48B2-AA2D-6333188E2E99}"/>
    <hyperlink ref="D37" r:id="rId39" xr:uid="{81F98480-226A-4399-A129-13D4FA4E5ABD}"/>
    <hyperlink ref="D38" r:id="rId40" xr:uid="{7F28D2C0-D1DC-42BF-B12E-0166FECA429A}"/>
    <hyperlink ref="D36" r:id="rId41" xr:uid="{3E17540D-3BFA-46B3-AAEC-CC4FD4832C7E}"/>
    <hyperlink ref="D45" r:id="rId42" xr:uid="{47075D67-338F-406A-92EB-74A3969558A5}"/>
    <hyperlink ref="D44" r:id="rId43" xr:uid="{A62CF09C-AA43-4090-8B73-E45025E85102}"/>
    <hyperlink ref="D46" r:id="rId44" xr:uid="{D277394A-60EA-4A13-830E-44F62BB2542B}"/>
    <hyperlink ref="D43" r:id="rId45" xr:uid="{66CBEC4E-C532-434F-B589-5E3660F743A2}"/>
    <hyperlink ref="D40" r:id="rId46" xr:uid="{2A4B9D0C-08A8-4E56-8C66-3E929D378847}"/>
    <hyperlink ref="D42" r:id="rId47" xr:uid="{B4F71F1A-814E-4188-A6C5-41673BDC8866}"/>
    <hyperlink ref="D47" r:id="rId48" xr:uid="{3625E1ED-8B24-4D6B-BFB8-7E9ACA6A334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9622-A3FA-4E85-96FC-DCC8BDB275A5}">
  <dimension ref="A1:E47"/>
  <sheetViews>
    <sheetView topLeftCell="A23" workbookViewId="0">
      <selection activeCell="F34" sqref="F34"/>
    </sheetView>
  </sheetViews>
  <sheetFormatPr defaultRowHeight="15"/>
  <cols>
    <col min="1" max="1" width="25.7109375" customWidth="1"/>
    <col min="2" max="2" width="10.140625" style="109" customWidth="1"/>
    <col min="3" max="3" width="20.42578125" customWidth="1"/>
    <col min="4" max="4" width="17.5703125" customWidth="1"/>
    <col min="5" max="5" width="44.28515625" customWidth="1"/>
  </cols>
  <sheetData>
    <row r="1" spans="1:5">
      <c r="A1" s="120" t="s">
        <v>1</v>
      </c>
      <c r="B1" s="119" t="s">
        <v>255</v>
      </c>
      <c r="C1" s="121" t="s">
        <v>285</v>
      </c>
      <c r="D1" s="99" t="s">
        <v>348</v>
      </c>
      <c r="E1" s="100" t="s">
        <v>349</v>
      </c>
    </row>
    <row r="2" spans="1:5">
      <c r="A2" s="101" t="s">
        <v>20</v>
      </c>
      <c r="B2" s="122">
        <v>1</v>
      </c>
      <c r="C2" s="114" t="s">
        <v>286</v>
      </c>
      <c r="D2" s="104" t="s">
        <v>350</v>
      </c>
      <c r="E2" s="92" t="s">
        <v>351</v>
      </c>
    </row>
    <row r="3" spans="1:5">
      <c r="A3" s="97" t="s">
        <v>23</v>
      </c>
      <c r="B3" s="5">
        <v>1</v>
      </c>
      <c r="C3" s="115" t="s">
        <v>286</v>
      </c>
      <c r="D3" s="104" t="s">
        <v>350</v>
      </c>
      <c r="E3" s="92" t="s">
        <v>352</v>
      </c>
    </row>
    <row r="4" spans="1:5">
      <c r="A4" s="97" t="s">
        <v>26</v>
      </c>
      <c r="B4" s="5">
        <v>1</v>
      </c>
      <c r="C4" s="115" t="s">
        <v>286</v>
      </c>
      <c r="D4" s="104" t="s">
        <v>350</v>
      </c>
      <c r="E4" s="92" t="s">
        <v>353</v>
      </c>
    </row>
    <row r="5" spans="1:5">
      <c r="A5" s="97" t="s">
        <v>29</v>
      </c>
      <c r="B5" s="5">
        <v>1</v>
      </c>
      <c r="C5" s="115" t="s">
        <v>286</v>
      </c>
      <c r="D5" s="104" t="s">
        <v>354</v>
      </c>
      <c r="E5" s="92" t="s">
        <v>355</v>
      </c>
    </row>
    <row r="6" spans="1:5">
      <c r="A6" s="97" t="s">
        <v>32</v>
      </c>
      <c r="B6" s="5">
        <v>1</v>
      </c>
      <c r="C6" s="115" t="s">
        <v>286</v>
      </c>
      <c r="D6" s="104" t="s">
        <v>350</v>
      </c>
      <c r="E6" s="92" t="s">
        <v>356</v>
      </c>
    </row>
    <row r="7" spans="1:5">
      <c r="A7" s="97" t="s">
        <v>35</v>
      </c>
      <c r="B7" s="5">
        <v>1</v>
      </c>
      <c r="C7" s="115" t="s">
        <v>286</v>
      </c>
      <c r="D7" s="103" t="s">
        <v>213</v>
      </c>
      <c r="E7" s="96" t="s">
        <v>357</v>
      </c>
    </row>
    <row r="8" spans="1:5">
      <c r="A8" s="97" t="s">
        <v>39</v>
      </c>
      <c r="B8" s="5">
        <v>1</v>
      </c>
      <c r="C8" s="115" t="s">
        <v>286</v>
      </c>
      <c r="D8" s="106" t="s">
        <v>358</v>
      </c>
      <c r="E8" s="92" t="s">
        <v>359</v>
      </c>
    </row>
    <row r="9" spans="1:5">
      <c r="A9" s="97" t="s">
        <v>42</v>
      </c>
      <c r="B9" s="5">
        <v>1</v>
      </c>
      <c r="C9" s="115" t="s">
        <v>286</v>
      </c>
      <c r="D9" s="104" t="s">
        <v>350</v>
      </c>
      <c r="E9" s="92" t="s">
        <v>360</v>
      </c>
    </row>
    <row r="10" spans="1:5" ht="29.25">
      <c r="A10" s="97" t="s">
        <v>47</v>
      </c>
      <c r="B10" s="5">
        <v>1</v>
      </c>
      <c r="C10" s="115" t="s">
        <v>286</v>
      </c>
      <c r="D10" s="104" t="s">
        <v>350</v>
      </c>
      <c r="E10" s="112" t="s">
        <v>361</v>
      </c>
    </row>
    <row r="11" spans="1:5">
      <c r="A11" s="97" t="s">
        <v>52</v>
      </c>
      <c r="B11" s="5">
        <v>1</v>
      </c>
      <c r="C11" s="115" t="s">
        <v>286</v>
      </c>
      <c r="D11" t="s">
        <v>362</v>
      </c>
      <c r="E11" s="92" t="s">
        <v>363</v>
      </c>
    </row>
    <row r="12" spans="1:5">
      <c r="A12" s="97" t="s">
        <v>56</v>
      </c>
      <c r="B12" s="5">
        <v>1</v>
      </c>
      <c r="C12" s="115" t="s">
        <v>286</v>
      </c>
      <c r="E12" s="93"/>
    </row>
    <row r="13" spans="1:5">
      <c r="A13" s="97" t="s">
        <v>61</v>
      </c>
      <c r="B13" s="5">
        <v>1</v>
      </c>
      <c r="C13" s="115" t="s">
        <v>286</v>
      </c>
      <c r="E13" s="93"/>
    </row>
    <row r="14" spans="1:5">
      <c r="A14" s="97" t="s">
        <v>64</v>
      </c>
      <c r="B14" s="5">
        <v>1</v>
      </c>
      <c r="C14" s="115" t="s">
        <v>286</v>
      </c>
      <c r="E14" s="93"/>
    </row>
    <row r="15" spans="1:5">
      <c r="A15" s="97" t="s">
        <v>67</v>
      </c>
      <c r="B15" s="5">
        <v>1</v>
      </c>
      <c r="C15" s="115" t="s">
        <v>286</v>
      </c>
      <c r="E15" s="93"/>
    </row>
    <row r="16" spans="1:5">
      <c r="A16" s="97" t="s">
        <v>70</v>
      </c>
      <c r="B16" s="5">
        <v>1</v>
      </c>
      <c r="C16" s="115" t="s">
        <v>286</v>
      </c>
      <c r="E16" s="93"/>
    </row>
    <row r="17" spans="1:5">
      <c r="A17" s="97" t="s">
        <v>72</v>
      </c>
      <c r="B17" s="5">
        <v>1</v>
      </c>
      <c r="C17" s="115" t="s">
        <v>286</v>
      </c>
      <c r="E17" s="93"/>
    </row>
    <row r="18" spans="1:5">
      <c r="A18" s="97" t="s">
        <v>75</v>
      </c>
      <c r="B18" s="5">
        <v>1</v>
      </c>
      <c r="C18" s="115" t="s">
        <v>286</v>
      </c>
      <c r="E18" s="93"/>
    </row>
    <row r="19" spans="1:5">
      <c r="A19" s="97" t="s">
        <v>78</v>
      </c>
      <c r="B19" s="5">
        <v>1</v>
      </c>
      <c r="C19" s="115" t="s">
        <v>286</v>
      </c>
      <c r="E19" s="93"/>
    </row>
    <row r="20" spans="1:5">
      <c r="A20" s="97" t="s">
        <v>80</v>
      </c>
      <c r="B20" s="5">
        <v>1</v>
      </c>
      <c r="C20" s="115" t="s">
        <v>286</v>
      </c>
      <c r="E20" s="93"/>
    </row>
    <row r="21" spans="1:5">
      <c r="A21" s="97" t="s">
        <v>82</v>
      </c>
      <c r="B21" s="5">
        <v>1</v>
      </c>
      <c r="C21" s="115" t="s">
        <v>286</v>
      </c>
      <c r="E21" s="93"/>
    </row>
    <row r="22" spans="1:5">
      <c r="A22" s="97" t="s">
        <v>84</v>
      </c>
      <c r="B22" s="5">
        <v>1</v>
      </c>
      <c r="C22" s="115" t="s">
        <v>286</v>
      </c>
      <c r="E22" s="93"/>
    </row>
    <row r="23" spans="1:5">
      <c r="A23" s="97" t="s">
        <v>86</v>
      </c>
      <c r="B23" s="5">
        <v>1</v>
      </c>
      <c r="C23" s="115" t="s">
        <v>286</v>
      </c>
      <c r="E23" s="93"/>
    </row>
    <row r="24" spans="1:5">
      <c r="A24" s="97" t="s">
        <v>88</v>
      </c>
      <c r="B24" s="5">
        <v>1</v>
      </c>
      <c r="C24" s="115" t="s">
        <v>286</v>
      </c>
      <c r="E24" s="93"/>
    </row>
    <row r="25" spans="1:5">
      <c r="A25" s="98" t="s">
        <v>90</v>
      </c>
      <c r="B25" s="5">
        <v>1</v>
      </c>
      <c r="C25" s="116" t="s">
        <v>286</v>
      </c>
      <c r="E25" s="93"/>
    </row>
    <row r="26" spans="1:5">
      <c r="A26" s="178" t="s">
        <v>106</v>
      </c>
      <c r="B26" s="5">
        <v>1</v>
      </c>
      <c r="C26" s="117" t="s">
        <v>364</v>
      </c>
      <c r="D26" s="94" t="s">
        <v>365</v>
      </c>
      <c r="E26" s="95" t="s">
        <v>366</v>
      </c>
    </row>
    <row r="27" spans="1:5">
      <c r="A27" s="113" t="s">
        <v>94</v>
      </c>
      <c r="B27" s="5">
        <v>2</v>
      </c>
      <c r="C27" s="118" t="s">
        <v>364</v>
      </c>
      <c r="D27" s="110" t="s">
        <v>367</v>
      </c>
      <c r="E27" s="96" t="s">
        <v>368</v>
      </c>
    </row>
    <row r="28" spans="1:5">
      <c r="A28" s="113" t="s">
        <v>96</v>
      </c>
      <c r="B28" s="5">
        <v>2</v>
      </c>
      <c r="C28" s="118" t="s">
        <v>364</v>
      </c>
      <c r="D28" s="110" t="s">
        <v>367</v>
      </c>
      <c r="E28" s="92" t="s">
        <v>287</v>
      </c>
    </row>
    <row r="29" spans="1:5">
      <c r="A29" s="113" t="s">
        <v>98</v>
      </c>
      <c r="B29" s="5">
        <v>2</v>
      </c>
      <c r="C29" s="118" t="s">
        <v>364</v>
      </c>
      <c r="D29" s="111" t="s">
        <v>367</v>
      </c>
      <c r="E29" s="102" t="s">
        <v>356</v>
      </c>
    </row>
    <row r="30" spans="1:5">
      <c r="A30" s="113" t="s">
        <v>118</v>
      </c>
      <c r="B30" s="5">
        <v>2</v>
      </c>
      <c r="C30" s="118" t="s">
        <v>364</v>
      </c>
      <c r="D30" s="106" t="s">
        <v>358</v>
      </c>
      <c r="E30" s="92" t="s">
        <v>359</v>
      </c>
    </row>
    <row r="31" spans="1:5">
      <c r="A31" s="113" t="s">
        <v>102</v>
      </c>
      <c r="B31" s="5">
        <v>2</v>
      </c>
      <c r="C31" s="118" t="s">
        <v>364</v>
      </c>
      <c r="E31" s="92" t="s">
        <v>352</v>
      </c>
    </row>
    <row r="32" spans="1:5">
      <c r="A32" s="113" t="s">
        <v>104</v>
      </c>
      <c r="B32" s="5">
        <v>2</v>
      </c>
      <c r="C32" s="154" t="s">
        <v>364</v>
      </c>
      <c r="E32" s="110" t="s">
        <v>369</v>
      </c>
    </row>
    <row r="33" spans="1:5">
      <c r="A33" s="107" t="s">
        <v>92</v>
      </c>
      <c r="B33" s="5">
        <v>2</v>
      </c>
      <c r="C33" s="154" t="s">
        <v>364</v>
      </c>
    </row>
    <row r="34" spans="1:5">
      <c r="A34" s="113" t="s">
        <v>109</v>
      </c>
      <c r="B34" s="5">
        <v>2</v>
      </c>
      <c r="C34" s="154" t="s">
        <v>364</v>
      </c>
    </row>
    <row r="35" spans="1:5">
      <c r="A35" s="113" t="s">
        <v>112</v>
      </c>
      <c r="B35" s="5">
        <v>2</v>
      </c>
      <c r="C35" s="154" t="s">
        <v>364</v>
      </c>
    </row>
    <row r="36" spans="1:5">
      <c r="A36" s="113" t="s">
        <v>114</v>
      </c>
      <c r="B36" s="5">
        <v>2</v>
      </c>
      <c r="C36" s="154" t="s">
        <v>364</v>
      </c>
    </row>
    <row r="37" spans="1:5">
      <c r="A37" s="108" t="s">
        <v>370</v>
      </c>
      <c r="B37" s="5"/>
      <c r="C37" s="155" t="s">
        <v>364</v>
      </c>
      <c r="D37" s="105" t="s">
        <v>183</v>
      </c>
      <c r="E37" s="110" t="s">
        <v>371</v>
      </c>
    </row>
    <row r="38" spans="1:5">
      <c r="A38" s="146" t="s">
        <v>126</v>
      </c>
      <c r="B38" s="5">
        <v>3</v>
      </c>
      <c r="C38" s="155" t="s">
        <v>364</v>
      </c>
    </row>
    <row r="39" spans="1:5">
      <c r="A39" s="146" t="s">
        <v>128</v>
      </c>
      <c r="B39" s="5">
        <v>3</v>
      </c>
      <c r="C39" s="155" t="s">
        <v>364</v>
      </c>
    </row>
    <row r="40" spans="1:5">
      <c r="A40" s="146" t="s">
        <v>129</v>
      </c>
      <c r="B40" s="5">
        <v>3</v>
      </c>
      <c r="C40" s="155" t="s">
        <v>364</v>
      </c>
    </row>
    <row r="41" spans="1:5">
      <c r="A41" s="146" t="s">
        <v>130</v>
      </c>
      <c r="B41" s="5">
        <v>3</v>
      </c>
      <c r="C41" s="155" t="s">
        <v>364</v>
      </c>
    </row>
    <row r="42" spans="1:5">
      <c r="A42" s="146" t="s">
        <v>131</v>
      </c>
      <c r="B42" s="5">
        <v>3</v>
      </c>
      <c r="C42" s="155" t="s">
        <v>364</v>
      </c>
    </row>
    <row r="43" spans="1:5">
      <c r="A43" s="146" t="s">
        <v>133</v>
      </c>
      <c r="B43" s="5">
        <v>3</v>
      </c>
      <c r="C43" s="155" t="s">
        <v>364</v>
      </c>
      <c r="D43" s="151"/>
      <c r="E43" s="93"/>
    </row>
    <row r="44" spans="1:5">
      <c r="A44" s="146" t="s">
        <v>134</v>
      </c>
      <c r="B44" s="5">
        <v>3</v>
      </c>
      <c r="C44" s="155" t="s">
        <v>364</v>
      </c>
      <c r="D44" s="176"/>
      <c r="E44" s="177"/>
    </row>
    <row r="45" spans="1:5">
      <c r="A45" s="146" t="s">
        <v>135</v>
      </c>
      <c r="B45" s="5">
        <v>3</v>
      </c>
      <c r="C45" s="155" t="s">
        <v>364</v>
      </c>
      <c r="D45" s="151"/>
      <c r="E45" s="93"/>
    </row>
    <row r="46" spans="1:5">
      <c r="A46" s="146" t="s">
        <v>136</v>
      </c>
      <c r="B46" s="5">
        <v>3</v>
      </c>
      <c r="C46" s="155" t="s">
        <v>364</v>
      </c>
      <c r="D46" s="152"/>
      <c r="E46" s="153"/>
    </row>
    <row r="47" spans="1:5">
      <c r="A47" s="175" t="s">
        <v>137</v>
      </c>
      <c r="B47" s="3">
        <v>3</v>
      </c>
      <c r="C47" s="155" t="s">
        <v>364</v>
      </c>
      <c r="D47" s="152"/>
      <c r="E47" s="153"/>
    </row>
  </sheetData>
  <hyperlinks>
    <hyperlink ref="A12" r:id="rId1" display="alaa.madkour@capgemini.com" xr:uid="{870DDFC0-35FA-48E1-A868-EC5F74F06869}"/>
    <hyperlink ref="A10" r:id="rId2" display="mohamed.abdelgawad@capgemini.com" xr:uid="{0736376F-062E-438D-849A-A5712565C41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92C2-7A11-4726-9D24-63F27A850D94}">
  <dimension ref="A1:H25"/>
  <sheetViews>
    <sheetView topLeftCell="A15" workbookViewId="0">
      <selection activeCell="H3" sqref="H3"/>
    </sheetView>
  </sheetViews>
  <sheetFormatPr defaultRowHeight="15"/>
  <cols>
    <col min="1" max="1" width="3.7109375" customWidth="1"/>
    <col min="2" max="2" width="25.5703125" customWidth="1"/>
    <col min="3" max="3" width="13.7109375" customWidth="1"/>
    <col min="4" max="4" width="16.140625" customWidth="1"/>
    <col min="5" max="5" width="44.42578125" customWidth="1"/>
    <col min="6" max="6" width="12.28515625" bestFit="1" customWidth="1"/>
    <col min="7" max="7" width="10.140625" bestFit="1" customWidth="1"/>
    <col min="8" max="8" width="18" bestFit="1" customWidth="1"/>
  </cols>
  <sheetData>
    <row r="1" spans="1:8" ht="24" customHeight="1">
      <c r="A1" s="207" t="s">
        <v>372</v>
      </c>
      <c r="B1" s="207"/>
      <c r="C1" s="207"/>
      <c r="D1" s="207"/>
      <c r="E1" s="207"/>
      <c r="F1" s="207"/>
      <c r="G1" s="207"/>
      <c r="H1" s="207"/>
    </row>
    <row r="2" spans="1:8">
      <c r="A2" s="136" t="s">
        <v>373</v>
      </c>
      <c r="B2" s="137" t="s">
        <v>374</v>
      </c>
      <c r="C2" s="137" t="s">
        <v>375</v>
      </c>
      <c r="D2" s="137" t="s">
        <v>376</v>
      </c>
      <c r="E2" s="137" t="s">
        <v>377</v>
      </c>
      <c r="F2" s="144" t="s">
        <v>378</v>
      </c>
      <c r="G2" s="144" t="s">
        <v>379</v>
      </c>
      <c r="H2" s="144" t="s">
        <v>380</v>
      </c>
    </row>
    <row r="3" spans="1:8">
      <c r="A3" s="138">
        <v>1</v>
      </c>
      <c r="B3" s="139" t="s">
        <v>20</v>
      </c>
      <c r="C3" s="139" t="s">
        <v>188</v>
      </c>
      <c r="D3" s="139" t="s">
        <v>189</v>
      </c>
      <c r="E3" s="139" t="s">
        <v>21</v>
      </c>
      <c r="F3" s="109" t="s">
        <v>381</v>
      </c>
      <c r="G3" s="109" t="s">
        <v>381</v>
      </c>
      <c r="H3" s="109" t="s">
        <v>381</v>
      </c>
    </row>
    <row r="4" spans="1:8">
      <c r="A4" s="140">
        <v>2</v>
      </c>
      <c r="B4" s="141" t="s">
        <v>23</v>
      </c>
      <c r="C4" s="141" t="s">
        <v>202</v>
      </c>
      <c r="D4" s="141" t="s">
        <v>48</v>
      </c>
      <c r="E4" s="141" t="s">
        <v>24</v>
      </c>
      <c r="F4" s="109" t="s">
        <v>381</v>
      </c>
      <c r="G4" s="109" t="s">
        <v>381</v>
      </c>
      <c r="H4" s="109" t="s">
        <v>381</v>
      </c>
    </row>
    <row r="5" spans="1:8">
      <c r="A5" s="138">
        <v>3</v>
      </c>
      <c r="B5" s="139" t="s">
        <v>26</v>
      </c>
      <c r="C5" s="139" t="s">
        <v>322</v>
      </c>
      <c r="D5" s="139" t="s">
        <v>197</v>
      </c>
      <c r="E5" s="139" t="s">
        <v>27</v>
      </c>
      <c r="F5" s="109" t="s">
        <v>381</v>
      </c>
      <c r="G5" s="109" t="s">
        <v>381</v>
      </c>
      <c r="H5" s="109" t="s">
        <v>381</v>
      </c>
    </row>
    <row r="6" spans="1:8">
      <c r="A6" s="140">
        <v>4</v>
      </c>
      <c r="B6" s="141" t="s">
        <v>29</v>
      </c>
      <c r="C6" s="141" t="s">
        <v>248</v>
      </c>
      <c r="D6" s="141" t="s">
        <v>249</v>
      </c>
      <c r="E6" s="141" t="s">
        <v>30</v>
      </c>
      <c r="F6" s="109" t="s">
        <v>381</v>
      </c>
      <c r="G6" s="109" t="s">
        <v>381</v>
      </c>
      <c r="H6" s="109" t="s">
        <v>381</v>
      </c>
    </row>
    <row r="7" spans="1:8">
      <c r="A7" s="138">
        <v>5</v>
      </c>
      <c r="B7" s="139" t="s">
        <v>32</v>
      </c>
      <c r="C7" s="139" t="s">
        <v>239</v>
      </c>
      <c r="D7" s="139" t="s">
        <v>240</v>
      </c>
      <c r="E7" s="139" t="s">
        <v>33</v>
      </c>
      <c r="F7" s="109" t="s">
        <v>381</v>
      </c>
      <c r="G7" s="109" t="s">
        <v>381</v>
      </c>
      <c r="H7" s="109" t="s">
        <v>381</v>
      </c>
    </row>
    <row r="8" spans="1:8">
      <c r="A8" s="140">
        <v>6</v>
      </c>
      <c r="B8" s="141" t="s">
        <v>35</v>
      </c>
      <c r="C8" s="141" t="s">
        <v>177</v>
      </c>
      <c r="D8" s="141" t="s">
        <v>178</v>
      </c>
      <c r="E8" s="141" t="s">
        <v>36</v>
      </c>
      <c r="F8" s="109" t="s">
        <v>381</v>
      </c>
      <c r="G8" s="109" t="s">
        <v>381</v>
      </c>
      <c r="H8" s="109" t="s">
        <v>381</v>
      </c>
    </row>
    <row r="9" spans="1:8">
      <c r="A9" s="138">
        <v>7</v>
      </c>
      <c r="B9" s="139" t="s">
        <v>323</v>
      </c>
      <c r="C9" s="139" t="s">
        <v>48</v>
      </c>
      <c r="D9" s="139" t="s">
        <v>211</v>
      </c>
      <c r="E9" s="139" t="s">
        <v>324</v>
      </c>
      <c r="F9" s="109" t="s">
        <v>381</v>
      </c>
      <c r="G9" s="109"/>
      <c r="H9" s="109" t="s">
        <v>381</v>
      </c>
    </row>
    <row r="10" spans="1:8">
      <c r="A10" s="140">
        <v>8</v>
      </c>
      <c r="B10" s="141" t="s">
        <v>325</v>
      </c>
      <c r="C10" s="141" t="s">
        <v>43</v>
      </c>
      <c r="D10" s="141" t="s">
        <v>44</v>
      </c>
      <c r="E10" s="141" t="s">
        <v>326</v>
      </c>
      <c r="F10" s="109" t="s">
        <v>381</v>
      </c>
      <c r="G10" s="109"/>
      <c r="H10" s="109" t="s">
        <v>381</v>
      </c>
    </row>
    <row r="11" spans="1:8">
      <c r="A11" s="138">
        <v>9</v>
      </c>
      <c r="B11" s="139" t="s">
        <v>47</v>
      </c>
      <c r="C11" s="139" t="s">
        <v>48</v>
      </c>
      <c r="D11" s="139" t="s">
        <v>49</v>
      </c>
      <c r="E11" s="139" t="s">
        <v>50</v>
      </c>
      <c r="F11" s="109" t="s">
        <v>381</v>
      </c>
      <c r="G11" s="109"/>
      <c r="H11" s="109" t="s">
        <v>381</v>
      </c>
    </row>
    <row r="12" spans="1:8">
      <c r="A12" s="140">
        <v>10</v>
      </c>
      <c r="B12" s="141" t="s">
        <v>52</v>
      </c>
      <c r="C12" s="141" t="s">
        <v>53</v>
      </c>
      <c r="D12" s="141" t="s">
        <v>54</v>
      </c>
      <c r="E12" s="141" t="s">
        <v>55</v>
      </c>
      <c r="F12" s="109" t="s">
        <v>381</v>
      </c>
      <c r="G12" s="109"/>
      <c r="H12" s="109" t="s">
        <v>381</v>
      </c>
    </row>
    <row r="13" spans="1:8">
      <c r="A13" s="138">
        <v>11</v>
      </c>
      <c r="B13" s="139" t="s">
        <v>56</v>
      </c>
      <c r="C13" s="139" t="s">
        <v>57</v>
      </c>
      <c r="D13" s="139" t="s">
        <v>58</v>
      </c>
      <c r="E13" s="139" t="s">
        <v>59</v>
      </c>
      <c r="F13" s="109" t="s">
        <v>381</v>
      </c>
      <c r="G13" s="109"/>
      <c r="H13" s="109" t="s">
        <v>381</v>
      </c>
    </row>
    <row r="14" spans="1:8">
      <c r="A14" s="140">
        <v>12</v>
      </c>
      <c r="B14" s="141" t="s">
        <v>61</v>
      </c>
      <c r="C14" s="141" t="s">
        <v>110</v>
      </c>
      <c r="D14" s="141" t="s">
        <v>62</v>
      </c>
      <c r="E14" s="141" t="s">
        <v>63</v>
      </c>
      <c r="F14" s="109" t="s">
        <v>381</v>
      </c>
      <c r="G14" s="109"/>
      <c r="H14" s="109" t="s">
        <v>381</v>
      </c>
    </row>
    <row r="15" spans="1:8">
      <c r="A15" s="138">
        <v>13</v>
      </c>
      <c r="B15" s="139" t="s">
        <v>67</v>
      </c>
      <c r="C15" s="139" t="s">
        <v>216</v>
      </c>
      <c r="D15" s="139" t="s">
        <v>200</v>
      </c>
      <c r="E15" s="139" t="s">
        <v>68</v>
      </c>
      <c r="F15" s="109" t="s">
        <v>381</v>
      </c>
      <c r="G15" s="109"/>
      <c r="H15" s="109" t="s">
        <v>381</v>
      </c>
    </row>
    <row r="16" spans="1:8">
      <c r="A16" s="140">
        <v>14</v>
      </c>
      <c r="B16" s="141" t="s">
        <v>70</v>
      </c>
      <c r="C16" s="141" t="s">
        <v>171</v>
      </c>
      <c r="D16" s="141" t="s">
        <v>331</v>
      </c>
      <c r="E16" s="141" t="s">
        <v>71</v>
      </c>
      <c r="F16" s="109" t="s">
        <v>381</v>
      </c>
      <c r="G16" s="109"/>
      <c r="H16" s="109" t="s">
        <v>381</v>
      </c>
    </row>
    <row r="17" spans="1:8">
      <c r="A17" s="138">
        <v>15</v>
      </c>
      <c r="B17" s="139" t="s">
        <v>72</v>
      </c>
      <c r="C17" s="139" t="s">
        <v>43</v>
      </c>
      <c r="D17" s="139" t="s">
        <v>73</v>
      </c>
      <c r="E17" s="139" t="s">
        <v>74</v>
      </c>
      <c r="F17" s="109" t="s">
        <v>381</v>
      </c>
      <c r="G17" s="109"/>
      <c r="H17" s="109" t="s">
        <v>381</v>
      </c>
    </row>
    <row r="18" spans="1:8">
      <c r="A18" s="140">
        <v>16</v>
      </c>
      <c r="B18" s="141" t="s">
        <v>75</v>
      </c>
      <c r="C18" s="141" t="s">
        <v>48</v>
      </c>
      <c r="D18" s="141" t="s">
        <v>140</v>
      </c>
      <c r="E18" s="141" t="s">
        <v>76</v>
      </c>
      <c r="F18" s="109" t="s">
        <v>381</v>
      </c>
      <c r="G18" s="109"/>
      <c r="H18" s="109" t="s">
        <v>381</v>
      </c>
    </row>
    <row r="19" spans="1:8">
      <c r="A19" s="138">
        <v>17</v>
      </c>
      <c r="B19" s="139" t="s">
        <v>78</v>
      </c>
      <c r="C19" s="139" t="s">
        <v>174</v>
      </c>
      <c r="D19" s="139" t="s">
        <v>175</v>
      </c>
      <c r="E19" s="139" t="s">
        <v>79</v>
      </c>
      <c r="F19" s="109" t="s">
        <v>381</v>
      </c>
      <c r="G19" s="109"/>
      <c r="H19" s="109" t="s">
        <v>381</v>
      </c>
    </row>
    <row r="20" spans="1:8">
      <c r="A20" s="140">
        <v>18</v>
      </c>
      <c r="B20" s="141" t="s">
        <v>80</v>
      </c>
      <c r="C20" s="141" t="s">
        <v>43</v>
      </c>
      <c r="D20" s="141" t="s">
        <v>333</v>
      </c>
      <c r="E20" s="141" t="s">
        <v>81</v>
      </c>
      <c r="F20" s="109" t="s">
        <v>381</v>
      </c>
      <c r="G20" s="109"/>
      <c r="H20" s="109" t="s">
        <v>381</v>
      </c>
    </row>
    <row r="21" spans="1:8">
      <c r="A21" s="138">
        <v>19</v>
      </c>
      <c r="B21" s="139" t="s">
        <v>82</v>
      </c>
      <c r="C21" s="139" t="s">
        <v>43</v>
      </c>
      <c r="D21" s="139" t="s">
        <v>49</v>
      </c>
      <c r="E21" s="139" t="s">
        <v>83</v>
      </c>
      <c r="F21" s="109" t="s">
        <v>381</v>
      </c>
      <c r="G21" s="109"/>
      <c r="H21" s="109" t="s">
        <v>381</v>
      </c>
    </row>
    <row r="22" spans="1:8">
      <c r="A22" s="140">
        <v>20</v>
      </c>
      <c r="B22" s="141" t="s">
        <v>84</v>
      </c>
      <c r="C22" s="141" t="s">
        <v>322</v>
      </c>
      <c r="D22" s="141" t="s">
        <v>48</v>
      </c>
      <c r="E22" s="141" t="s">
        <v>85</v>
      </c>
      <c r="F22" s="109" t="s">
        <v>381</v>
      </c>
      <c r="G22" s="109"/>
      <c r="H22" s="109" t="s">
        <v>381</v>
      </c>
    </row>
    <row r="23" spans="1:8">
      <c r="A23" s="138">
        <v>21</v>
      </c>
      <c r="B23" s="139" t="s">
        <v>86</v>
      </c>
      <c r="C23" s="139" t="s">
        <v>48</v>
      </c>
      <c r="D23" s="139" t="s">
        <v>200</v>
      </c>
      <c r="E23" s="139" t="s">
        <v>87</v>
      </c>
      <c r="F23" s="109" t="s">
        <v>381</v>
      </c>
      <c r="G23" s="109"/>
      <c r="H23" s="109" t="s">
        <v>381</v>
      </c>
    </row>
    <row r="24" spans="1:8">
      <c r="A24" s="140">
        <v>22</v>
      </c>
      <c r="B24" s="141" t="s">
        <v>88</v>
      </c>
      <c r="C24" s="141" t="s">
        <v>204</v>
      </c>
      <c r="D24" s="141" t="s">
        <v>336</v>
      </c>
      <c r="E24" s="141" t="s">
        <v>89</v>
      </c>
      <c r="F24" s="109" t="s">
        <v>381</v>
      </c>
      <c r="G24" s="109"/>
      <c r="H24" s="109" t="s">
        <v>381</v>
      </c>
    </row>
    <row r="25" spans="1:8">
      <c r="A25" s="142">
        <v>23</v>
      </c>
      <c r="B25" s="143" t="s">
        <v>90</v>
      </c>
      <c r="C25" s="143" t="s">
        <v>338</v>
      </c>
      <c r="D25" s="143" t="s">
        <v>43</v>
      </c>
      <c r="E25" s="143" t="s">
        <v>91</v>
      </c>
      <c r="F25" s="109" t="s">
        <v>381</v>
      </c>
      <c r="G25" s="109"/>
      <c r="H25" s="109" t="s">
        <v>381</v>
      </c>
    </row>
  </sheetData>
  <mergeCells count="1">
    <mergeCell ref="A1:H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2026-10-12T09:21:27Z</dcterms:created>
  <dcterms:modified xsi:type="dcterms:W3CDTF">2026-10-12T18:08:24Z</dcterms:modified>
  <cp:category/>
  <cp:contentStatus/>
</cp:coreProperties>
</file>