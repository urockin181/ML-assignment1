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capgemini-my.sharepoint.com/personal/mostafa_mostafa_capgemini_com1/Documents/"/>
    </mc:Choice>
  </mc:AlternateContent>
  <xr:revisionPtr revIDLastSave="0" documentId="8_{90215449-0BBA-4850-BF89-830F700A24B8}" xr6:coauthVersionLast="47" xr6:coauthVersionMax="47" xr10:uidLastSave="{00000000-0000-0000-0000-000000000000}"/>
  <bookViews>
    <workbookView xWindow="28635" yWindow="-165" windowWidth="29130" windowHeight="15810" firstSheet="7" activeTab="7" xr2:uid="{00000000-000D-0000-FFFF-FFFF00000000}"/>
  </bookViews>
  <sheets>
    <sheet name="Attendance" sheetId="1" r:id="rId1"/>
    <sheet name="PKI" sheetId="9" r:id="rId2"/>
    <sheet name="Audi ID" sheetId="7" r:id="rId3"/>
    <sheet name="Tools Tracker " sheetId="6" r:id="rId4"/>
    <sheet name="H-O Schedule" sheetId="3" r:id="rId5"/>
    <sheet name="Training Room" sheetId="4" r:id="rId6"/>
    <sheet name="Laptop Tracker" sheetId="5" r:id="rId7"/>
    <sheet name="Training Plan" sheetId="8" r:id="rId8"/>
    <sheet name="Learning Tracker" sheetId="10" r:id="rId9"/>
  </sheets>
  <definedNames>
    <definedName name="_xlnm._FilterDatabase" localSheetId="0" hidden="1">Attendance!$A$1:$AL$89</definedName>
    <definedName name="_xlnm._FilterDatabase" localSheetId="4" hidden="1">'H-O Schedule'!$A$1:$K$119</definedName>
    <definedName name="_xlnm._FilterDatabase" localSheetId="6" hidden="1">'Laptop Tracker'!$A$1:$H$64</definedName>
    <definedName name="_xlnm._FilterDatabase" localSheetId="1" hidden="1">PKI!$A$1:$G$50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7" i="5" l="1"/>
  <c r="B67" i="5"/>
  <c r="C66" i="5"/>
  <c r="B66" i="5"/>
  <c r="C65" i="5"/>
  <c r="B65" i="5"/>
  <c r="C68" i="9"/>
  <c r="B68" i="9"/>
  <c r="C67" i="9"/>
  <c r="B67" i="9"/>
  <c r="C66" i="9"/>
  <c r="B66" i="9"/>
  <c r="C105" i="1"/>
  <c r="C106" i="1"/>
  <c r="C107" i="1"/>
  <c r="B105" i="1"/>
  <c r="B106" i="1"/>
  <c r="B107" i="1"/>
  <c r="C49" i="5"/>
  <c r="B49" i="5"/>
  <c r="C50" i="9"/>
  <c r="B50" i="9"/>
  <c r="B37" i="9"/>
  <c r="B50" i="5"/>
  <c r="C50" i="5"/>
  <c r="B51" i="5"/>
  <c r="C51" i="5"/>
  <c r="B52" i="5"/>
  <c r="C52" i="5"/>
  <c r="B53" i="5"/>
  <c r="C53" i="5"/>
  <c r="B54" i="5"/>
  <c r="C54" i="5"/>
  <c r="B55" i="5"/>
  <c r="C55" i="5"/>
  <c r="B56" i="5"/>
  <c r="C56" i="5"/>
  <c r="B57" i="5"/>
  <c r="C57" i="5"/>
  <c r="B58" i="5"/>
  <c r="C58" i="5"/>
  <c r="B59" i="5"/>
  <c r="C59" i="5"/>
  <c r="B60" i="5"/>
  <c r="C60" i="5"/>
  <c r="B61" i="5"/>
  <c r="C61" i="5"/>
  <c r="B62" i="5"/>
  <c r="C62" i="5"/>
  <c r="B63" i="5"/>
  <c r="C63" i="5"/>
  <c r="B64" i="5"/>
  <c r="C64" i="5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104" i="1"/>
  <c r="C104" i="1"/>
  <c r="B103" i="1"/>
  <c r="C103" i="1"/>
  <c r="B102" i="1"/>
  <c r="C102" i="1"/>
  <c r="B101" i="1"/>
  <c r="C101" i="1"/>
  <c r="B100" i="1"/>
  <c r="C100" i="1"/>
  <c r="B99" i="1"/>
  <c r="C99" i="1"/>
  <c r="B98" i="1"/>
  <c r="C98" i="1"/>
  <c r="B97" i="1"/>
  <c r="C97" i="1"/>
  <c r="B96" i="1"/>
  <c r="C96" i="1"/>
  <c r="B95" i="1"/>
  <c r="C95" i="1"/>
  <c r="B94" i="1"/>
  <c r="C94" i="1"/>
  <c r="B93" i="1"/>
  <c r="C93" i="1"/>
  <c r="B92" i="1"/>
  <c r="C92" i="1"/>
  <c r="B91" i="1"/>
  <c r="C91" i="1"/>
  <c r="B90" i="1"/>
  <c r="C90" i="1"/>
  <c r="K14" i="9"/>
  <c r="C89" i="1"/>
  <c r="B89" i="1"/>
  <c r="C88" i="1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C80" i="1"/>
  <c r="C81" i="1"/>
  <c r="C82" i="1"/>
  <c r="C83" i="1"/>
  <c r="C84" i="1"/>
  <c r="C85" i="1"/>
  <c r="C86" i="1"/>
  <c r="C87" i="1"/>
  <c r="B80" i="1"/>
  <c r="B81" i="1"/>
  <c r="B82" i="1"/>
  <c r="B83" i="1"/>
  <c r="B84" i="1"/>
  <c r="B85" i="1"/>
  <c r="B86" i="1"/>
  <c r="B87" i="1"/>
  <c r="B88" i="1"/>
  <c r="C36" i="5"/>
  <c r="B36" i="5"/>
  <c r="C38" i="9"/>
  <c r="B38" i="9"/>
  <c r="C38" i="5"/>
  <c r="B38" i="5"/>
  <c r="C37" i="5"/>
  <c r="B37" i="5"/>
  <c r="C40" i="9"/>
  <c r="B40" i="9"/>
  <c r="C39" i="9"/>
  <c r="B39" i="9"/>
  <c r="C75" i="1"/>
  <c r="C76" i="1"/>
  <c r="C77" i="1"/>
  <c r="C78" i="1"/>
  <c r="C79" i="1"/>
  <c r="B75" i="1"/>
  <c r="B76" i="1"/>
  <c r="B77" i="1"/>
  <c r="B78" i="1"/>
  <c r="B79" i="1"/>
  <c r="C37" i="9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B21" i="9"/>
  <c r="C20" i="9"/>
  <c r="B20" i="9"/>
  <c r="C19" i="9"/>
  <c r="B19" i="9"/>
  <c r="C18" i="9"/>
  <c r="B18" i="9"/>
  <c r="B17" i="9"/>
  <c r="C12" i="9"/>
  <c r="B12" i="9"/>
  <c r="C11" i="9"/>
  <c r="B11" i="9"/>
  <c r="C10" i="9"/>
  <c r="B10" i="9"/>
  <c r="C9" i="9"/>
  <c r="B9" i="9"/>
  <c r="C8" i="9"/>
  <c r="B8" i="9"/>
  <c r="C7" i="9"/>
  <c r="B7" i="9"/>
  <c r="C6" i="9"/>
  <c r="B6" i="9"/>
  <c r="C5" i="9"/>
  <c r="B5" i="9"/>
  <c r="C4" i="9"/>
  <c r="B4" i="9"/>
  <c r="C3" i="9"/>
  <c r="B3" i="9"/>
  <c r="C74" i="1"/>
  <c r="B74" i="1"/>
  <c r="C73" i="1"/>
  <c r="B73" i="1"/>
  <c r="C72" i="1"/>
  <c r="B72" i="1"/>
  <c r="C71" i="1"/>
  <c r="B71" i="1"/>
  <c r="C70" i="1"/>
  <c r="B70" i="1"/>
  <c r="C69" i="1"/>
  <c r="B69" i="1"/>
  <c r="C35" i="5"/>
  <c r="B35" i="5"/>
  <c r="C34" i="5"/>
  <c r="B34" i="5"/>
  <c r="C33" i="5"/>
  <c r="B33" i="5"/>
  <c r="C32" i="5"/>
  <c r="B32" i="5"/>
  <c r="C31" i="5"/>
  <c r="B31" i="5"/>
  <c r="C30" i="5"/>
  <c r="B30" i="5"/>
  <c r="C30" i="1"/>
  <c r="C31" i="1"/>
  <c r="C32" i="1"/>
  <c r="C33" i="1"/>
  <c r="C34" i="1"/>
  <c r="C35" i="1"/>
  <c r="C36" i="1"/>
  <c r="B30" i="1"/>
  <c r="B31" i="1"/>
  <c r="B32" i="1"/>
  <c r="B33" i="1"/>
  <c r="B34" i="1"/>
  <c r="B35" i="1"/>
  <c r="B36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B60" i="1"/>
  <c r="C59" i="1"/>
  <c r="B59" i="1"/>
  <c r="C58" i="1"/>
  <c r="B58" i="1"/>
  <c r="C57" i="1"/>
  <c r="B57" i="1"/>
  <c r="B56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29" i="1"/>
  <c r="B29" i="1"/>
  <c r="B21" i="1"/>
  <c r="C3" i="1"/>
  <c r="B3" i="1"/>
  <c r="C18" i="1"/>
  <c r="C19" i="1"/>
  <c r="C20" i="1"/>
  <c r="C22" i="1"/>
  <c r="C23" i="1"/>
  <c r="C24" i="1"/>
  <c r="C25" i="1"/>
  <c r="C26" i="1"/>
  <c r="C27" i="1"/>
  <c r="C28" i="1"/>
  <c r="B19" i="1"/>
  <c r="B20" i="1"/>
  <c r="B22" i="1"/>
  <c r="B23" i="1"/>
  <c r="B24" i="1"/>
  <c r="B25" i="1"/>
  <c r="B26" i="1"/>
  <c r="B27" i="1"/>
  <c r="B28" i="1"/>
  <c r="B17" i="1"/>
  <c r="B18" i="1"/>
  <c r="C4" i="1"/>
  <c r="C5" i="1"/>
  <c r="C6" i="1"/>
  <c r="C7" i="1"/>
  <c r="C37" i="1"/>
  <c r="C8" i="1"/>
  <c r="C9" i="1"/>
  <c r="C10" i="1"/>
  <c r="C11" i="1"/>
  <c r="C12" i="1"/>
  <c r="B4" i="1"/>
  <c r="B5" i="1"/>
  <c r="B6" i="1"/>
  <c r="B7" i="1"/>
  <c r="B37" i="1"/>
  <c r="B8" i="1"/>
  <c r="B9" i="1"/>
  <c r="B10" i="1"/>
  <c r="B11" i="1"/>
  <c r="B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Mostafa, Mostafa</author>
  </authors>
  <commentList>
    <comment ref="AJ22" authorId="0" shapeId="0" xr:uid="{02846115-F016-49AE-9B52-0450F02E90E9}">
      <text>
        <r>
          <rPr>
            <sz val="11"/>
            <color theme="1"/>
            <rFont val="Aptos Narrow"/>
            <family val="2"/>
            <scheme val="minor"/>
          </rPr>
          <t>Mostafa, Mostafa:
PO in HO for 5h</t>
        </r>
      </text>
    </comment>
    <comment ref="AH37" authorId="0" shapeId="0" xr:uid="{ADDBBD0E-8362-4254-A60D-66E6A0191790}">
      <text>
        <r>
          <rPr>
            <sz val="11"/>
            <color theme="1"/>
            <rFont val="Aptos Narrow"/>
            <family val="2"/>
            <scheme val="minor"/>
          </rPr>
          <t>Mostafa, Mostafa:
previous week was annual counted on previous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tc={EC0FBC1D-D710-4C8C-BFFB-8B8E5D3BFED5}</author>
  </authors>
  <commentList>
    <comment ref="J14" authorId="0" shapeId="0" xr:uid="{EC0FBC1D-D710-4C8C-BFFB-8B8E5D3BFED5}">
      <text>
        <t>[Threaded comment]
Your version of Excel allows you to read this threaded comment; however, any edits to it will get removed if the file is opened in a newer version of Excel. Learn more: https://go.microsoft.com/fwlink/?linkid=870924
Comment:
    1 with me</t>
      </text>
    </comment>
  </commentList>
</comments>
</file>

<file path=xl/sharedStrings.xml><?xml version="1.0" encoding="utf-8"?>
<sst xmlns="http://schemas.openxmlformats.org/spreadsheetml/2006/main" count="4178" uniqueCount="406">
  <si>
    <t>Month</t>
  </si>
  <si>
    <t>Name</t>
  </si>
  <si>
    <t>First name</t>
  </si>
  <si>
    <t>Last name</t>
  </si>
  <si>
    <t>Email</t>
  </si>
  <si>
    <t>Start Date</t>
  </si>
  <si>
    <t>Position</t>
  </si>
  <si>
    <t>SEP</t>
  </si>
  <si>
    <t>Mostafa Mostafa</t>
  </si>
  <si>
    <t>mostafa.mostafa@capgemini.com</t>
  </si>
  <si>
    <t>Knowledge Gatherer</t>
  </si>
  <si>
    <t>Attended</t>
  </si>
  <si>
    <t>Off</t>
  </si>
  <si>
    <t>Annual</t>
  </si>
  <si>
    <t>Color Code</t>
  </si>
  <si>
    <t>Gamal Sayed</t>
  </si>
  <si>
    <t>gamal.sayed@capgemini.com</t>
  </si>
  <si>
    <t>Emergency</t>
  </si>
  <si>
    <t>Mennatallah Said</t>
  </si>
  <si>
    <t>mennatallah.said@capgemini.com</t>
  </si>
  <si>
    <t>Hossam Zeid</t>
  </si>
  <si>
    <t>hossam.zeid@capgemini.com</t>
  </si>
  <si>
    <t>SD Analyst</t>
  </si>
  <si>
    <t>Makram Mohamed</t>
  </si>
  <si>
    <t>mohamed.makram@capgemini.com</t>
  </si>
  <si>
    <t>Attended L (Tech Issue)</t>
  </si>
  <si>
    <t>Marwan Dahesh</t>
  </si>
  <si>
    <t>marwan.dahesh@capgemini.com</t>
  </si>
  <si>
    <t>Sick</t>
  </si>
  <si>
    <t>Shahd Hassan</t>
  </si>
  <si>
    <t>shahd.hassan@capgemini.com</t>
  </si>
  <si>
    <t>NCNS</t>
  </si>
  <si>
    <t>Nourhan Khafagy</t>
  </si>
  <si>
    <t>nourhan.khafagy@capgemini.com</t>
  </si>
  <si>
    <t>First Day</t>
  </si>
  <si>
    <t>Berta Hanna</t>
  </si>
  <si>
    <t>berta.hanna@capgemini.com</t>
  </si>
  <si>
    <t>Attended L</t>
  </si>
  <si>
    <t>Home exception</t>
  </si>
  <si>
    <t xml:space="preserve">Mohamed Elaidi
 </t>
  </si>
  <si>
    <t xml:space="preserve">mohamed.elaidi@capgemini.com
 </t>
  </si>
  <si>
    <t xml:space="preserve">Late </t>
  </si>
  <si>
    <t xml:space="preserve">Ahmed Farag
 </t>
  </si>
  <si>
    <t>Ahmed</t>
  </si>
  <si>
    <t>Farag</t>
  </si>
  <si>
    <t xml:space="preserve">ahmed.farag@capgemini.com
 </t>
  </si>
  <si>
    <t>30 min Site / 15 min HO - late</t>
  </si>
  <si>
    <t>Mohamed Abdelgawad</t>
  </si>
  <si>
    <t>Mohamed</t>
  </si>
  <si>
    <t>Abdelgawad</t>
  </si>
  <si>
    <t>mohamed.abdelgawad@capgemini.com</t>
  </si>
  <si>
    <t>Home Office Issue</t>
  </si>
  <si>
    <t>Rawan Fadli</t>
  </si>
  <si>
    <t>Rawan</t>
  </si>
  <si>
    <t>Fadli</t>
  </si>
  <si>
    <t>rawan.fadli@capgemini.com</t>
  </si>
  <si>
    <t>Alaa Madkour</t>
  </si>
  <si>
    <t>Alaa</t>
  </si>
  <si>
    <t>Madkour</t>
  </si>
  <si>
    <t>alaa.madkour@capgemini.com</t>
  </si>
  <si>
    <t>QA Analyst</t>
  </si>
  <si>
    <t>Hagar El-sayed</t>
  </si>
  <si>
    <t>El-sayed</t>
  </si>
  <si>
    <t>hagar.el-sayed@capgemini.com</t>
  </si>
  <si>
    <t>Mohamed Mosa</t>
  </si>
  <si>
    <t>mohamed.mosa@capgemini.com</t>
  </si>
  <si>
    <t>Team Leader</t>
  </si>
  <si>
    <t>Nour Mahmoud</t>
  </si>
  <si>
    <t>nour.a.mahmoud@capgemini.com</t>
  </si>
  <si>
    <t>Knowledge Editor</t>
  </si>
  <si>
    <t>Aya Magd-el-din</t>
  </si>
  <si>
    <t>aya.magd-el-din@capgemini.com</t>
  </si>
  <si>
    <t>Ahmed Elbambi</t>
  </si>
  <si>
    <t>elbambi</t>
  </si>
  <si>
    <t>ahmed.elbambi@capgemini.com</t>
  </si>
  <si>
    <t>Mohamed Ibrahim</t>
  </si>
  <si>
    <t>mohamed.e.ibrahim@capgemini.com</t>
  </si>
  <si>
    <t>Home Office Issue - Attendend</t>
  </si>
  <si>
    <t>Banan Elsayed</t>
  </si>
  <si>
    <t>banan.elsayed@capgemini.com</t>
  </si>
  <si>
    <t>Ahmed aboelfadl</t>
  </si>
  <si>
    <t>ahmed.aboelfadl@capgemini.com</t>
  </si>
  <si>
    <t>Ahmed Abdelgawad</t>
  </si>
  <si>
    <t>ahmed.abdelgawad@capgemini.com</t>
  </si>
  <si>
    <t>Marwan Mohamed</t>
  </si>
  <si>
    <t>marwan.mohamed@capgemini.com</t>
  </si>
  <si>
    <t>Mohamed Mahmoud</t>
  </si>
  <si>
    <t>mohamed.a.mahmoud@capgemini.com</t>
  </si>
  <si>
    <t>Mariam Elmallawany</t>
  </si>
  <si>
    <t>mariam.elmallawany@capgemini.com</t>
  </si>
  <si>
    <t>Arwa Ahmed</t>
  </si>
  <si>
    <t>arwa-ali-ibrahim-elsayed.ahmed@capgemini.com</t>
  </si>
  <si>
    <t>Amany Abdelazim</t>
  </si>
  <si>
    <t>amany.abdelazim@capgemini.com</t>
  </si>
  <si>
    <t>Sarah Mohamed</t>
  </si>
  <si>
    <t>sara.a.mohamed@capgemini.com</t>
  </si>
  <si>
    <t>Dalia Elsabbagh</t>
  </si>
  <si>
    <t>dalia.elsabbagh@capgemini.com</t>
  </si>
  <si>
    <t>Salma Dawaly</t>
  </si>
  <si>
    <t>salma.dawaly@capgemini.com</t>
  </si>
  <si>
    <t>Ammar Yasser</t>
  </si>
  <si>
    <t xml:space="preserve">Attended L </t>
  </si>
  <si>
    <t xml:space="preserve">Amr Kotb </t>
  </si>
  <si>
    <t>amr.kotb@capgemini.com</t>
  </si>
  <si>
    <t>Khaled Abdalgalil</t>
  </si>
  <si>
    <t>khaled.abdelgalil@capgemini.com</t>
  </si>
  <si>
    <t>Adham Alzorkany</t>
  </si>
  <si>
    <t>adham.alzorkany@capgemini.com</t>
  </si>
  <si>
    <t>Reporting Analyst</t>
  </si>
  <si>
    <t>Hagar Abdelhameed</t>
  </si>
  <si>
    <t>Hagar</t>
  </si>
  <si>
    <t>Abdelhameed</t>
  </si>
  <si>
    <t>Basel Mohamed</t>
  </si>
  <si>
    <t xml:space="preserve">Basel </t>
  </si>
  <si>
    <t>Haneen Bekhiet</t>
  </si>
  <si>
    <t>Haneen</t>
  </si>
  <si>
    <t>Bekhiet</t>
  </si>
  <si>
    <t>Oct</t>
  </si>
  <si>
    <t>Mohamed Makram</t>
  </si>
  <si>
    <t>Ammar Ali</t>
  </si>
  <si>
    <t>ammar.ali@capgemini.com</t>
  </si>
  <si>
    <t>Reporting Analyst - English</t>
  </si>
  <si>
    <t>hagar.abdelhameed@capgemini.com</t>
  </si>
  <si>
    <t>Bassel Shalaby</t>
  </si>
  <si>
    <t>bassel.shalaby@capgemini.com</t>
  </si>
  <si>
    <t>Hanin Ahmed</t>
  </si>
  <si>
    <t>hanin.ahmed@capgemini.com</t>
  </si>
  <si>
    <t>Mohamed Safwat</t>
  </si>
  <si>
    <t>mohamed.k.ahmed@capgemini.com</t>
  </si>
  <si>
    <t>Senior SD Analyst</t>
  </si>
  <si>
    <t>Hesham Ali Mostafa</t>
  </si>
  <si>
    <t>hesham.mustafa@capgemini.com</t>
  </si>
  <si>
    <t>Mohamed Badr</t>
  </si>
  <si>
    <t>mohamed.a.badr@capgemini.com</t>
  </si>
  <si>
    <t>Merna Ashraf</t>
  </si>
  <si>
    <t>merna.ashraf@capgemini.com</t>
  </si>
  <si>
    <t>Ziad Waleed Eid</t>
  </si>
  <si>
    <t>ziad.eid@capgemini.com</t>
  </si>
  <si>
    <t>Incident Coordinator - English</t>
  </si>
  <si>
    <t>Kyrillos Wagdy</t>
  </si>
  <si>
    <t>kyrillos.asaad@capgemini.com</t>
  </si>
  <si>
    <t>Mahmoud Salah</t>
  </si>
  <si>
    <t>mahmoud.salah-shaker-abdelhafez@capgemini.com</t>
  </si>
  <si>
    <t>Nada Gamal</t>
  </si>
  <si>
    <t>nada.a.ahmed@capgemini.com</t>
  </si>
  <si>
    <t>Ahmed Mansour</t>
  </si>
  <si>
    <t>ahmed.esmail@capgemini.com</t>
  </si>
  <si>
    <t>Nada Amer</t>
  </si>
  <si>
    <t>nada.a.amer@capgemini.com</t>
  </si>
  <si>
    <t>Amira Karim</t>
  </si>
  <si>
    <t>Saleh Essam</t>
  </si>
  <si>
    <t>Doha Abdelbary</t>
  </si>
  <si>
    <t>Noran Ashraf</t>
  </si>
  <si>
    <t>Eman Mahmoud</t>
  </si>
  <si>
    <t>Rawan Ehab</t>
  </si>
  <si>
    <t>Nancy Maged Elsharqawy</t>
  </si>
  <si>
    <t>Rokia Sobhy</t>
  </si>
  <si>
    <t>Radwa Tarek</t>
  </si>
  <si>
    <t>Mohamed Taha</t>
  </si>
  <si>
    <t>Mawada Mohamed</t>
  </si>
  <si>
    <t>Mohamed Zidan</t>
  </si>
  <si>
    <t>Rana Mohamed</t>
  </si>
  <si>
    <t>Belal Hamdy</t>
  </si>
  <si>
    <t>Mahmoud Tablawy</t>
  </si>
  <si>
    <t>Maryam Attia Fayad</t>
  </si>
  <si>
    <t>Zekra Magdy Abdelhamid</t>
  </si>
  <si>
    <t>Yasmine Elsafty</t>
  </si>
  <si>
    <t>Got PKI</t>
  </si>
  <si>
    <t>Ibrahim Eltohamy</t>
  </si>
  <si>
    <t>Ibrahim</t>
  </si>
  <si>
    <t>Eltohamy</t>
  </si>
  <si>
    <t>ibrahim.eltohamy@capgemini.com</t>
  </si>
  <si>
    <t>Operation Manager</t>
  </si>
  <si>
    <t>Yes</t>
  </si>
  <si>
    <t>PKI &amp; Readers delivered</t>
  </si>
  <si>
    <t>Batch Nr.</t>
  </si>
  <si>
    <t>Color</t>
  </si>
  <si>
    <t>Count</t>
  </si>
  <si>
    <t>Batch Zero</t>
  </si>
  <si>
    <t>Blue</t>
  </si>
  <si>
    <t>First Batch</t>
  </si>
  <si>
    <t>White</t>
  </si>
  <si>
    <t>Second Batch</t>
  </si>
  <si>
    <t>Yellow</t>
  </si>
  <si>
    <t>Total</t>
  </si>
  <si>
    <t>Only Readers / No PKI</t>
  </si>
  <si>
    <t>Location</t>
  </si>
  <si>
    <t>Locker</t>
  </si>
  <si>
    <t xml:space="preserve">Software Team ( Amina) </t>
  </si>
  <si>
    <t>3rd Floor</t>
  </si>
  <si>
    <t>CAI/CFC/TF/L168</t>
  </si>
  <si>
    <t>By CAP deliverd</t>
  </si>
  <si>
    <t>User ID</t>
  </si>
  <si>
    <t>First Name (Vorname)</t>
  </si>
  <si>
    <t>Last Name (Nachname)</t>
  </si>
  <si>
    <t>U9J02H5</t>
  </si>
  <si>
    <t>Mostafa</t>
  </si>
  <si>
    <t>WAKZGGC</t>
  </si>
  <si>
    <t>Aya</t>
  </si>
  <si>
    <t>Magd El Din</t>
  </si>
  <si>
    <t>FPBPF8W</t>
  </si>
  <si>
    <t>Banan</t>
  </si>
  <si>
    <t>Elsayed</t>
  </si>
  <si>
    <t>WZX47NC</t>
  </si>
  <si>
    <t>Berta</t>
  </si>
  <si>
    <t>Hanna</t>
  </si>
  <si>
    <t>WE805RT</t>
  </si>
  <si>
    <t>Dalia</t>
  </si>
  <si>
    <t>Elsabbagh</t>
  </si>
  <si>
    <t>SUZ07XB</t>
  </si>
  <si>
    <t>Gamal</t>
  </si>
  <si>
    <t>Sayed</t>
  </si>
  <si>
    <t>AOF807Y</t>
  </si>
  <si>
    <t>El Sayed</t>
  </si>
  <si>
    <t>DD7XTEL</t>
  </si>
  <si>
    <t>Hossam</t>
  </si>
  <si>
    <t>Zeid</t>
  </si>
  <si>
    <t>DD5MZF4</t>
  </si>
  <si>
    <t>FCLIXHX</t>
  </si>
  <si>
    <t>Khaled</t>
  </si>
  <si>
    <t>Abdelgalil</t>
  </si>
  <si>
    <t>AKFANTM</t>
  </si>
  <si>
    <t>MARWAN</t>
  </si>
  <si>
    <t>SHZ3N3G</t>
  </si>
  <si>
    <t>Dahesh</t>
  </si>
  <si>
    <t>D5FM025</t>
  </si>
  <si>
    <t>MOHAMED</t>
  </si>
  <si>
    <t>Mahmoud</t>
  </si>
  <si>
    <t>S0KF264</t>
  </si>
  <si>
    <t>Makram</t>
  </si>
  <si>
    <t>FRJT8J7</t>
  </si>
  <si>
    <t>Mariam</t>
  </si>
  <si>
    <t>ElMallawany</t>
  </si>
  <si>
    <t>F44MPLE</t>
  </si>
  <si>
    <t>Mennatallah</t>
  </si>
  <si>
    <t>Said</t>
  </si>
  <si>
    <t>AY3E5FG</t>
  </si>
  <si>
    <t>GLPM75N</t>
  </si>
  <si>
    <t>Elaidi</t>
  </si>
  <si>
    <t>GPBEA02</t>
  </si>
  <si>
    <t>Mosa</t>
  </si>
  <si>
    <t>V04RESW</t>
  </si>
  <si>
    <t>V2Z28TH</t>
  </si>
  <si>
    <t>Nour</t>
  </si>
  <si>
    <t>VBU79CS</t>
  </si>
  <si>
    <t>Adham</t>
  </si>
  <si>
    <t>Alzorkany</t>
  </si>
  <si>
    <t>EAQRWG2</t>
  </si>
  <si>
    <t>Elbambi</t>
  </si>
  <si>
    <t>FQF04P5</t>
  </si>
  <si>
    <t>UDJ6NHO</t>
  </si>
  <si>
    <t>Aboelfadl</t>
  </si>
  <si>
    <t>WIU5ZKQ</t>
  </si>
  <si>
    <t>GX0SJ0M</t>
  </si>
  <si>
    <t>FW0143S</t>
  </si>
  <si>
    <t>Amany</t>
  </si>
  <si>
    <t>Abdelazim</t>
  </si>
  <si>
    <t>FZNKYP7</t>
  </si>
  <si>
    <t>Ammar</t>
  </si>
  <si>
    <t>Ali</t>
  </si>
  <si>
    <t>E9DMB6E</t>
  </si>
  <si>
    <t>Amr</t>
  </si>
  <si>
    <t>Kotb</t>
  </si>
  <si>
    <t>S6QJXDN</t>
  </si>
  <si>
    <t xml:space="preserve">Arwa </t>
  </si>
  <si>
    <t>D6FFP6G</t>
  </si>
  <si>
    <t>Nourhan</t>
  </si>
  <si>
    <t>Khafagy</t>
  </si>
  <si>
    <t>WR5J65C</t>
  </si>
  <si>
    <t>TL9KT77</t>
  </si>
  <si>
    <t>Salma</t>
  </si>
  <si>
    <t>Dawaly</t>
  </si>
  <si>
    <t>AMFH75T</t>
  </si>
  <si>
    <t>Sara</t>
  </si>
  <si>
    <t>UUFA6I4</t>
  </si>
  <si>
    <t>Shahd</t>
  </si>
  <si>
    <t>Hassan</t>
  </si>
  <si>
    <t>Tracker</t>
  </si>
  <si>
    <t>Audi and Volkswagen EHD - SD Transition - Audi Onboarding Tracker - All Items</t>
  </si>
  <si>
    <t>DL</t>
  </si>
  <si>
    <t xml:space="preserve">cisvw.eg@capgemini.com 
 </t>
  </si>
  <si>
    <t>KW</t>
  </si>
  <si>
    <t>Wave</t>
  </si>
  <si>
    <t>Mon 21/9</t>
  </si>
  <si>
    <t>Tue 22/9</t>
  </si>
  <si>
    <t>Wed 23/9</t>
  </si>
  <si>
    <t>Thu 24/9</t>
  </si>
  <si>
    <t>Fri 25/9</t>
  </si>
  <si>
    <t>Sat 26/9</t>
  </si>
  <si>
    <t>Sun 27/9</t>
  </si>
  <si>
    <t>0900-1800</t>
  </si>
  <si>
    <t>Green</t>
  </si>
  <si>
    <t>Site</t>
  </si>
  <si>
    <t xml:space="preserve">White </t>
  </si>
  <si>
    <t>Home</t>
  </si>
  <si>
    <t>Home Exception</t>
  </si>
  <si>
    <t>Mon 28/9</t>
  </si>
  <si>
    <t>Tue 29/9</t>
  </si>
  <si>
    <t>Wed 30/9</t>
  </si>
  <si>
    <t>Thu 01/10</t>
  </si>
  <si>
    <t>Fri 02/10</t>
  </si>
  <si>
    <t>Sat 03/10</t>
  </si>
  <si>
    <t>Sun 04/10</t>
  </si>
  <si>
    <t>Amany Hassan</t>
  </si>
  <si>
    <t>Sarah Abdelwahid</t>
  </si>
  <si>
    <t>Mon 05/10</t>
  </si>
  <si>
    <t>Tue 06/10</t>
  </si>
  <si>
    <t>Wed 07/10</t>
  </si>
  <si>
    <t>Thu 0810</t>
  </si>
  <si>
    <t>Fri 09/10</t>
  </si>
  <si>
    <t>Sat 10/10</t>
  </si>
  <si>
    <t>Sun 11/10</t>
  </si>
  <si>
    <t>Task</t>
  </si>
  <si>
    <t>Shadowing + Recap</t>
  </si>
  <si>
    <t>Training</t>
  </si>
  <si>
    <t>Hagar Abdelahmeed</t>
  </si>
  <si>
    <t>Mon 12/10</t>
  </si>
  <si>
    <t>Tue 13/10</t>
  </si>
  <si>
    <t>Wed 14/10</t>
  </si>
  <si>
    <t>Thu 15/10</t>
  </si>
  <si>
    <t>Fri 16/10</t>
  </si>
  <si>
    <t>Sat 17/10</t>
  </si>
  <si>
    <t>Sun 18/10</t>
  </si>
  <si>
    <t>Training / Shadowing</t>
  </si>
  <si>
    <t>Nada Noeman</t>
  </si>
  <si>
    <t>Date</t>
  </si>
  <si>
    <t>Room</t>
  </si>
  <si>
    <t>Floor</t>
  </si>
  <si>
    <t>Duration</t>
  </si>
  <si>
    <t>Capacity</t>
  </si>
  <si>
    <t>Comments</t>
  </si>
  <si>
    <t>Training Room</t>
  </si>
  <si>
    <t>3rd</t>
  </si>
  <si>
    <t>0900-1330 &amp; 1500-1800</t>
  </si>
  <si>
    <t>Luxor</t>
  </si>
  <si>
    <t>1330 - 1500</t>
  </si>
  <si>
    <t>Turing</t>
  </si>
  <si>
    <t>5th</t>
  </si>
  <si>
    <t>0900- 1800</t>
  </si>
  <si>
    <t>4th</t>
  </si>
  <si>
    <t>0900- 1100 &amp; 1200 - 1800</t>
  </si>
  <si>
    <t>1100- 1200</t>
  </si>
  <si>
    <t>0900- 1100</t>
  </si>
  <si>
    <t>1100- 1800</t>
  </si>
  <si>
    <t>28-29 Sep</t>
  </si>
  <si>
    <t>01-02 Oct</t>
  </si>
  <si>
    <t>0900- 1200</t>
  </si>
  <si>
    <t>11-12 Pause due room booking</t>
  </si>
  <si>
    <t>Laptop received</t>
  </si>
  <si>
    <t>Attended Training</t>
  </si>
  <si>
    <t>MS Teams</t>
  </si>
  <si>
    <t>Marwan</t>
  </si>
  <si>
    <t>Mohamed Elaidi</t>
  </si>
  <si>
    <t>mohamed.elaidi@capgemini.com</t>
  </si>
  <si>
    <t>Ahmed Farag</t>
  </si>
  <si>
    <t>ahmed.farag@capgemini.com</t>
  </si>
  <si>
    <t>Rowan Fadli</t>
  </si>
  <si>
    <t>Rowan</t>
  </si>
  <si>
    <t>Noura Mahmoud</t>
  </si>
  <si>
    <t>Noura</t>
  </si>
  <si>
    <t>Magd-el-din</t>
  </si>
  <si>
    <t>Ahmed Galal aboelfadl</t>
  </si>
  <si>
    <t>aboelfadl</t>
  </si>
  <si>
    <t>Mohamed Ezzat</t>
  </si>
  <si>
    <t>Ezzat</t>
  </si>
  <si>
    <t>Elmallawany</t>
  </si>
  <si>
    <t>Arwa</t>
  </si>
  <si>
    <t>N/A</t>
  </si>
  <si>
    <t>Hesham Mustafa</t>
  </si>
  <si>
    <t>Ahmed Esmail</t>
  </si>
  <si>
    <t xml:space="preserve">ahmed.esmail@capgemini.com </t>
  </si>
  <si>
    <t>No</t>
  </si>
  <si>
    <t>Owner</t>
  </si>
  <si>
    <t>Aufgaben</t>
  </si>
  <si>
    <t>Menna</t>
  </si>
  <si>
    <t>Recap</t>
  </si>
  <si>
    <t>Access check (PKI / WBT / Audi Tools)</t>
  </si>
  <si>
    <t>Onboarding rest of the acess</t>
  </si>
  <si>
    <t xml:space="preserve">Menna </t>
  </si>
  <si>
    <t>Update shadowing Plan / Tracker</t>
  </si>
  <si>
    <t>Local Tools (CAP) SF/Citrix/Nexus</t>
  </si>
  <si>
    <t>Attendance + Shadowing</t>
  </si>
  <si>
    <t>Nour / Mosa</t>
  </si>
  <si>
    <t>Back up Training</t>
  </si>
  <si>
    <t>access test guide (KG task)</t>
  </si>
  <si>
    <t>Assessments (IT or 
audi tools, mock calls, etc.)</t>
  </si>
  <si>
    <t>Menna+Mosa</t>
  </si>
  <si>
    <t>Reverse Shadwoing</t>
  </si>
  <si>
    <t>Training + Self study</t>
  </si>
  <si>
    <t>Mostafa + Menna</t>
  </si>
  <si>
    <t>Onboarding rest of Tools</t>
  </si>
  <si>
    <t xml:space="preserve">Mostafa </t>
  </si>
  <si>
    <t xml:space="preserve">Attendance </t>
  </si>
  <si>
    <t>Tools Tracker</t>
  </si>
  <si>
    <t>New comers</t>
  </si>
  <si>
    <t>Onboarding for NH</t>
  </si>
  <si>
    <t>Wave 1</t>
  </si>
  <si>
    <t>No.</t>
  </si>
  <si>
    <t>Full Name</t>
  </si>
  <si>
    <t>First Name</t>
  </si>
  <si>
    <t>Last Name</t>
  </si>
  <si>
    <t>Email Address</t>
  </si>
  <si>
    <t>HCL Training</t>
  </si>
  <si>
    <t>IT Training</t>
  </si>
  <si>
    <t>Shadowing Week 1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</si>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</sst>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rgb="FF467886"/>
      <name val="Aptos Narrow"/>
      <family val="2"/>
    </font>
    <font>
      <b/>
      <sz val="12"/>
      <color theme="1"/>
      <name val="Aptos Narrow"/>
      <family val="2"/>
      <scheme val="minor"/>
    </font>
    <font>
      <sz val="11"/>
      <color rgb="FF000000"/>
      <name val="Aptos Narrow"/>
      <charset val="1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4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Calibri"/>
    </font>
    <font>
      <sz val="11"/>
      <color rgb="FF000000"/>
      <name val="Aptos Narrow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4D93D9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82CAE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5496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1F4E78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theme="8" tint="0.79998168889431442"/>
        <bgColor indexed="64"/>
      </patternFill>
    </fill>
  </fills>
  <borders count="4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 style="thin">
        <color rgb="FFD9E2F3"/>
      </bottom>
      <diagonal/>
    </border>
    <border>
      <left/>
      <right/>
      <top style="thin">
        <color rgb="FF9BC2E6"/>
      </top>
      <bottom style="thin">
        <color rgb="FFD9E2F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5">
    <xf numFmtId="0" fontId="0" fillId="0" borderId="0" xfId="0"/>
    <xf numFmtId="0" fontId="2" fillId="7" borderId="1" xfId="0" applyFont="1" applyFill="1" applyBorder="1" applyAlignment="1">
      <alignment horizontal="center" vertical="center"/>
    </xf>
    <xf numFmtId="16" fontId="2" fillId="7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7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1"/>
    <xf numFmtId="0" fontId="0" fillId="2" borderId="1" xfId="0" applyFill="1" applyBorder="1"/>
    <xf numFmtId="0" fontId="0" fillId="3" borderId="1" xfId="0" applyFill="1" applyBorder="1"/>
    <xf numFmtId="14" fontId="1" fillId="0" borderId="2" xfId="1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7" xfId="0" applyFill="1" applyBorder="1"/>
    <xf numFmtId="0" fontId="0" fillId="0" borderId="20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4" xfId="1" applyBorder="1" applyAlignment="1">
      <alignment horizontal="center" vertical="center"/>
    </xf>
    <xf numFmtId="14" fontId="1" fillId="0" borderId="3" xfId="1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0" fillId="0" borderId="12" xfId="0" applyBorder="1"/>
    <xf numFmtId="0" fontId="0" fillId="8" borderId="13" xfId="0" applyFill="1" applyBorder="1"/>
    <xf numFmtId="0" fontId="3" fillId="0" borderId="1" xfId="0" applyFont="1" applyBorder="1" applyAlignment="1">
      <alignment horizontal="center" vertical="center"/>
    </xf>
    <xf numFmtId="16" fontId="3" fillId="0" borderId="15" xfId="0" applyNumberFormat="1" applyFont="1" applyBorder="1" applyAlignment="1">
      <alignment horizontal="center" vertical="center"/>
    </xf>
    <xf numFmtId="16" fontId="3" fillId="0" borderId="5" xfId="0" applyNumberFormat="1" applyFont="1" applyBorder="1" applyAlignment="1">
      <alignment horizontal="center" vertical="center"/>
    </xf>
    <xf numFmtId="16" fontId="0" fillId="0" borderId="15" xfId="0" applyNumberFormat="1" applyBorder="1" applyAlignment="1">
      <alignment horizontal="center" vertical="center"/>
    </xf>
    <xf numFmtId="16" fontId="0" fillId="0" borderId="25" xfId="0" applyNumberFormat="1" applyBorder="1" applyAlignment="1">
      <alignment horizontal="center" vertical="center"/>
    </xf>
    <xf numFmtId="0" fontId="4" fillId="11" borderId="24" xfId="0" applyFont="1" applyFill="1" applyBorder="1" applyAlignment="1">
      <alignment horizontal="center" vertical="center"/>
    </xf>
    <xf numFmtId="0" fontId="4" fillId="11" borderId="23" xfId="0" applyFont="1" applyFill="1" applyBorder="1" applyAlignment="1">
      <alignment horizontal="center" vertical="center"/>
    </xf>
    <xf numFmtId="0" fontId="4" fillId="11" borderId="26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13" borderId="1" xfId="0" applyFill="1" applyBorder="1"/>
    <xf numFmtId="14" fontId="0" fillId="0" borderId="2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1" fillId="0" borderId="1" xfId="1" applyFill="1" applyBorder="1" applyAlignment="1">
      <alignment horizontal="center" vertical="center"/>
    </xf>
    <xf numFmtId="0" fontId="1" fillId="13" borderId="0" xfId="1" applyFill="1" applyBorder="1" applyAlignment="1">
      <alignment horizontal="center" vertical="center"/>
    </xf>
    <xf numFmtId="16" fontId="1" fillId="0" borderId="1" xfId="1" applyNumberForma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3" borderId="2" xfId="0" applyFill="1" applyBorder="1"/>
    <xf numFmtId="0" fontId="2" fillId="2" borderId="14" xfId="0" applyFont="1" applyFill="1" applyBorder="1"/>
    <xf numFmtId="0" fontId="2" fillId="0" borderId="5" xfId="0" applyFont="1" applyBorder="1"/>
    <xf numFmtId="0" fontId="2" fillId="8" borderId="5" xfId="0" applyFont="1" applyFill="1" applyBorder="1"/>
    <xf numFmtId="0" fontId="0" fillId="9" borderId="1" xfId="0" applyFill="1" applyBorder="1" applyAlignment="1">
      <alignment horizontal="center"/>
    </xf>
    <xf numFmtId="0" fontId="0" fillId="0" borderId="30" xfId="0" applyBorder="1"/>
    <xf numFmtId="0" fontId="0" fillId="8" borderId="1" xfId="0" applyFill="1" applyBorder="1"/>
    <xf numFmtId="0" fontId="2" fillId="15" borderId="30" xfId="0" applyFont="1" applyFill="1" applyBorder="1" applyAlignment="1">
      <alignment horizontal="center" vertical="center"/>
    </xf>
    <xf numFmtId="16" fontId="3" fillId="0" borderId="1" xfId="0" applyNumberFormat="1" applyFont="1" applyBorder="1" applyAlignment="1">
      <alignment horizontal="center" vertical="center"/>
    </xf>
    <xf numFmtId="16" fontId="0" fillId="0" borderId="1" xfId="0" applyNumberFormat="1" applyBorder="1" applyAlignment="1">
      <alignment horizontal="center"/>
    </xf>
    <xf numFmtId="0" fontId="2" fillId="2" borderId="6" xfId="0" applyFont="1" applyFill="1" applyBorder="1"/>
    <xf numFmtId="0" fontId="2" fillId="0" borderId="8" xfId="0" applyFont="1" applyBorder="1"/>
    <xf numFmtId="0" fontId="2" fillId="8" borderId="31" xfId="0" applyFont="1" applyFill="1" applyBorder="1"/>
    <xf numFmtId="0" fontId="2" fillId="7" borderId="0" xfId="0" applyFont="1" applyFill="1"/>
    <xf numFmtId="16" fontId="0" fillId="9" borderId="1" xfId="0" applyNumberFormat="1" applyFill="1" applyBorder="1" applyAlignment="1">
      <alignment horizontal="center" vertical="center"/>
    </xf>
    <xf numFmtId="16" fontId="2" fillId="7" borderId="2" xfId="0" applyNumberFormat="1" applyFont="1" applyFill="1" applyBorder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/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9" borderId="0" xfId="0" applyFill="1" applyAlignment="1">
      <alignment horizontal="center"/>
    </xf>
    <xf numFmtId="0" fontId="6" fillId="0" borderId="0" xfId="0" applyFont="1" applyAlignment="1">
      <alignment horizontal="center"/>
    </xf>
    <xf numFmtId="16" fontId="1" fillId="0" borderId="15" xfId="1" applyNumberFormat="1" applyBorder="1" applyAlignment="1">
      <alignment horizontal="center" vertical="center"/>
    </xf>
    <xf numFmtId="0" fontId="7" fillId="0" borderId="1" xfId="0" applyFont="1" applyBorder="1"/>
    <xf numFmtId="0" fontId="1" fillId="0" borderId="25" xfId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14" fontId="1" fillId="0" borderId="1" xfId="1" applyNumberFormat="1" applyBorder="1" applyAlignment="1">
      <alignment horizontal="center" vertical="center"/>
    </xf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0" fontId="1" fillId="13" borderId="1" xfId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1" fillId="17" borderId="1" xfId="1" applyFill="1" applyBorder="1" applyAlignment="1">
      <alignment horizontal="center" vertical="center"/>
    </xf>
    <xf numFmtId="0" fontId="2" fillId="20" borderId="0" xfId="0" applyFont="1" applyFill="1"/>
    <xf numFmtId="0" fontId="2" fillId="20" borderId="1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0" fillId="0" borderId="9" xfId="0" applyBorder="1"/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0" fillId="22" borderId="33" xfId="0" applyFill="1" applyBorder="1" applyAlignment="1">
      <alignment horizontal="center" vertical="center"/>
    </xf>
    <xf numFmtId="0" fontId="0" fillId="22" borderId="34" xfId="0" applyFill="1" applyBorder="1" applyAlignment="1">
      <alignment horizontal="center" vertical="center"/>
    </xf>
    <xf numFmtId="0" fontId="2" fillId="7" borderId="35" xfId="0" applyFont="1" applyFill="1" applyBorder="1" applyAlignment="1">
      <alignment horizontal="center" vertical="center"/>
    </xf>
    <xf numFmtId="0" fontId="2" fillId="7" borderId="36" xfId="0" applyFont="1" applyFill="1" applyBorder="1" applyAlignment="1">
      <alignment horizontal="center" vertical="center"/>
    </xf>
    <xf numFmtId="0" fontId="0" fillId="22" borderId="37" xfId="0" applyFill="1" applyBorder="1" applyAlignment="1">
      <alignment horizontal="center" vertical="center"/>
    </xf>
    <xf numFmtId="0" fontId="8" fillId="24" borderId="9" xfId="0" applyFont="1" applyFill="1" applyBorder="1" applyAlignment="1">
      <alignment horizontal="center"/>
    </xf>
    <xf numFmtId="0" fontId="8" fillId="25" borderId="0" xfId="0" applyFont="1" applyFill="1" applyAlignment="1">
      <alignment horizontal="center"/>
    </xf>
    <xf numFmtId="0" fontId="8" fillId="27" borderId="0" xfId="0" applyFont="1" applyFill="1" applyAlignment="1">
      <alignment horizontal="center"/>
    </xf>
    <xf numFmtId="0" fontId="8" fillId="26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8" fillId="0" borderId="9" xfId="0" applyFont="1" applyBorder="1" applyAlignment="1">
      <alignment horizontal="center" wrapText="1"/>
    </xf>
    <xf numFmtId="0" fontId="0" fillId="15" borderId="33" xfId="0" applyFill="1" applyBorder="1" applyAlignment="1">
      <alignment horizontal="center" vertical="center"/>
    </xf>
    <xf numFmtId="0" fontId="0" fillId="21" borderId="24" xfId="0" applyFill="1" applyBorder="1" applyAlignment="1">
      <alignment horizontal="center"/>
    </xf>
    <xf numFmtId="0" fontId="0" fillId="21" borderId="5" xfId="0" applyFill="1" applyBorder="1" applyAlignment="1">
      <alignment horizontal="center"/>
    </xf>
    <xf numFmtId="0" fontId="0" fillId="21" borderId="15" xfId="0" applyFill="1" applyBorder="1" applyAlignment="1">
      <alignment horizontal="center"/>
    </xf>
    <xf numFmtId="0" fontId="0" fillId="23" borderId="38" xfId="0" applyFill="1" applyBorder="1" applyAlignment="1">
      <alignment horizontal="center"/>
    </xf>
    <xf numFmtId="0" fontId="0" fillId="23" borderId="5" xfId="0" applyFill="1" applyBorder="1" applyAlignment="1">
      <alignment horizontal="center"/>
    </xf>
    <xf numFmtId="0" fontId="2" fillId="7" borderId="39" xfId="0" applyFont="1" applyFill="1" applyBorder="1" applyAlignment="1">
      <alignment horizontal="center" vertical="center"/>
    </xf>
    <xf numFmtId="0" fontId="2" fillId="7" borderId="27" xfId="0" applyFont="1" applyFill="1" applyBorder="1" applyAlignment="1">
      <alignment horizontal="center" vertical="center"/>
    </xf>
    <xf numFmtId="0" fontId="2" fillId="7" borderId="40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2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top" wrapText="1"/>
    </xf>
    <xf numFmtId="0" fontId="1" fillId="0" borderId="0" xfId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1" fillId="0" borderId="1" xfId="1" applyBorder="1" applyAlignment="1"/>
    <xf numFmtId="0" fontId="1" fillId="0" borderId="1" xfId="1" applyBorder="1" applyAlignment="1">
      <alignment horizontal="center"/>
    </xf>
    <xf numFmtId="0" fontId="2" fillId="7" borderId="4" xfId="0" applyFont="1" applyFill="1" applyBorder="1" applyAlignment="1">
      <alignment horizontal="center" vertical="center"/>
    </xf>
    <xf numFmtId="0" fontId="9" fillId="30" borderId="41" xfId="0" applyFont="1" applyFill="1" applyBorder="1"/>
    <xf numFmtId="0" fontId="9" fillId="30" borderId="42" xfId="0" applyFont="1" applyFill="1" applyBorder="1"/>
    <xf numFmtId="0" fontId="10" fillId="31" borderId="41" xfId="0" applyFont="1" applyFill="1" applyBorder="1"/>
    <xf numFmtId="0" fontId="10" fillId="31" borderId="42" xfId="0" applyFont="1" applyFill="1" applyBorder="1"/>
    <xf numFmtId="0" fontId="10" fillId="0" borderId="41" xfId="0" applyFont="1" applyBorder="1"/>
    <xf numFmtId="0" fontId="10" fillId="0" borderId="42" xfId="0" applyFont="1" applyBorder="1"/>
    <xf numFmtId="0" fontId="10" fillId="31" borderId="43" xfId="0" applyFont="1" applyFill="1" applyBorder="1"/>
    <xf numFmtId="0" fontId="10" fillId="31" borderId="44" xfId="0" applyFont="1" applyFill="1" applyBorder="1"/>
    <xf numFmtId="0" fontId="12" fillId="32" borderId="0" xfId="0" applyFont="1" applyFill="1" applyAlignment="1">
      <alignment horizontal="center"/>
    </xf>
    <xf numFmtId="0" fontId="1" fillId="0" borderId="0" xfId="1" applyAlignment="1">
      <alignment horizontal="center"/>
    </xf>
    <xf numFmtId="0" fontId="10" fillId="0" borderId="1" xfId="0" applyFont="1" applyBorder="1" applyAlignment="1">
      <alignment horizontal="center" vertical="center" wrapText="1"/>
    </xf>
    <xf numFmtId="0" fontId="1" fillId="0" borderId="4" xfId="1" applyBorder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11" xfId="0" applyBorder="1"/>
    <xf numFmtId="0" fontId="0" fillId="0" borderId="15" xfId="0" applyBorder="1" applyAlignment="1">
      <alignment horizontal="center" vertical="center"/>
    </xf>
    <xf numFmtId="0" fontId="0" fillId="13" borderId="3" xfId="0" applyFill="1" applyBorder="1"/>
    <xf numFmtId="0" fontId="0" fillId="13" borderId="15" xfId="0" applyFill="1" applyBorder="1"/>
    <xf numFmtId="0" fontId="0" fillId="13" borderId="32" xfId="0" applyFill="1" applyBorder="1"/>
    <xf numFmtId="0" fontId="0" fillId="13" borderId="25" xfId="0" applyFill="1" applyBorder="1"/>
    <xf numFmtId="0" fontId="0" fillId="13" borderId="4" xfId="0" applyFill="1" applyBorder="1"/>
    <xf numFmtId="0" fontId="0" fillId="13" borderId="20" xfId="0" applyFill="1" applyBorder="1"/>
    <xf numFmtId="0" fontId="0" fillId="13" borderId="30" xfId="0" applyFill="1" applyBorder="1" applyAlignment="1">
      <alignment vertical="center"/>
    </xf>
    <xf numFmtId="0" fontId="4" fillId="3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3" fillId="13" borderId="1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16" fontId="1" fillId="0" borderId="4" xfId="1" applyNumberFormat="1" applyBorder="1" applyAlignment="1">
      <alignment horizontal="center" vertical="center"/>
    </xf>
    <xf numFmtId="0" fontId="10" fillId="13" borderId="4" xfId="0" applyFont="1" applyFill="1" applyBorder="1" applyAlignment="1">
      <alignment horizontal="center" vertical="center" wrapText="1"/>
    </xf>
    <xf numFmtId="0" fontId="0" fillId="13" borderId="4" xfId="0" applyFill="1" applyBorder="1" applyAlignment="1">
      <alignment horizontal="center" vertical="center"/>
    </xf>
    <xf numFmtId="0" fontId="10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16" fontId="1" fillId="8" borderId="1" xfId="1" applyNumberForma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top"/>
    </xf>
    <xf numFmtId="0" fontId="14" fillId="0" borderId="2" xfId="0" applyFont="1" applyBorder="1" applyAlignment="1">
      <alignment horizontal="center" vertical="center"/>
    </xf>
    <xf numFmtId="0" fontId="0" fillId="13" borderId="32" xfId="0" applyFill="1" applyBorder="1" applyAlignment="1">
      <alignment vertical="center"/>
    </xf>
    <xf numFmtId="0" fontId="0" fillId="13" borderId="25" xfId="0" applyFill="1" applyBorder="1" applyAlignment="1">
      <alignment vertical="center"/>
    </xf>
    <xf numFmtId="14" fontId="0" fillId="0" borderId="1" xfId="0" applyNumberFormat="1" applyBorder="1"/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4" fillId="13" borderId="1" xfId="0" applyFon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8" fillId="0" borderId="0" xfId="0" applyFont="1" applyAlignment="1">
      <alignment horizontal="center"/>
    </xf>
    <xf numFmtId="0" fontId="8" fillId="28" borderId="0" xfId="0" applyFont="1" applyFill="1" applyAlignment="1">
      <alignment horizontal="center"/>
    </xf>
    <xf numFmtId="0" fontId="0" fillId="0" borderId="46" xfId="0" applyBorder="1" applyAlignment="1">
      <alignment horizontal="center"/>
    </xf>
    <xf numFmtId="0" fontId="8" fillId="24" borderId="0" xfId="0" applyFont="1" applyFill="1" applyAlignment="1">
      <alignment horizontal="center"/>
    </xf>
    <xf numFmtId="0" fontId="0" fillId="15" borderId="28" xfId="0" applyFill="1" applyBorder="1" applyAlignment="1">
      <alignment horizontal="center" vertical="center"/>
    </xf>
    <xf numFmtId="0" fontId="0" fillId="29" borderId="28" xfId="0" applyFill="1" applyBorder="1" applyAlignment="1">
      <alignment horizontal="center"/>
    </xf>
    <xf numFmtId="0" fontId="0" fillId="0" borderId="10" xfId="0" applyBorder="1"/>
    <xf numFmtId="0" fontId="10" fillId="8" borderId="28" xfId="0" applyFont="1" applyFill="1" applyBorder="1" applyAlignment="1">
      <alignment horizontal="center" vertical="center" wrapText="1"/>
    </xf>
    <xf numFmtId="0" fontId="0" fillId="8" borderId="28" xfId="0" applyFill="1" applyBorder="1" applyAlignment="1">
      <alignment horizontal="center" vertical="center"/>
    </xf>
    <xf numFmtId="0" fontId="13" fillId="34" borderId="28" xfId="0" applyFont="1" applyFill="1" applyBorder="1" applyAlignment="1">
      <alignment horizontal="center" vertical="center" wrapText="1"/>
    </xf>
    <xf numFmtId="0" fontId="13" fillId="34" borderId="28" xfId="0" applyFont="1" applyFill="1" applyBorder="1" applyAlignment="1">
      <alignment horizontal="left" vertical="top"/>
    </xf>
    <xf numFmtId="0" fontId="0" fillId="22" borderId="45" xfId="0" applyFill="1" applyBorder="1" applyAlignment="1">
      <alignment horizontal="center" vertical="center"/>
    </xf>
    <xf numFmtId="0" fontId="0" fillId="0" borderId="4" xfId="0" applyBorder="1"/>
    <xf numFmtId="0" fontId="10" fillId="0" borderId="4" xfId="0" applyFont="1" applyBorder="1" applyAlignment="1">
      <alignment horizontal="center" vertical="center" wrapText="1"/>
    </xf>
    <xf numFmtId="0" fontId="0" fillId="0" borderId="22" xfId="0" applyBorder="1"/>
    <xf numFmtId="0" fontId="13" fillId="34" borderId="1" xfId="0" applyFont="1" applyFill="1" applyBorder="1" applyAlignment="1">
      <alignment horizontal="center" vertical="center" wrapText="1"/>
    </xf>
    <xf numFmtId="0" fontId="0" fillId="23" borderId="1" xfId="0" applyFill="1" applyBorder="1" applyAlignment="1">
      <alignment horizont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13" borderId="23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1" fillId="32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687"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solid">
          <fgColor rgb="FF000000"/>
          <bgColor rgb="FF4D93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</dxfs>
  <tableStyles count="0" defaultTableStyle="TableStyleMedium2" defaultPivotStyle="PivotStyleMedium9"/>
  <colors>
    <mruColors>
      <color rgb="FFF549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stafa, Mostafa" id="{CB3D82BB-6532-4654-B7D4-8A6847F39A03}" userId="S::mostafa.mostafa@capgemini.com::64a5d35b-da7e-4582-98b2-ad92986bfd4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1DD795-E3E1-4B82-A114-4E0AE2A57125}" name="Table1" displayName="Table1" ref="A1:F25" totalsRowShown="0" headerRowDxfId="38" dataDxfId="37" headerRowBorderDxfId="35" tableBorderDxfId="36">
  <tableColumns count="6">
    <tableColumn id="1" xr3:uid="{DE4CFB1F-D694-4442-BFFA-456CD69644E9}" name="Date"/>
    <tableColumn id="2" xr3:uid="{5001E67C-8AB5-41A5-9AEE-272B1309FD91}" name="Room" dataDxfId="34"/>
    <tableColumn id="3" xr3:uid="{59FF3EDF-C98F-43FA-B365-6A4DB987DF5C}" name="Floor" dataDxfId="33"/>
    <tableColumn id="4" xr3:uid="{43F234C7-408C-4A8D-9732-3E52603E10B9}" name="Duration" dataDxfId="32"/>
    <tableColumn id="5" xr3:uid="{BB7A2B26-631B-476F-83DB-2CC0A4EA7A59}" name="Capacity" dataDxfId="31"/>
    <tableColumn id="6" xr3:uid="{59F91D77-B92A-438D-8899-376D96B7869F}" name="Comments" dataDxfId="3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4" dT="2026-10-14T06:19:18.11" personId="{CB3D82BB-6532-4654-B7D4-8A6847F39A03}" id="{EC0FBC1D-D710-4C8C-BFFB-8B8E5D3BFED5}">
    <text>1 with me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ahmed.aboelfadl@capgemini.com" TargetMode="External"/><Relationship Id="rId21" Type="http://schemas.openxmlformats.org/officeDocument/2006/relationships/hyperlink" Target="mailto:mariam.elmallawany@capgemini.com" TargetMode="External"/><Relationship Id="rId42" Type="http://schemas.openxmlformats.org/officeDocument/2006/relationships/hyperlink" Target="mailto:nour.a.mahmoud@capgemini.com" TargetMode="External"/><Relationship Id="rId47" Type="http://schemas.openxmlformats.org/officeDocument/2006/relationships/hyperlink" Target="mailto:mariam.elmallawany@capgemini.com" TargetMode="External"/><Relationship Id="rId63" Type="http://schemas.openxmlformats.org/officeDocument/2006/relationships/hyperlink" Target="mailto:salma.dawaly@capgemini.com" TargetMode="External"/><Relationship Id="rId68" Type="http://schemas.openxmlformats.org/officeDocument/2006/relationships/hyperlink" Target="mailto:bassel.shalaby@capgemini.com" TargetMode="External"/><Relationship Id="rId16" Type="http://schemas.openxmlformats.org/officeDocument/2006/relationships/hyperlink" Target="mailto:nour.a.mahmoud@capgemini.com" TargetMode="External"/><Relationship Id="rId11" Type="http://schemas.openxmlformats.org/officeDocument/2006/relationships/hyperlink" Target="mailto:alaa.madkour@capgemini.com" TargetMode="External"/><Relationship Id="rId32" Type="http://schemas.openxmlformats.org/officeDocument/2006/relationships/hyperlink" Target="mailto:mohamed.makram@capgemini.com" TargetMode="External"/><Relationship Id="rId37" Type="http://schemas.openxmlformats.org/officeDocument/2006/relationships/hyperlink" Target="mailto:alaa.madkour@capgemini.com" TargetMode="External"/><Relationship Id="rId53" Type="http://schemas.openxmlformats.org/officeDocument/2006/relationships/hyperlink" Target="mailto:ahmed.elbambi@capgemini.com" TargetMode="External"/><Relationship Id="rId58" Type="http://schemas.openxmlformats.org/officeDocument/2006/relationships/hyperlink" Target="mailto:khaled.abdelgalil@capgemini.com" TargetMode="External"/><Relationship Id="rId74" Type="http://schemas.openxmlformats.org/officeDocument/2006/relationships/hyperlink" Target="mailto:ziad.eid@capgemini.com" TargetMode="External"/><Relationship Id="rId79" Type="http://schemas.openxmlformats.org/officeDocument/2006/relationships/hyperlink" Target="mailto:hesham.mustafa@capgemini.com" TargetMode="External"/><Relationship Id="rId5" Type="http://schemas.openxmlformats.org/officeDocument/2006/relationships/hyperlink" Target="mailto:mohamed.makram@capgemini.com" TargetMode="External"/><Relationship Id="rId61" Type="http://schemas.openxmlformats.org/officeDocument/2006/relationships/hyperlink" Target="mailto:amr.kotb@capgemini.com" TargetMode="External"/><Relationship Id="rId82" Type="http://schemas.openxmlformats.org/officeDocument/2006/relationships/comments" Target="../comments1.xml"/><Relationship Id="rId19" Type="http://schemas.openxmlformats.org/officeDocument/2006/relationships/hyperlink" Target="mailto:ahmed.abdelgawad@capgemini.com" TargetMode="External"/><Relationship Id="rId14" Type="http://schemas.openxmlformats.org/officeDocument/2006/relationships/hyperlink" Target="mailto:mohamed.abdelgawad@capgemini.com" TargetMode="External"/><Relationship Id="rId22" Type="http://schemas.openxmlformats.org/officeDocument/2006/relationships/hyperlink" Target="mailto:mohamed.e.ibrahim@capgemini.com" TargetMode="External"/><Relationship Id="rId27" Type="http://schemas.openxmlformats.org/officeDocument/2006/relationships/hyperlink" Target="mailto:ahmed.elbambi@capgemini.com" TargetMode="External"/><Relationship Id="rId30" Type="http://schemas.openxmlformats.org/officeDocument/2006/relationships/hyperlink" Target="mailto:gamal.sayed@capgemini.com" TargetMode="External"/><Relationship Id="rId35" Type="http://schemas.openxmlformats.org/officeDocument/2006/relationships/hyperlink" Target="mailto:nourhan.khafagy@capgemini.com" TargetMode="External"/><Relationship Id="rId43" Type="http://schemas.openxmlformats.org/officeDocument/2006/relationships/hyperlink" Target="mailto:aya.magd-el-din@capgemini.com" TargetMode="External"/><Relationship Id="rId48" Type="http://schemas.openxmlformats.org/officeDocument/2006/relationships/hyperlink" Target="mailto:mohamed.e.ibrahim@capgemini.com" TargetMode="External"/><Relationship Id="rId56" Type="http://schemas.openxmlformats.org/officeDocument/2006/relationships/hyperlink" Target="mailto:salma.dawaly@capgemini.com" TargetMode="External"/><Relationship Id="rId64" Type="http://schemas.openxmlformats.org/officeDocument/2006/relationships/hyperlink" Target="mailto:amany.abdelazim@capgemini.com" TargetMode="External"/><Relationship Id="rId69" Type="http://schemas.openxmlformats.org/officeDocument/2006/relationships/hyperlink" Target="mailto:hanin.ahmed@capgemini.com" TargetMode="External"/><Relationship Id="rId77" Type="http://schemas.openxmlformats.org/officeDocument/2006/relationships/hyperlink" Target="mailto:nada.a.ahmed@capgemini.com" TargetMode="External"/><Relationship Id="rId8" Type="http://schemas.openxmlformats.org/officeDocument/2006/relationships/hyperlink" Target="mailto:shahd.hassan@capgemini.com" TargetMode="External"/><Relationship Id="rId51" Type="http://schemas.openxmlformats.org/officeDocument/2006/relationships/hyperlink" Target="mailto:mohamed.mosa@capgemini.com" TargetMode="External"/><Relationship Id="rId72" Type="http://schemas.openxmlformats.org/officeDocument/2006/relationships/hyperlink" Target="mailto:mohamed.a.badr@capgemini.com" TargetMode="External"/><Relationship Id="rId80" Type="http://schemas.openxmlformats.org/officeDocument/2006/relationships/hyperlink" Target="mailto:nada.a.amer@capgemini.com" TargetMode="External"/><Relationship Id="rId3" Type="http://schemas.openxmlformats.org/officeDocument/2006/relationships/hyperlink" Target="mailto:gamal.sayed@capgemini.com" TargetMode="External"/><Relationship Id="rId12" Type="http://schemas.openxmlformats.org/officeDocument/2006/relationships/hyperlink" Target="mailto:mohamed.abdelgawad@capgemini.com" TargetMode="External"/><Relationship Id="rId17" Type="http://schemas.openxmlformats.org/officeDocument/2006/relationships/hyperlink" Target="mailto:aya.magd-el-din@capgemini.com" TargetMode="External"/><Relationship Id="rId25" Type="http://schemas.openxmlformats.org/officeDocument/2006/relationships/hyperlink" Target="mailto:mohamed.mosa@capgemini.com" TargetMode="External"/><Relationship Id="rId33" Type="http://schemas.openxmlformats.org/officeDocument/2006/relationships/hyperlink" Target="mailto:marwan.dahesh@capgemini.com" TargetMode="External"/><Relationship Id="rId38" Type="http://schemas.openxmlformats.org/officeDocument/2006/relationships/hyperlink" Target="mailto:mohamed.abdelgawad@capgemini.com" TargetMode="External"/><Relationship Id="rId46" Type="http://schemas.openxmlformats.org/officeDocument/2006/relationships/hyperlink" Target="mailto:marwan.mohamed@capgemini.com" TargetMode="External"/><Relationship Id="rId59" Type="http://schemas.openxmlformats.org/officeDocument/2006/relationships/hyperlink" Target="mailto:dalia.elsabbagh@capgemini.com" TargetMode="External"/><Relationship Id="rId67" Type="http://schemas.openxmlformats.org/officeDocument/2006/relationships/hyperlink" Target="mailto:ammar.ali@capgemini.com" TargetMode="External"/><Relationship Id="rId20" Type="http://schemas.openxmlformats.org/officeDocument/2006/relationships/hyperlink" Target="mailto:marwan.mohamed@capgemini.com" TargetMode="External"/><Relationship Id="rId41" Type="http://schemas.openxmlformats.org/officeDocument/2006/relationships/hyperlink" Target="mailto:hagar.el-sayed@capgemini.com" TargetMode="External"/><Relationship Id="rId54" Type="http://schemas.openxmlformats.org/officeDocument/2006/relationships/hyperlink" Target="mailto:amr.kotb@capgemini.com" TargetMode="External"/><Relationship Id="rId62" Type="http://schemas.openxmlformats.org/officeDocument/2006/relationships/hyperlink" Target="mailto:sara.a.mohamed@capgemini.com" TargetMode="External"/><Relationship Id="rId70" Type="http://schemas.openxmlformats.org/officeDocument/2006/relationships/hyperlink" Target="mailto:hagar.abdelhameed@capgemini.com" TargetMode="External"/><Relationship Id="rId75" Type="http://schemas.openxmlformats.org/officeDocument/2006/relationships/hyperlink" Target="mailto:kyrillos.asaad@capgemini.com" TargetMode="External"/><Relationship Id="rId1" Type="http://schemas.openxmlformats.org/officeDocument/2006/relationships/hyperlink" Target="mailto:mennatallah.said@capgemini.com" TargetMode="External"/><Relationship Id="rId6" Type="http://schemas.openxmlformats.org/officeDocument/2006/relationships/hyperlink" Target="mailto:adham.alzorkany@capgemini.com" TargetMode="External"/><Relationship Id="rId15" Type="http://schemas.openxmlformats.org/officeDocument/2006/relationships/hyperlink" Target="mailto:hagar.el-sayed@capgemini.com" TargetMode="External"/><Relationship Id="rId23" Type="http://schemas.openxmlformats.org/officeDocument/2006/relationships/hyperlink" Target="mailto:arwa-ali-ibrahim-elsayed.ahmed@capgemini.com" TargetMode="External"/><Relationship Id="rId28" Type="http://schemas.openxmlformats.org/officeDocument/2006/relationships/hyperlink" Target="mailto:mennatallah.said@capgemini.com" TargetMode="External"/><Relationship Id="rId36" Type="http://schemas.openxmlformats.org/officeDocument/2006/relationships/hyperlink" Target="mailto:berta.hanna@capgemini.com" TargetMode="External"/><Relationship Id="rId49" Type="http://schemas.openxmlformats.org/officeDocument/2006/relationships/hyperlink" Target="mailto:arwa-ali-ibrahim-elsayed.ahmed@capgemini.com" TargetMode="External"/><Relationship Id="rId57" Type="http://schemas.openxmlformats.org/officeDocument/2006/relationships/hyperlink" Target="mailto:amany.abdelazim@capgemini.com" TargetMode="External"/><Relationship Id="rId10" Type="http://schemas.openxmlformats.org/officeDocument/2006/relationships/hyperlink" Target="mailto:berta.hanna@capgemini.com" TargetMode="External"/><Relationship Id="rId31" Type="http://schemas.openxmlformats.org/officeDocument/2006/relationships/hyperlink" Target="mailto:hossam.zeid@capgemini.com" TargetMode="External"/><Relationship Id="rId44" Type="http://schemas.openxmlformats.org/officeDocument/2006/relationships/hyperlink" Target="mailto:banan.elsayed@capgemini.com" TargetMode="External"/><Relationship Id="rId52" Type="http://schemas.openxmlformats.org/officeDocument/2006/relationships/hyperlink" Target="mailto:ahmed.aboelfadl@capgemini.com" TargetMode="External"/><Relationship Id="rId60" Type="http://schemas.openxmlformats.org/officeDocument/2006/relationships/hyperlink" Target="mailto:adham.alzorkany@capgemini.com" TargetMode="External"/><Relationship Id="rId65" Type="http://schemas.openxmlformats.org/officeDocument/2006/relationships/hyperlink" Target="mailto:khaled.abdelgalil@capgemini.com" TargetMode="External"/><Relationship Id="rId73" Type="http://schemas.openxmlformats.org/officeDocument/2006/relationships/hyperlink" Target="mailto:merna.ashraf@capgemini.com" TargetMode="External"/><Relationship Id="rId78" Type="http://schemas.openxmlformats.org/officeDocument/2006/relationships/hyperlink" Target="mailto:ahmed.esmail@capgemini.com" TargetMode="External"/><Relationship Id="rId81" Type="http://schemas.openxmlformats.org/officeDocument/2006/relationships/vmlDrawing" Target="../drawings/vmlDrawing1.vml"/><Relationship Id="rId4" Type="http://schemas.openxmlformats.org/officeDocument/2006/relationships/hyperlink" Target="mailto:hossam.zeid@capgemini.com" TargetMode="External"/><Relationship Id="rId9" Type="http://schemas.openxmlformats.org/officeDocument/2006/relationships/hyperlink" Target="mailto:nourhan.khafagy@capgemini.com" TargetMode="External"/><Relationship Id="rId13" Type="http://schemas.openxmlformats.org/officeDocument/2006/relationships/hyperlink" Target="mailto:alaa.madkour@capgemini.com" TargetMode="External"/><Relationship Id="rId18" Type="http://schemas.openxmlformats.org/officeDocument/2006/relationships/hyperlink" Target="mailto:banan.elsayed@capgemini.com" TargetMode="External"/><Relationship Id="rId39" Type="http://schemas.openxmlformats.org/officeDocument/2006/relationships/hyperlink" Target="mailto:alaa.madkour@capgemini.com" TargetMode="External"/><Relationship Id="rId34" Type="http://schemas.openxmlformats.org/officeDocument/2006/relationships/hyperlink" Target="mailto:shahd.hassan@capgemini.com" TargetMode="External"/><Relationship Id="rId50" Type="http://schemas.openxmlformats.org/officeDocument/2006/relationships/hyperlink" Target="mailto:mohamed.a.mahmoud@capgemini.com" TargetMode="External"/><Relationship Id="rId55" Type="http://schemas.openxmlformats.org/officeDocument/2006/relationships/hyperlink" Target="mailto:sara.a.mohamed@capgemini.com" TargetMode="External"/><Relationship Id="rId76" Type="http://schemas.openxmlformats.org/officeDocument/2006/relationships/hyperlink" Target="mailto:mahmoud.salah-shaker-abdelhafez@capgemini.com" TargetMode="External"/><Relationship Id="rId7" Type="http://schemas.openxmlformats.org/officeDocument/2006/relationships/hyperlink" Target="mailto:marwan.dahesh@capgemini.com" TargetMode="External"/><Relationship Id="rId71" Type="http://schemas.openxmlformats.org/officeDocument/2006/relationships/hyperlink" Target="mailto:mohamed.k.ahmed@capgemini.com" TargetMode="External"/><Relationship Id="rId2" Type="http://schemas.openxmlformats.org/officeDocument/2006/relationships/hyperlink" Target="mailto:mostafa.mostafa@capgemini.com" TargetMode="External"/><Relationship Id="rId29" Type="http://schemas.openxmlformats.org/officeDocument/2006/relationships/hyperlink" Target="mailto:mostafa.mostafa@capgemini.com" TargetMode="External"/><Relationship Id="rId24" Type="http://schemas.openxmlformats.org/officeDocument/2006/relationships/hyperlink" Target="mailto:mohamed.a.mahmoud@capgemini.com" TargetMode="External"/><Relationship Id="rId40" Type="http://schemas.openxmlformats.org/officeDocument/2006/relationships/hyperlink" Target="mailto:mohamed.abdelgawad@capgemini.com" TargetMode="External"/><Relationship Id="rId45" Type="http://schemas.openxmlformats.org/officeDocument/2006/relationships/hyperlink" Target="mailto:ahmed.abdelgawad@capgemini.com" TargetMode="External"/><Relationship Id="rId66" Type="http://schemas.openxmlformats.org/officeDocument/2006/relationships/hyperlink" Target="mailto:dalia.elsabbagh@capgemini.com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mohamed.abdelgawad@capgemini.com" TargetMode="External"/><Relationship Id="rId18" Type="http://schemas.openxmlformats.org/officeDocument/2006/relationships/hyperlink" Target="mailto:ahmed.abdelgawad@capgemini.com" TargetMode="External"/><Relationship Id="rId26" Type="http://schemas.openxmlformats.org/officeDocument/2006/relationships/hyperlink" Target="mailto:adham.alzorkany@capgemini.com" TargetMode="External"/><Relationship Id="rId39" Type="http://schemas.openxmlformats.org/officeDocument/2006/relationships/hyperlink" Target="mailto:nada.a.ahmed@capgemini.com" TargetMode="External"/><Relationship Id="rId21" Type="http://schemas.openxmlformats.org/officeDocument/2006/relationships/hyperlink" Target="mailto:arwa-ali-ibrahim-elsayed.ahmed@capgemini.com" TargetMode="External"/><Relationship Id="rId34" Type="http://schemas.openxmlformats.org/officeDocument/2006/relationships/hyperlink" Target="mailto:bassel.shalaby@capgemini.com" TargetMode="External"/><Relationship Id="rId42" Type="http://schemas.openxmlformats.org/officeDocument/2006/relationships/hyperlink" Target="mailto:merna.ashraf@capgemini.com" TargetMode="External"/><Relationship Id="rId47" Type="http://schemas.openxmlformats.org/officeDocument/2006/relationships/hyperlink" Target="mailto:mariam.elmallawany@capgemini.com" TargetMode="External"/><Relationship Id="rId50" Type="http://schemas.openxmlformats.org/officeDocument/2006/relationships/comments" Target="../comments2.xml"/><Relationship Id="rId7" Type="http://schemas.openxmlformats.org/officeDocument/2006/relationships/hyperlink" Target="mailto:shahd.hassan@capgemini.com" TargetMode="External"/><Relationship Id="rId2" Type="http://schemas.openxmlformats.org/officeDocument/2006/relationships/hyperlink" Target="mailto:mostafa.mostafa@capgemini.com" TargetMode="External"/><Relationship Id="rId16" Type="http://schemas.openxmlformats.org/officeDocument/2006/relationships/hyperlink" Target="mailto:aya.magd-el-din@capgemini.com" TargetMode="External"/><Relationship Id="rId29" Type="http://schemas.openxmlformats.org/officeDocument/2006/relationships/hyperlink" Target="mailto:salma.dawaly@capgemini.com" TargetMode="External"/><Relationship Id="rId11" Type="http://schemas.openxmlformats.org/officeDocument/2006/relationships/hyperlink" Target="mailto:mohamed.abdelgawad@capgemini.com" TargetMode="External"/><Relationship Id="rId24" Type="http://schemas.openxmlformats.org/officeDocument/2006/relationships/hyperlink" Target="mailto:ahmed.aboelfadl@capgemini.com" TargetMode="External"/><Relationship Id="rId32" Type="http://schemas.openxmlformats.org/officeDocument/2006/relationships/hyperlink" Target="mailto:dalia.elsabbagh@capgemini.com" TargetMode="External"/><Relationship Id="rId37" Type="http://schemas.openxmlformats.org/officeDocument/2006/relationships/hyperlink" Target="mailto:ibrahim.eltohamy@capgemini.com" TargetMode="External"/><Relationship Id="rId40" Type="http://schemas.openxmlformats.org/officeDocument/2006/relationships/hyperlink" Target="mailto:ahmed.esmail@capgemini.com" TargetMode="External"/><Relationship Id="rId45" Type="http://schemas.openxmlformats.org/officeDocument/2006/relationships/hyperlink" Target="mailto:mahmoud.salah-shaker-abdelhafez@capgemini.com" TargetMode="External"/><Relationship Id="rId5" Type="http://schemas.openxmlformats.org/officeDocument/2006/relationships/hyperlink" Target="mailto:mohamed.makram@capgemini.com" TargetMode="External"/><Relationship Id="rId15" Type="http://schemas.openxmlformats.org/officeDocument/2006/relationships/hyperlink" Target="mailto:nour.a.mahmoud@capgemini.com" TargetMode="External"/><Relationship Id="rId23" Type="http://schemas.openxmlformats.org/officeDocument/2006/relationships/hyperlink" Target="mailto:mohamed.mosa@capgemini.com" TargetMode="External"/><Relationship Id="rId28" Type="http://schemas.openxmlformats.org/officeDocument/2006/relationships/hyperlink" Target="mailto:sara.a.mohamed@capgemini.com" TargetMode="External"/><Relationship Id="rId36" Type="http://schemas.openxmlformats.org/officeDocument/2006/relationships/hyperlink" Target="mailto:hagar.abdelhameed@capgemini.com" TargetMode="External"/><Relationship Id="rId49" Type="http://schemas.openxmlformats.org/officeDocument/2006/relationships/vmlDrawing" Target="../drawings/vmlDrawing2.vml"/><Relationship Id="rId10" Type="http://schemas.openxmlformats.org/officeDocument/2006/relationships/hyperlink" Target="mailto:alaa.madkour@capgemini.com" TargetMode="External"/><Relationship Id="rId19" Type="http://schemas.openxmlformats.org/officeDocument/2006/relationships/hyperlink" Target="mailto:marwan.mohamed@capgemini.com" TargetMode="External"/><Relationship Id="rId31" Type="http://schemas.openxmlformats.org/officeDocument/2006/relationships/hyperlink" Target="mailto:khaled.abdelgalil@capgemini.com" TargetMode="External"/><Relationship Id="rId44" Type="http://schemas.openxmlformats.org/officeDocument/2006/relationships/hyperlink" Target="mailto:kyrillos.asaad@capgemini.com" TargetMode="External"/><Relationship Id="rId4" Type="http://schemas.openxmlformats.org/officeDocument/2006/relationships/hyperlink" Target="mailto:hossam.zeid@capgemini.com" TargetMode="External"/><Relationship Id="rId9" Type="http://schemas.openxmlformats.org/officeDocument/2006/relationships/hyperlink" Target="mailto:berta.hanna@capgemini.com" TargetMode="External"/><Relationship Id="rId14" Type="http://schemas.openxmlformats.org/officeDocument/2006/relationships/hyperlink" Target="mailto:hagar.el-sayed@capgemini.com" TargetMode="External"/><Relationship Id="rId22" Type="http://schemas.openxmlformats.org/officeDocument/2006/relationships/hyperlink" Target="mailto:mohamed.a.mahmoud@capgemini.com" TargetMode="External"/><Relationship Id="rId27" Type="http://schemas.openxmlformats.org/officeDocument/2006/relationships/hyperlink" Target="mailto:amr.kotb@capgemini.com" TargetMode="External"/><Relationship Id="rId30" Type="http://schemas.openxmlformats.org/officeDocument/2006/relationships/hyperlink" Target="mailto:amany.abdelazim@capgemini.com" TargetMode="External"/><Relationship Id="rId35" Type="http://schemas.openxmlformats.org/officeDocument/2006/relationships/hyperlink" Target="mailto:hanin.ahmed@capgemini.com" TargetMode="External"/><Relationship Id="rId43" Type="http://schemas.openxmlformats.org/officeDocument/2006/relationships/hyperlink" Target="mailto:ziad.eid@capgemini.com" TargetMode="External"/><Relationship Id="rId48" Type="http://schemas.openxmlformats.org/officeDocument/2006/relationships/hyperlink" Target="mailto:nada.a.amer@capgemini.com" TargetMode="External"/><Relationship Id="rId8" Type="http://schemas.openxmlformats.org/officeDocument/2006/relationships/hyperlink" Target="mailto:nourhan.khafagy@capgemini.com" TargetMode="External"/><Relationship Id="rId51" Type="http://schemas.microsoft.com/office/2017/10/relationships/threadedComment" Target="../threadedComments/threadedComment1.xml"/><Relationship Id="rId3" Type="http://schemas.openxmlformats.org/officeDocument/2006/relationships/hyperlink" Target="mailto:gamal.sayed@capgemini.com" TargetMode="External"/><Relationship Id="rId12" Type="http://schemas.openxmlformats.org/officeDocument/2006/relationships/hyperlink" Target="mailto:alaa.madkour@capgemini.com" TargetMode="External"/><Relationship Id="rId17" Type="http://schemas.openxmlformats.org/officeDocument/2006/relationships/hyperlink" Target="mailto:banan.elsayed@capgemini.com" TargetMode="External"/><Relationship Id="rId25" Type="http://schemas.openxmlformats.org/officeDocument/2006/relationships/hyperlink" Target="mailto:ahmed.elbambi@capgemini.com" TargetMode="External"/><Relationship Id="rId33" Type="http://schemas.openxmlformats.org/officeDocument/2006/relationships/hyperlink" Target="mailto:ammar.ali@capgemini.com" TargetMode="External"/><Relationship Id="rId38" Type="http://schemas.openxmlformats.org/officeDocument/2006/relationships/hyperlink" Target="mailto:hesham.mustafa@capgemini.com" TargetMode="External"/><Relationship Id="rId46" Type="http://schemas.openxmlformats.org/officeDocument/2006/relationships/hyperlink" Target="mailto:hesham.mustafa@capgemini.com" TargetMode="External"/><Relationship Id="rId20" Type="http://schemas.openxmlformats.org/officeDocument/2006/relationships/hyperlink" Target="mailto:mohamed.e.ibrahim@capgemini.com" TargetMode="External"/><Relationship Id="rId41" Type="http://schemas.openxmlformats.org/officeDocument/2006/relationships/hyperlink" Target="mailto:mohamed.a.badr@capgemini.com" TargetMode="External"/><Relationship Id="rId1" Type="http://schemas.openxmlformats.org/officeDocument/2006/relationships/hyperlink" Target="mailto:mennatallah.said@capgemini.com" TargetMode="External"/><Relationship Id="rId6" Type="http://schemas.openxmlformats.org/officeDocument/2006/relationships/hyperlink" Target="mailto:marwan.dahesh@capgemini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capgemini.sharepoint.com/sites/AudiEHD-SDTransition/Lists/Audi%20Onboarding%20Tracker/AllItems.aspx?npsAction=createList&amp;TeamsCID=1bb9f5ad%2D6e9f%2D42b8%2D9d89%2D1051a8392c70&amp;linkOpenTime=1789043006776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mohamed.abdelgawad@capgemini.com" TargetMode="External"/><Relationship Id="rId3" Type="http://schemas.openxmlformats.org/officeDocument/2006/relationships/hyperlink" Target="mailto:alaa.madkour@capgemini.com" TargetMode="External"/><Relationship Id="rId7" Type="http://schemas.openxmlformats.org/officeDocument/2006/relationships/hyperlink" Target="mailto:alaa.madkour@capgemini.com" TargetMode="External"/><Relationship Id="rId2" Type="http://schemas.openxmlformats.org/officeDocument/2006/relationships/hyperlink" Target="mailto:mohamed.abdelgawad@capgemini.com" TargetMode="External"/><Relationship Id="rId1" Type="http://schemas.openxmlformats.org/officeDocument/2006/relationships/hyperlink" Target="mailto:alaa.madkour@capgemini.com" TargetMode="External"/><Relationship Id="rId6" Type="http://schemas.openxmlformats.org/officeDocument/2006/relationships/hyperlink" Target="mailto:mohamed.abdelgawad@capgemini.com" TargetMode="External"/><Relationship Id="rId5" Type="http://schemas.openxmlformats.org/officeDocument/2006/relationships/hyperlink" Target="mailto:alaa.madkour@capgemini.com" TargetMode="External"/><Relationship Id="rId10" Type="http://schemas.openxmlformats.org/officeDocument/2006/relationships/hyperlink" Target="mailto:mohamed.abdelgawad@capgemini.com" TargetMode="External"/><Relationship Id="rId4" Type="http://schemas.openxmlformats.org/officeDocument/2006/relationships/hyperlink" Target="mailto:mohamed.abdelgawad@capgemini.com" TargetMode="External"/><Relationship Id="rId9" Type="http://schemas.openxmlformats.org/officeDocument/2006/relationships/hyperlink" Target="mailto:alaa.madkour@capgemini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alaa.madkour@capgemini.com" TargetMode="External"/><Relationship Id="rId18" Type="http://schemas.openxmlformats.org/officeDocument/2006/relationships/hyperlink" Target="mailto:ahmed.elbambi@capgemini.com" TargetMode="External"/><Relationship Id="rId26" Type="http://schemas.openxmlformats.org/officeDocument/2006/relationships/hyperlink" Target="mailto:arwa-ali-ibrahim-elsayed.ahmed@capgemini.com" TargetMode="External"/><Relationship Id="rId39" Type="http://schemas.openxmlformats.org/officeDocument/2006/relationships/hyperlink" Target="mailto:bassel.shalaby@capgemini.com" TargetMode="External"/><Relationship Id="rId21" Type="http://schemas.openxmlformats.org/officeDocument/2006/relationships/hyperlink" Target="mailto:ahmed.aboelfadl@capgemini.com" TargetMode="External"/><Relationship Id="rId34" Type="http://schemas.openxmlformats.org/officeDocument/2006/relationships/hyperlink" Target="mailto:ammar.ali@capgemini.com" TargetMode="External"/><Relationship Id="rId42" Type="http://schemas.openxmlformats.org/officeDocument/2006/relationships/hyperlink" Target="mailto:kyrillos.asaad@capgemini.com" TargetMode="External"/><Relationship Id="rId47" Type="http://schemas.openxmlformats.org/officeDocument/2006/relationships/hyperlink" Target="mailto:mohamed.a.badr@capgemini.com" TargetMode="External"/><Relationship Id="rId50" Type="http://schemas.openxmlformats.org/officeDocument/2006/relationships/hyperlink" Target="mailto:ahmed.esmail@capgemini.com" TargetMode="External"/><Relationship Id="rId7" Type="http://schemas.openxmlformats.org/officeDocument/2006/relationships/hyperlink" Target="mailto:shahd.hassan@capgemini.com" TargetMode="External"/><Relationship Id="rId2" Type="http://schemas.openxmlformats.org/officeDocument/2006/relationships/hyperlink" Target="mailto:gamal.sayed@capgemini.com" TargetMode="External"/><Relationship Id="rId16" Type="http://schemas.openxmlformats.org/officeDocument/2006/relationships/hyperlink" Target="mailto:nour.a.mahmoud@capgemini.com" TargetMode="External"/><Relationship Id="rId29" Type="http://schemas.openxmlformats.org/officeDocument/2006/relationships/hyperlink" Target="mailto:sara.a.mohamed@capgemini.com" TargetMode="External"/><Relationship Id="rId11" Type="http://schemas.openxmlformats.org/officeDocument/2006/relationships/hyperlink" Target="mailto:mohamed.abdelgawad@capgemini.com" TargetMode="External"/><Relationship Id="rId24" Type="http://schemas.openxmlformats.org/officeDocument/2006/relationships/hyperlink" Target="mailto:mohamed.a.mahmoud@capgemini.com" TargetMode="External"/><Relationship Id="rId32" Type="http://schemas.openxmlformats.org/officeDocument/2006/relationships/hyperlink" Target="mailto:dalia.elsabbagh@capgemini.com" TargetMode="External"/><Relationship Id="rId37" Type="http://schemas.openxmlformats.org/officeDocument/2006/relationships/hyperlink" Target="mailto:khaled.abdelgalil@capgemini.com" TargetMode="External"/><Relationship Id="rId40" Type="http://schemas.openxmlformats.org/officeDocument/2006/relationships/hyperlink" Target="mailto:hanin.ahmed@capgemini.com" TargetMode="External"/><Relationship Id="rId45" Type="http://schemas.openxmlformats.org/officeDocument/2006/relationships/hyperlink" Target="mailto:merna.ashraf@capgemini.com" TargetMode="External"/><Relationship Id="rId5" Type="http://schemas.openxmlformats.org/officeDocument/2006/relationships/hyperlink" Target="mailto:mohamed.makram@capgemini.com" TargetMode="External"/><Relationship Id="rId15" Type="http://schemas.openxmlformats.org/officeDocument/2006/relationships/hyperlink" Target="mailto:mohamed.mosa@capgemini.com" TargetMode="External"/><Relationship Id="rId23" Type="http://schemas.openxmlformats.org/officeDocument/2006/relationships/hyperlink" Target="mailto:marwan.mohamed@capgemini.com" TargetMode="External"/><Relationship Id="rId28" Type="http://schemas.openxmlformats.org/officeDocument/2006/relationships/hyperlink" Target="mailto:amr.kotb@capgemini.com" TargetMode="External"/><Relationship Id="rId36" Type="http://schemas.openxmlformats.org/officeDocument/2006/relationships/hyperlink" Target="mailto:salma.dawaly@capgemini.com" TargetMode="External"/><Relationship Id="rId49" Type="http://schemas.openxmlformats.org/officeDocument/2006/relationships/hyperlink" Target="mailto:hesham.mustafa@capgemini.com" TargetMode="External"/><Relationship Id="rId10" Type="http://schemas.openxmlformats.org/officeDocument/2006/relationships/hyperlink" Target="mailto:mohamed.abdelgawad@capgemini.com" TargetMode="External"/><Relationship Id="rId19" Type="http://schemas.openxmlformats.org/officeDocument/2006/relationships/hyperlink" Target="mailto:mohamed.e.ibrahim@capgemini.com" TargetMode="External"/><Relationship Id="rId31" Type="http://schemas.openxmlformats.org/officeDocument/2006/relationships/hyperlink" Target="mailto:amany.abdelazim@capgemini.com" TargetMode="External"/><Relationship Id="rId44" Type="http://schemas.openxmlformats.org/officeDocument/2006/relationships/hyperlink" Target="mailto:mahmoud.salah-shaker-abdelhafez@capgemini.com" TargetMode="External"/><Relationship Id="rId4" Type="http://schemas.openxmlformats.org/officeDocument/2006/relationships/hyperlink" Target="mailto:hossam.zeid@capgemini.com" TargetMode="External"/><Relationship Id="rId9" Type="http://schemas.openxmlformats.org/officeDocument/2006/relationships/hyperlink" Target="mailto:berta.hanna@capgemini.com" TargetMode="External"/><Relationship Id="rId14" Type="http://schemas.openxmlformats.org/officeDocument/2006/relationships/hyperlink" Target="mailto:hagar.el-sayed@capgemini.com" TargetMode="External"/><Relationship Id="rId22" Type="http://schemas.openxmlformats.org/officeDocument/2006/relationships/hyperlink" Target="mailto:ahmed.abdelgawad@capgemini.com" TargetMode="External"/><Relationship Id="rId27" Type="http://schemas.openxmlformats.org/officeDocument/2006/relationships/hyperlink" Target="mailto:adham.alzorkany@capgemini.com" TargetMode="External"/><Relationship Id="rId30" Type="http://schemas.openxmlformats.org/officeDocument/2006/relationships/hyperlink" Target="mailto:salma.dawaly@capgemini.com" TargetMode="External"/><Relationship Id="rId35" Type="http://schemas.openxmlformats.org/officeDocument/2006/relationships/hyperlink" Target="mailto:amr.kotb@capgemini.com" TargetMode="External"/><Relationship Id="rId43" Type="http://schemas.openxmlformats.org/officeDocument/2006/relationships/hyperlink" Target="mailto:ziad.eid@capgemini.com" TargetMode="External"/><Relationship Id="rId48" Type="http://schemas.openxmlformats.org/officeDocument/2006/relationships/hyperlink" Target="mailto:nada.a.ahmed@capgemini.com" TargetMode="External"/><Relationship Id="rId8" Type="http://schemas.openxmlformats.org/officeDocument/2006/relationships/hyperlink" Target="mailto:nourhan.khafagy@capgemini.com" TargetMode="External"/><Relationship Id="rId51" Type="http://schemas.openxmlformats.org/officeDocument/2006/relationships/hyperlink" Target="mailto:nada.a.amer@capgemini.com" TargetMode="External"/><Relationship Id="rId3" Type="http://schemas.openxmlformats.org/officeDocument/2006/relationships/hyperlink" Target="mailto:mennatallah.said@capgemini.com" TargetMode="External"/><Relationship Id="rId12" Type="http://schemas.openxmlformats.org/officeDocument/2006/relationships/hyperlink" Target="mailto:alaa.madkour@capgemini.com" TargetMode="External"/><Relationship Id="rId17" Type="http://schemas.openxmlformats.org/officeDocument/2006/relationships/hyperlink" Target="mailto:aya.magd-el-din@capgemini.com" TargetMode="External"/><Relationship Id="rId25" Type="http://schemas.openxmlformats.org/officeDocument/2006/relationships/hyperlink" Target="mailto:mariam.elmallawany@capgemini.com" TargetMode="External"/><Relationship Id="rId33" Type="http://schemas.openxmlformats.org/officeDocument/2006/relationships/hyperlink" Target="mailto:khaled.abdelgalil@capgemini.com" TargetMode="External"/><Relationship Id="rId38" Type="http://schemas.openxmlformats.org/officeDocument/2006/relationships/hyperlink" Target="mailto:ammar.ali@capgemini.com" TargetMode="External"/><Relationship Id="rId46" Type="http://schemas.openxmlformats.org/officeDocument/2006/relationships/hyperlink" Target="mailto:mohamed.k.ahmed@capgemini.com" TargetMode="External"/><Relationship Id="rId20" Type="http://schemas.openxmlformats.org/officeDocument/2006/relationships/hyperlink" Target="mailto:banan.elsayed@capgemini.com" TargetMode="External"/><Relationship Id="rId41" Type="http://schemas.openxmlformats.org/officeDocument/2006/relationships/hyperlink" Target="mailto:hagar.abdelhameed@capgemini.com" TargetMode="External"/><Relationship Id="rId1" Type="http://schemas.openxmlformats.org/officeDocument/2006/relationships/hyperlink" Target="mailto:mostafa.mostafa@capgemini.com" TargetMode="External"/><Relationship Id="rId6" Type="http://schemas.openxmlformats.org/officeDocument/2006/relationships/hyperlink" Target="mailto:marwan.dahesh@capgemini.com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mailto:mohamed.abdelgawad@capgemini.com" TargetMode="External"/><Relationship Id="rId1" Type="http://schemas.openxmlformats.org/officeDocument/2006/relationships/hyperlink" Target="mailto:alaa.madkour@capgemini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O107"/>
  <sheetViews>
    <sheetView topLeftCell="A52" workbookViewId="0">
      <pane xSplit="1" topLeftCell="B97" activePane="topRight" state="frozen"/>
      <selection pane="topRight" activeCell="A105" sqref="A105:F107"/>
    </sheetView>
  </sheetViews>
  <sheetFormatPr defaultColWidth="8.140625" defaultRowHeight="15" customHeight="1"/>
  <cols>
    <col min="1" max="1" width="20" customWidth="1"/>
    <col min="2" max="3" width="16.140625" customWidth="1"/>
    <col min="4" max="4" width="45" bestFit="1" customWidth="1"/>
    <col min="5" max="6" width="31.7109375" customWidth="1"/>
    <col min="7" max="7" width="11" customWidth="1"/>
    <col min="8" max="8" width="9.7109375" customWidth="1"/>
    <col min="9" max="10" width="8.85546875" bestFit="1" customWidth="1"/>
    <col min="11" max="11" width="12.28515625" customWidth="1"/>
    <col min="12" max="12" width="10.5703125" customWidth="1"/>
    <col min="13" max="17" width="8.85546875" bestFit="1" customWidth="1"/>
    <col min="18" max="18" width="11.140625" customWidth="1"/>
    <col min="19" max="19" width="13" customWidth="1"/>
    <col min="20" max="20" width="9" customWidth="1"/>
    <col min="21" max="21" width="9.42578125" customWidth="1"/>
    <col min="22" max="23" width="8.85546875" bestFit="1" customWidth="1"/>
    <col min="24" max="26" width="7.28515625" bestFit="1" customWidth="1"/>
    <col min="27" max="27" width="10.85546875" customWidth="1"/>
    <col min="28" max="31" width="10.28515625" bestFit="1" customWidth="1"/>
    <col min="32" max="33" width="7.28515625" bestFit="1" customWidth="1"/>
    <col min="34" max="34" width="10" customWidth="1"/>
    <col min="35" max="35" width="12.140625" customWidth="1"/>
    <col min="36" max="36" width="25.42578125" customWidth="1"/>
    <col min="37" max="37" width="11.140625" customWidth="1"/>
    <col min="40" max="40" width="19" customWidth="1"/>
  </cols>
  <sheetData>
    <row r="1" spans="1:41" ht="14.45">
      <c r="AL1" s="61" t="s">
        <v>0</v>
      </c>
    </row>
    <row r="2" spans="1:41" ht="14.45" hidden="1">
      <c r="A2" s="1" t="s">
        <v>1</v>
      </c>
      <c r="B2" s="6" t="s">
        <v>2</v>
      </c>
      <c r="C2" s="6" t="s">
        <v>3</v>
      </c>
      <c r="D2" s="1" t="s">
        <v>4</v>
      </c>
      <c r="E2" s="6" t="s">
        <v>5</v>
      </c>
      <c r="F2" s="6" t="s">
        <v>6</v>
      </c>
      <c r="G2" s="2">
        <v>46266</v>
      </c>
      <c r="H2" s="2">
        <v>46267</v>
      </c>
      <c r="I2" s="2">
        <v>46268</v>
      </c>
      <c r="J2" s="2">
        <v>46269</v>
      </c>
      <c r="K2" s="2">
        <v>46270</v>
      </c>
      <c r="L2" s="2">
        <v>46271</v>
      </c>
      <c r="M2" s="2">
        <v>46272</v>
      </c>
      <c r="N2" s="2">
        <v>46273</v>
      </c>
      <c r="O2" s="2">
        <v>46274</v>
      </c>
      <c r="P2" s="2">
        <v>46275</v>
      </c>
      <c r="Q2" s="2">
        <v>46276</v>
      </c>
      <c r="R2" s="2">
        <v>46277</v>
      </c>
      <c r="S2" s="2">
        <v>46278</v>
      </c>
      <c r="T2" s="2">
        <v>46279</v>
      </c>
      <c r="U2" s="2">
        <v>46280</v>
      </c>
      <c r="V2" s="2">
        <v>46281</v>
      </c>
      <c r="W2" s="2">
        <v>46282</v>
      </c>
      <c r="X2" s="2">
        <v>46283</v>
      </c>
      <c r="Y2" s="2">
        <v>46284</v>
      </c>
      <c r="Z2" s="2">
        <v>46285</v>
      </c>
      <c r="AA2" s="2">
        <v>46286</v>
      </c>
      <c r="AB2" s="2">
        <v>46287</v>
      </c>
      <c r="AC2" s="2">
        <v>46288</v>
      </c>
      <c r="AD2" s="2">
        <v>46289</v>
      </c>
      <c r="AE2" s="2">
        <v>46290</v>
      </c>
      <c r="AF2" s="2">
        <v>46291</v>
      </c>
      <c r="AG2" s="2">
        <v>46292</v>
      </c>
      <c r="AH2" s="2">
        <v>46293</v>
      </c>
      <c r="AI2" s="2">
        <v>46294</v>
      </c>
      <c r="AJ2" s="63">
        <v>46295</v>
      </c>
      <c r="AL2" s="62" t="s">
        <v>7</v>
      </c>
    </row>
    <row r="3" spans="1:41" ht="15.95" hidden="1">
      <c r="A3" s="46" t="s">
        <v>8</v>
      </c>
      <c r="B3" s="7" t="str">
        <f>PROPER(_xlfn.TEXTBEFORE(TRIM(A3), " ", 1))</f>
        <v>Mostafa</v>
      </c>
      <c r="C3" s="7" t="str">
        <f>_xlfn.TEXTAFTER(TRIM(A3), " ", -1)</f>
        <v>Mostafa</v>
      </c>
      <c r="D3" s="4" t="s">
        <v>9</v>
      </c>
      <c r="E3" s="12">
        <v>46235</v>
      </c>
      <c r="F3" s="7" t="s">
        <v>10</v>
      </c>
      <c r="G3" s="35" t="s">
        <v>11</v>
      </c>
      <c r="H3" s="35" t="s">
        <v>11</v>
      </c>
      <c r="I3" s="35" t="s">
        <v>11</v>
      </c>
      <c r="J3" s="35" t="s">
        <v>11</v>
      </c>
      <c r="K3" s="3" t="s">
        <v>12</v>
      </c>
      <c r="L3" s="3" t="s">
        <v>12</v>
      </c>
      <c r="M3" s="35" t="s">
        <v>11</v>
      </c>
      <c r="N3" s="35" t="s">
        <v>11</v>
      </c>
      <c r="O3" s="35" t="s">
        <v>11</v>
      </c>
      <c r="P3" s="35" t="s">
        <v>11</v>
      </c>
      <c r="Q3" s="35" t="s">
        <v>11</v>
      </c>
      <c r="R3" s="3" t="s">
        <v>12</v>
      </c>
      <c r="S3" s="3" t="s">
        <v>12</v>
      </c>
      <c r="T3" s="35" t="s">
        <v>11</v>
      </c>
      <c r="U3" s="35" t="s">
        <v>11</v>
      </c>
      <c r="V3" s="35" t="s">
        <v>11</v>
      </c>
      <c r="W3" s="35" t="s">
        <v>11</v>
      </c>
      <c r="X3" s="3" t="s">
        <v>13</v>
      </c>
      <c r="Y3" s="3" t="s">
        <v>12</v>
      </c>
      <c r="Z3" s="3" t="s">
        <v>12</v>
      </c>
      <c r="AA3" s="35" t="s">
        <v>11</v>
      </c>
      <c r="AB3" s="35" t="s">
        <v>11</v>
      </c>
      <c r="AC3" s="35" t="s">
        <v>11</v>
      </c>
      <c r="AD3" s="35" t="s">
        <v>11</v>
      </c>
      <c r="AE3" s="35" t="s">
        <v>11</v>
      </c>
      <c r="AF3" s="3" t="s">
        <v>12</v>
      </c>
      <c r="AG3" s="3" t="s">
        <v>12</v>
      </c>
      <c r="AH3" s="35" t="s">
        <v>11</v>
      </c>
      <c r="AI3" s="35" t="s">
        <v>11</v>
      </c>
      <c r="AJ3" s="35" t="s">
        <v>11</v>
      </c>
      <c r="AL3" s="62" t="s">
        <v>7</v>
      </c>
      <c r="AN3" s="76" t="s">
        <v>14</v>
      </c>
    </row>
    <row r="4" spans="1:41" ht="14.45" hidden="1">
      <c r="A4" s="46" t="s">
        <v>15</v>
      </c>
      <c r="B4" s="7" t="str">
        <f t="shared" ref="B4:B12" si="0">PROPER(_xlfn.TEXTBEFORE(TRIM(A4), " ", 1))</f>
        <v>Gamal</v>
      </c>
      <c r="C4" s="7" t="str">
        <f t="shared" ref="C4:C12" si="1">_xlfn.TEXTAFTER(TRIM(A4), " ", -1)</f>
        <v>Sayed</v>
      </c>
      <c r="D4" s="4" t="s">
        <v>16</v>
      </c>
      <c r="E4" s="12">
        <v>46251</v>
      </c>
      <c r="F4" s="7" t="s">
        <v>10</v>
      </c>
      <c r="G4" s="35" t="s">
        <v>11</v>
      </c>
      <c r="H4" s="35" t="s">
        <v>11</v>
      </c>
      <c r="I4" s="35" t="s">
        <v>11</v>
      </c>
      <c r="J4" s="35" t="s">
        <v>11</v>
      </c>
      <c r="K4" s="3" t="s">
        <v>12</v>
      </c>
      <c r="L4" s="3" t="s">
        <v>12</v>
      </c>
      <c r="M4" s="35" t="s">
        <v>11</v>
      </c>
      <c r="N4" s="35" t="s">
        <v>11</v>
      </c>
      <c r="O4" s="35" t="s">
        <v>11</v>
      </c>
      <c r="P4" s="35" t="s">
        <v>11</v>
      </c>
      <c r="Q4" s="35" t="s">
        <v>11</v>
      </c>
      <c r="R4" s="3" t="s">
        <v>12</v>
      </c>
      <c r="S4" s="3" t="s">
        <v>12</v>
      </c>
      <c r="T4" s="35" t="s">
        <v>11</v>
      </c>
      <c r="U4" s="35" t="s">
        <v>11</v>
      </c>
      <c r="V4" s="35" t="s">
        <v>11</v>
      </c>
      <c r="W4" s="35" t="s">
        <v>11</v>
      </c>
      <c r="X4" s="35" t="s">
        <v>11</v>
      </c>
      <c r="Y4" s="3" t="s">
        <v>12</v>
      </c>
      <c r="Z4" s="3" t="s">
        <v>12</v>
      </c>
      <c r="AA4" s="35" t="s">
        <v>11</v>
      </c>
      <c r="AB4" s="35" t="s">
        <v>11</v>
      </c>
      <c r="AC4" s="35" t="s">
        <v>11</v>
      </c>
      <c r="AD4" s="35" t="s">
        <v>11</v>
      </c>
      <c r="AE4" s="35" t="s">
        <v>11</v>
      </c>
      <c r="AF4" s="3" t="s">
        <v>12</v>
      </c>
      <c r="AG4" s="3" t="s">
        <v>12</v>
      </c>
      <c r="AH4" s="35" t="s">
        <v>11</v>
      </c>
      <c r="AI4" s="35" t="s">
        <v>11</v>
      </c>
      <c r="AJ4" s="35" t="s">
        <v>11</v>
      </c>
      <c r="AL4" s="62" t="s">
        <v>7</v>
      </c>
      <c r="AN4" s="66" t="s">
        <v>17</v>
      </c>
    </row>
    <row r="5" spans="1:41" ht="14.45" hidden="1">
      <c r="A5" s="46" t="s">
        <v>18</v>
      </c>
      <c r="B5" s="8" t="str">
        <f t="shared" si="0"/>
        <v>Mennatallah</v>
      </c>
      <c r="C5" s="8" t="str">
        <f t="shared" si="1"/>
        <v>Said</v>
      </c>
      <c r="D5" s="4" t="s">
        <v>19</v>
      </c>
      <c r="E5" s="12">
        <v>46235</v>
      </c>
      <c r="F5" s="7" t="s">
        <v>10</v>
      </c>
      <c r="G5" s="36" t="s">
        <v>13</v>
      </c>
      <c r="H5" s="36" t="s">
        <v>13</v>
      </c>
      <c r="I5" s="35" t="s">
        <v>11</v>
      </c>
      <c r="J5" s="35" t="s">
        <v>11</v>
      </c>
      <c r="K5" s="13" t="s">
        <v>12</v>
      </c>
      <c r="L5" s="13" t="s">
        <v>12</v>
      </c>
      <c r="M5" s="35" t="s">
        <v>11</v>
      </c>
      <c r="N5" s="35" t="s">
        <v>11</v>
      </c>
      <c r="O5" s="35" t="s">
        <v>11</v>
      </c>
      <c r="P5" s="35" t="s">
        <v>11</v>
      </c>
      <c r="Q5" s="35" t="s">
        <v>11</v>
      </c>
      <c r="R5" s="3" t="s">
        <v>12</v>
      </c>
      <c r="S5" s="3" t="s">
        <v>12</v>
      </c>
      <c r="T5" s="35" t="s">
        <v>11</v>
      </c>
      <c r="U5" s="35" t="s">
        <v>11</v>
      </c>
      <c r="V5" s="35" t="s">
        <v>11</v>
      </c>
      <c r="W5" s="35" t="s">
        <v>11</v>
      </c>
      <c r="X5" s="35" t="s">
        <v>11</v>
      </c>
      <c r="Y5" s="3" t="s">
        <v>12</v>
      </c>
      <c r="Z5" s="3" t="s">
        <v>12</v>
      </c>
      <c r="AA5" s="35" t="s">
        <v>11</v>
      </c>
      <c r="AB5" s="35" t="s">
        <v>11</v>
      </c>
      <c r="AC5" s="35" t="s">
        <v>11</v>
      </c>
      <c r="AD5" s="35" t="s">
        <v>11</v>
      </c>
      <c r="AE5" s="35" t="s">
        <v>11</v>
      </c>
      <c r="AF5" s="3" t="s">
        <v>12</v>
      </c>
      <c r="AG5" s="3" t="s">
        <v>12</v>
      </c>
      <c r="AH5" s="35" t="s">
        <v>11</v>
      </c>
      <c r="AI5" s="35" t="s">
        <v>11</v>
      </c>
      <c r="AJ5" s="35" t="s">
        <v>11</v>
      </c>
      <c r="AL5" s="62" t="s">
        <v>7</v>
      </c>
      <c r="AN5" s="67" t="s">
        <v>11</v>
      </c>
    </row>
    <row r="6" spans="1:41" ht="14.45" hidden="1">
      <c r="A6" s="3" t="s">
        <v>20</v>
      </c>
      <c r="B6" s="3" t="str">
        <f t="shared" si="0"/>
        <v>Hossam</v>
      </c>
      <c r="C6" s="3" t="str">
        <f t="shared" si="1"/>
        <v>Zeid</v>
      </c>
      <c r="D6" s="4" t="s">
        <v>21</v>
      </c>
      <c r="E6" s="12">
        <v>46272</v>
      </c>
      <c r="F6" s="7" t="s">
        <v>22</v>
      </c>
      <c r="G6" s="213"/>
      <c r="H6" s="214"/>
      <c r="I6" s="214"/>
      <c r="J6" s="214"/>
      <c r="K6" s="214"/>
      <c r="L6" s="215"/>
      <c r="M6" s="37" t="s">
        <v>11</v>
      </c>
      <c r="N6" s="35" t="s">
        <v>11</v>
      </c>
      <c r="O6" s="35" t="s">
        <v>11</v>
      </c>
      <c r="P6" s="35" t="s">
        <v>11</v>
      </c>
      <c r="Q6" s="35" t="s">
        <v>11</v>
      </c>
      <c r="R6" s="3" t="s">
        <v>12</v>
      </c>
      <c r="S6" s="3" t="s">
        <v>12</v>
      </c>
      <c r="T6" s="35" t="s">
        <v>11</v>
      </c>
      <c r="U6" s="35" t="s">
        <v>11</v>
      </c>
      <c r="V6" s="38" t="s">
        <v>11</v>
      </c>
      <c r="W6" s="35" t="s">
        <v>11</v>
      </c>
      <c r="X6" s="35" t="s">
        <v>11</v>
      </c>
      <c r="Y6" s="3" t="s">
        <v>12</v>
      </c>
      <c r="Z6" s="3" t="s">
        <v>12</v>
      </c>
      <c r="AA6" s="35" t="s">
        <v>11</v>
      </c>
      <c r="AB6" s="35" t="s">
        <v>11</v>
      </c>
      <c r="AC6" s="35" t="s">
        <v>11</v>
      </c>
      <c r="AD6" s="35" t="s">
        <v>11</v>
      </c>
      <c r="AE6" s="35" t="s">
        <v>11</v>
      </c>
      <c r="AF6" s="3" t="s">
        <v>12</v>
      </c>
      <c r="AG6" s="3" t="s">
        <v>12</v>
      </c>
      <c r="AH6" s="35" t="s">
        <v>11</v>
      </c>
      <c r="AI6" s="35" t="s">
        <v>11</v>
      </c>
      <c r="AJ6" s="35" t="s">
        <v>11</v>
      </c>
      <c r="AL6" s="62" t="s">
        <v>7</v>
      </c>
      <c r="AN6" s="68" t="s">
        <v>13</v>
      </c>
    </row>
    <row r="7" spans="1:41" ht="14.45" hidden="1">
      <c r="A7" s="13" t="s">
        <v>23</v>
      </c>
      <c r="B7" s="13" t="str">
        <f t="shared" si="0"/>
        <v>Makram</v>
      </c>
      <c r="C7" s="13" t="str">
        <f t="shared" si="1"/>
        <v>Mohamed</v>
      </c>
      <c r="D7" s="17" t="s">
        <v>24</v>
      </c>
      <c r="E7" s="18">
        <v>46267</v>
      </c>
      <c r="F7" s="8" t="s">
        <v>22</v>
      </c>
      <c r="G7" s="39"/>
      <c r="H7" s="37" t="s">
        <v>11</v>
      </c>
      <c r="I7" s="35" t="s">
        <v>11</v>
      </c>
      <c r="J7" s="35" t="s">
        <v>11</v>
      </c>
      <c r="K7" s="15" t="s">
        <v>12</v>
      </c>
      <c r="L7" s="15" t="s">
        <v>12</v>
      </c>
      <c r="M7" s="35" t="s">
        <v>11</v>
      </c>
      <c r="N7" s="35" t="s">
        <v>11</v>
      </c>
      <c r="O7" s="35" t="s">
        <v>11</v>
      </c>
      <c r="P7" s="35" t="s">
        <v>11</v>
      </c>
      <c r="Q7" s="35" t="s">
        <v>11</v>
      </c>
      <c r="R7" s="13" t="s">
        <v>12</v>
      </c>
      <c r="S7" s="13" t="s">
        <v>12</v>
      </c>
      <c r="T7" s="35" t="s">
        <v>11</v>
      </c>
      <c r="U7" s="35" t="s">
        <v>11</v>
      </c>
      <c r="V7" s="35" t="s">
        <v>11</v>
      </c>
      <c r="W7" s="35" t="s">
        <v>11</v>
      </c>
      <c r="X7" s="35" t="s">
        <v>11</v>
      </c>
      <c r="Y7" s="3" t="s">
        <v>12</v>
      </c>
      <c r="Z7" s="3" t="s">
        <v>12</v>
      </c>
      <c r="AA7" s="35" t="s">
        <v>11</v>
      </c>
      <c r="AB7" s="35" t="s">
        <v>11</v>
      </c>
      <c r="AC7" s="35" t="s">
        <v>11</v>
      </c>
      <c r="AD7" s="35" t="s">
        <v>11</v>
      </c>
      <c r="AE7" s="35" t="s">
        <v>11</v>
      </c>
      <c r="AF7" s="3" t="s">
        <v>12</v>
      </c>
      <c r="AG7" s="3" t="s">
        <v>12</v>
      </c>
      <c r="AH7" s="35" t="s">
        <v>11</v>
      </c>
      <c r="AI7" s="35" t="s">
        <v>11</v>
      </c>
      <c r="AJ7" s="40" t="s">
        <v>25</v>
      </c>
      <c r="AL7" s="62" t="s">
        <v>7</v>
      </c>
      <c r="AN7" s="69" t="s">
        <v>12</v>
      </c>
    </row>
    <row r="8" spans="1:41" ht="14.45" hidden="1">
      <c r="A8" s="13" t="s">
        <v>26</v>
      </c>
      <c r="B8" s="13" t="str">
        <f t="shared" si="0"/>
        <v>Marwan</v>
      </c>
      <c r="C8" s="13" t="str">
        <f t="shared" si="1"/>
        <v>Dahesh</v>
      </c>
      <c r="D8" s="17" t="s">
        <v>27</v>
      </c>
      <c r="E8" s="19">
        <v>46279</v>
      </c>
      <c r="F8" s="8" t="s">
        <v>22</v>
      </c>
      <c r="G8" s="213"/>
      <c r="H8" s="216"/>
      <c r="I8" s="216"/>
      <c r="J8" s="216"/>
      <c r="K8" s="216"/>
      <c r="L8" s="216"/>
      <c r="M8" s="216"/>
      <c r="N8" s="216"/>
      <c r="O8" s="216"/>
      <c r="P8" s="216"/>
      <c r="Q8" s="216"/>
      <c r="R8" s="216"/>
      <c r="S8" s="217"/>
      <c r="T8" s="37" t="s">
        <v>11</v>
      </c>
      <c r="U8" s="35" t="s">
        <v>11</v>
      </c>
      <c r="V8" s="35" t="s">
        <v>11</v>
      </c>
      <c r="W8" s="35" t="s">
        <v>11</v>
      </c>
      <c r="X8" s="35" t="s">
        <v>11</v>
      </c>
      <c r="Y8" s="3" t="s">
        <v>12</v>
      </c>
      <c r="Z8" s="3" t="s">
        <v>12</v>
      </c>
      <c r="AA8" s="35" t="s">
        <v>11</v>
      </c>
      <c r="AB8" s="35" t="s">
        <v>11</v>
      </c>
      <c r="AC8" s="35" t="s">
        <v>11</v>
      </c>
      <c r="AD8" s="35" t="s">
        <v>11</v>
      </c>
      <c r="AE8" s="35" t="s">
        <v>11</v>
      </c>
      <c r="AF8" s="3" t="s">
        <v>12</v>
      </c>
      <c r="AG8" s="3" t="s">
        <v>12</v>
      </c>
      <c r="AH8" s="35" t="s">
        <v>11</v>
      </c>
      <c r="AI8" s="35" t="s">
        <v>11</v>
      </c>
      <c r="AJ8" s="35" t="s">
        <v>11</v>
      </c>
      <c r="AL8" s="62" t="s">
        <v>7</v>
      </c>
      <c r="AN8" s="70" t="s">
        <v>28</v>
      </c>
    </row>
    <row r="9" spans="1:41" ht="14.45" hidden="1">
      <c r="A9" s="3" t="s">
        <v>29</v>
      </c>
      <c r="B9" s="3" t="str">
        <f t="shared" si="0"/>
        <v>Shahd</v>
      </c>
      <c r="C9" s="3" t="str">
        <f t="shared" si="1"/>
        <v>Hassan</v>
      </c>
      <c r="D9" s="4" t="s">
        <v>30</v>
      </c>
      <c r="E9" s="16">
        <v>46279</v>
      </c>
      <c r="F9" s="3" t="s">
        <v>22</v>
      </c>
      <c r="G9" s="218"/>
      <c r="H9" s="218"/>
      <c r="I9" s="218"/>
      <c r="J9" s="218"/>
      <c r="K9" s="218"/>
      <c r="L9" s="218"/>
      <c r="M9" s="218"/>
      <c r="N9" s="218"/>
      <c r="O9" s="218"/>
      <c r="P9" s="218"/>
      <c r="Q9" s="218"/>
      <c r="R9" s="218"/>
      <c r="S9" s="219"/>
      <c r="T9" s="37" t="s">
        <v>11</v>
      </c>
      <c r="U9" s="35" t="s">
        <v>11</v>
      </c>
      <c r="V9" s="35" t="s">
        <v>11</v>
      </c>
      <c r="W9" s="35" t="s">
        <v>11</v>
      </c>
      <c r="X9" s="35" t="s">
        <v>11</v>
      </c>
      <c r="Y9" s="3" t="s">
        <v>12</v>
      </c>
      <c r="Z9" s="3" t="s">
        <v>12</v>
      </c>
      <c r="AA9" s="35" t="s">
        <v>11</v>
      </c>
      <c r="AB9" s="35" t="s">
        <v>11</v>
      </c>
      <c r="AC9" s="35" t="s">
        <v>11</v>
      </c>
      <c r="AD9" s="35" t="s">
        <v>11</v>
      </c>
      <c r="AE9" s="35" t="s">
        <v>11</v>
      </c>
      <c r="AF9" s="3" t="s">
        <v>12</v>
      </c>
      <c r="AG9" s="3" t="s">
        <v>12</v>
      </c>
      <c r="AH9" s="35" t="s">
        <v>11</v>
      </c>
      <c r="AI9" s="35" t="s">
        <v>11</v>
      </c>
      <c r="AJ9" s="40" t="s">
        <v>25</v>
      </c>
      <c r="AL9" s="62" t="s">
        <v>7</v>
      </c>
      <c r="AN9" s="71" t="s">
        <v>31</v>
      </c>
    </row>
    <row r="10" spans="1:41" ht="14.45" hidden="1">
      <c r="A10" s="3" t="s">
        <v>32</v>
      </c>
      <c r="B10" s="3" t="str">
        <f t="shared" si="0"/>
        <v>Nourhan</v>
      </c>
      <c r="C10" s="3" t="str">
        <f t="shared" si="1"/>
        <v>Khafagy</v>
      </c>
      <c r="D10" s="4" t="s">
        <v>33</v>
      </c>
      <c r="E10" s="16">
        <v>46279</v>
      </c>
      <c r="F10" s="3" t="s">
        <v>22</v>
      </c>
      <c r="G10" s="218"/>
      <c r="H10" s="218"/>
      <c r="I10" s="218"/>
      <c r="J10" s="218"/>
      <c r="K10" s="218"/>
      <c r="L10" s="218"/>
      <c r="M10" s="218"/>
      <c r="N10" s="218"/>
      <c r="O10" s="218"/>
      <c r="P10" s="218"/>
      <c r="Q10" s="218"/>
      <c r="R10" s="218"/>
      <c r="S10" s="219"/>
      <c r="T10" s="37" t="s">
        <v>11</v>
      </c>
      <c r="U10" s="35" t="s">
        <v>11</v>
      </c>
      <c r="V10" s="35" t="s">
        <v>11</v>
      </c>
      <c r="W10" s="35" t="s">
        <v>11</v>
      </c>
      <c r="X10" s="35" t="s">
        <v>11</v>
      </c>
      <c r="Y10" s="3" t="s">
        <v>12</v>
      </c>
      <c r="Z10" s="3" t="s">
        <v>12</v>
      </c>
      <c r="AA10" s="35" t="s">
        <v>11</v>
      </c>
      <c r="AB10" s="35" t="s">
        <v>11</v>
      </c>
      <c r="AC10" s="35" t="s">
        <v>11</v>
      </c>
      <c r="AD10" s="35" t="s">
        <v>11</v>
      </c>
      <c r="AE10" s="35" t="s">
        <v>11</v>
      </c>
      <c r="AF10" s="3" t="s">
        <v>12</v>
      </c>
      <c r="AG10" s="3" t="s">
        <v>12</v>
      </c>
      <c r="AH10" s="35" t="s">
        <v>11</v>
      </c>
      <c r="AI10" s="35" t="s">
        <v>11</v>
      </c>
      <c r="AJ10" s="35" t="s">
        <v>11</v>
      </c>
      <c r="AL10" s="62" t="s">
        <v>7</v>
      </c>
      <c r="AN10" s="72" t="s">
        <v>11</v>
      </c>
      <c r="AO10" t="s">
        <v>34</v>
      </c>
    </row>
    <row r="11" spans="1:41" ht="14.45" hidden="1">
      <c r="A11" s="3" t="s">
        <v>35</v>
      </c>
      <c r="B11" s="3" t="str">
        <f t="shared" si="0"/>
        <v>Berta</v>
      </c>
      <c r="C11" s="3" t="str">
        <f t="shared" si="1"/>
        <v>Hanna</v>
      </c>
      <c r="D11" s="4" t="s">
        <v>36</v>
      </c>
      <c r="E11" s="16">
        <v>46279</v>
      </c>
      <c r="F11" s="3" t="s">
        <v>22</v>
      </c>
      <c r="G11" s="218"/>
      <c r="H11" s="218"/>
      <c r="I11" s="218"/>
      <c r="J11" s="218"/>
      <c r="K11" s="218"/>
      <c r="L11" s="218"/>
      <c r="M11" s="218"/>
      <c r="N11" s="218"/>
      <c r="O11" s="218"/>
      <c r="P11" s="218"/>
      <c r="Q11" s="218"/>
      <c r="R11" s="218"/>
      <c r="S11" s="219"/>
      <c r="T11" s="37" t="s">
        <v>11</v>
      </c>
      <c r="U11" s="35" t="s">
        <v>11</v>
      </c>
      <c r="V11" s="35" t="s">
        <v>11</v>
      </c>
      <c r="W11" s="35" t="s">
        <v>11</v>
      </c>
      <c r="X11" s="35" t="s">
        <v>11</v>
      </c>
      <c r="Y11" s="3" t="s">
        <v>12</v>
      </c>
      <c r="Z11" s="3" t="s">
        <v>12</v>
      </c>
      <c r="AA11" s="40" t="s">
        <v>37</v>
      </c>
      <c r="AB11" s="35" t="s">
        <v>11</v>
      </c>
      <c r="AC11" s="35" t="s">
        <v>11</v>
      </c>
      <c r="AD11" s="35" t="s">
        <v>11</v>
      </c>
      <c r="AE11" s="35" t="s">
        <v>11</v>
      </c>
      <c r="AF11" s="3" t="s">
        <v>12</v>
      </c>
      <c r="AG11" s="3" t="s">
        <v>12</v>
      </c>
      <c r="AH11" s="35" t="s">
        <v>11</v>
      </c>
      <c r="AI11" s="35" t="s">
        <v>11</v>
      </c>
      <c r="AJ11" s="35" t="s">
        <v>11</v>
      </c>
      <c r="AL11" s="62" t="s">
        <v>7</v>
      </c>
      <c r="AN11" s="73" t="s">
        <v>11</v>
      </c>
      <c r="AO11" t="s">
        <v>38</v>
      </c>
    </row>
    <row r="12" spans="1:41" ht="14.45" hidden="1">
      <c r="A12" s="3" t="s">
        <v>39</v>
      </c>
      <c r="B12" s="3" t="str">
        <f t="shared" si="0"/>
        <v>Mohamed</v>
      </c>
      <c r="C12" s="3" t="str">
        <f t="shared" si="1"/>
        <v xml:space="preserve">Elaidi
</v>
      </c>
      <c r="D12" s="17" t="s">
        <v>40</v>
      </c>
      <c r="E12" s="16">
        <v>46280</v>
      </c>
      <c r="F12" s="7" t="s">
        <v>22</v>
      </c>
      <c r="G12" s="213"/>
      <c r="H12" s="216"/>
      <c r="I12" s="216"/>
      <c r="J12" s="216"/>
      <c r="K12" s="216"/>
      <c r="L12" s="216"/>
      <c r="M12" s="216"/>
      <c r="N12" s="216"/>
      <c r="O12" s="216"/>
      <c r="P12" s="216"/>
      <c r="Q12" s="216"/>
      <c r="R12" s="216"/>
      <c r="S12" s="216"/>
      <c r="T12" s="217"/>
      <c r="U12" s="37" t="s">
        <v>11</v>
      </c>
      <c r="V12" s="35" t="s">
        <v>11</v>
      </c>
      <c r="W12" s="35" t="s">
        <v>11</v>
      </c>
      <c r="X12" s="35" t="s">
        <v>11</v>
      </c>
      <c r="Y12" s="3" t="s">
        <v>12</v>
      </c>
      <c r="Z12" s="3" t="s">
        <v>12</v>
      </c>
      <c r="AA12" s="35" t="s">
        <v>11</v>
      </c>
      <c r="AB12" s="35" t="s">
        <v>11</v>
      </c>
      <c r="AC12" s="35" t="s">
        <v>11</v>
      </c>
      <c r="AD12" s="35" t="s">
        <v>11</v>
      </c>
      <c r="AE12" s="35" t="s">
        <v>11</v>
      </c>
      <c r="AF12" s="3" t="s">
        <v>12</v>
      </c>
      <c r="AG12" s="3" t="s">
        <v>12</v>
      </c>
      <c r="AH12" s="35" t="s">
        <v>11</v>
      </c>
      <c r="AI12" s="35" t="s">
        <v>11</v>
      </c>
      <c r="AJ12" s="35" t="s">
        <v>11</v>
      </c>
      <c r="AL12" s="62" t="s">
        <v>7</v>
      </c>
      <c r="AN12" s="74" t="s">
        <v>37</v>
      </c>
      <c r="AO12" t="s">
        <v>41</v>
      </c>
    </row>
    <row r="13" spans="1:41" ht="14.45" hidden="1">
      <c r="A13" s="3" t="s">
        <v>42</v>
      </c>
      <c r="B13" s="3" t="s">
        <v>43</v>
      </c>
      <c r="C13" s="3" t="s">
        <v>44</v>
      </c>
      <c r="D13" s="17" t="s">
        <v>45</v>
      </c>
      <c r="E13" s="16">
        <v>46281</v>
      </c>
      <c r="F13" s="7" t="s">
        <v>22</v>
      </c>
      <c r="G13" s="213"/>
      <c r="H13" s="216"/>
      <c r="I13" s="216"/>
      <c r="J13" s="216"/>
      <c r="K13" s="216"/>
      <c r="L13" s="216"/>
      <c r="M13" s="216"/>
      <c r="N13" s="216"/>
      <c r="O13" s="216"/>
      <c r="P13" s="216"/>
      <c r="Q13" s="216"/>
      <c r="R13" s="216"/>
      <c r="S13" s="216"/>
      <c r="T13" s="216"/>
      <c r="U13" s="215"/>
      <c r="V13" s="37" t="s">
        <v>11</v>
      </c>
      <c r="W13" s="35" t="s">
        <v>11</v>
      </c>
      <c r="X13" s="35" t="s">
        <v>11</v>
      </c>
      <c r="Y13" s="3" t="s">
        <v>12</v>
      </c>
      <c r="Z13" s="3" t="s">
        <v>12</v>
      </c>
      <c r="AA13" s="35" t="s">
        <v>11</v>
      </c>
      <c r="AB13" s="35" t="s">
        <v>11</v>
      </c>
      <c r="AC13" s="40" t="s">
        <v>37</v>
      </c>
      <c r="AD13" s="35" t="s">
        <v>11</v>
      </c>
      <c r="AE13" s="35" t="s">
        <v>11</v>
      </c>
      <c r="AF13" s="3" t="s">
        <v>12</v>
      </c>
      <c r="AG13" s="3" t="s">
        <v>12</v>
      </c>
      <c r="AH13" s="40" t="s">
        <v>37</v>
      </c>
      <c r="AI13" s="35" t="s">
        <v>11</v>
      </c>
      <c r="AJ13" s="35" t="s">
        <v>11</v>
      </c>
      <c r="AL13" s="62" t="s">
        <v>7</v>
      </c>
      <c r="AN13" s="64" t="s">
        <v>37</v>
      </c>
      <c r="AO13" t="s">
        <v>46</v>
      </c>
    </row>
    <row r="14" spans="1:41" ht="14.45" hidden="1">
      <c r="A14" s="3" t="s">
        <v>47</v>
      </c>
      <c r="B14" s="3" t="s">
        <v>48</v>
      </c>
      <c r="C14" s="3" t="s">
        <v>49</v>
      </c>
      <c r="D14" s="4" t="s">
        <v>50</v>
      </c>
      <c r="E14" s="16">
        <v>46280</v>
      </c>
      <c r="F14" s="7" t="s">
        <v>22</v>
      </c>
      <c r="G14" s="213"/>
      <c r="H14" s="216"/>
      <c r="I14" s="216"/>
      <c r="J14" s="216"/>
      <c r="K14" s="216"/>
      <c r="L14" s="216"/>
      <c r="M14" s="216"/>
      <c r="N14" s="216"/>
      <c r="O14" s="216"/>
      <c r="P14" s="216"/>
      <c r="Q14" s="216"/>
      <c r="R14" s="216"/>
      <c r="S14" s="216"/>
      <c r="T14" s="217"/>
      <c r="U14" s="37" t="s">
        <v>11</v>
      </c>
      <c r="V14" s="35" t="s">
        <v>11</v>
      </c>
      <c r="W14" s="35" t="s">
        <v>11</v>
      </c>
      <c r="X14" s="35" t="s">
        <v>11</v>
      </c>
      <c r="Y14" s="3" t="s">
        <v>12</v>
      </c>
      <c r="Z14" s="3" t="s">
        <v>12</v>
      </c>
      <c r="AA14" s="35" t="s">
        <v>11</v>
      </c>
      <c r="AB14" s="40" t="s">
        <v>37</v>
      </c>
      <c r="AC14" s="40" t="s">
        <v>37</v>
      </c>
      <c r="AD14" s="35" t="s">
        <v>11</v>
      </c>
      <c r="AE14" s="35" t="s">
        <v>11</v>
      </c>
      <c r="AF14" s="3" t="s">
        <v>12</v>
      </c>
      <c r="AG14" s="3" t="s">
        <v>12</v>
      </c>
      <c r="AH14" s="35" t="s">
        <v>11</v>
      </c>
      <c r="AI14" s="35" t="s">
        <v>11</v>
      </c>
      <c r="AJ14" s="35" t="s">
        <v>11</v>
      </c>
      <c r="AL14" s="62" t="s">
        <v>7</v>
      </c>
      <c r="AN14" s="75" t="s">
        <v>51</v>
      </c>
    </row>
    <row r="15" spans="1:41" ht="14.45" hidden="1">
      <c r="A15" s="3" t="s">
        <v>52</v>
      </c>
      <c r="B15" s="3" t="s">
        <v>53</v>
      </c>
      <c r="C15" s="3" t="s">
        <v>54</v>
      </c>
      <c r="D15" s="42" t="s">
        <v>55</v>
      </c>
      <c r="E15" s="16">
        <v>46281</v>
      </c>
      <c r="F15" s="7" t="s">
        <v>22</v>
      </c>
      <c r="G15" s="220"/>
      <c r="H15" s="214"/>
      <c r="I15" s="214"/>
      <c r="J15" s="214"/>
      <c r="K15" s="214"/>
      <c r="L15" s="214"/>
      <c r="M15" s="214"/>
      <c r="N15" s="214"/>
      <c r="O15" s="214"/>
      <c r="P15" s="214"/>
      <c r="Q15" s="214"/>
      <c r="R15" s="214"/>
      <c r="S15" s="214"/>
      <c r="T15" s="214"/>
      <c r="U15" s="215"/>
      <c r="V15" s="37" t="s">
        <v>11</v>
      </c>
      <c r="W15" s="35" t="s">
        <v>11</v>
      </c>
      <c r="X15" s="35" t="s">
        <v>11</v>
      </c>
      <c r="Y15" s="3" t="s">
        <v>12</v>
      </c>
      <c r="Z15" s="3" t="s">
        <v>12</v>
      </c>
      <c r="AA15" s="40" t="s">
        <v>37</v>
      </c>
      <c r="AB15" s="35" t="s">
        <v>11</v>
      </c>
      <c r="AC15" s="35" t="s">
        <v>11</v>
      </c>
      <c r="AD15" s="40" t="s">
        <v>25</v>
      </c>
      <c r="AE15" s="40" t="s">
        <v>25</v>
      </c>
      <c r="AF15" s="3" t="s">
        <v>12</v>
      </c>
      <c r="AG15" s="3" t="s">
        <v>12</v>
      </c>
      <c r="AH15" s="40" t="s">
        <v>37</v>
      </c>
      <c r="AI15" s="35" t="s">
        <v>11</v>
      </c>
      <c r="AJ15" s="64" t="s">
        <v>25</v>
      </c>
      <c r="AL15" s="62" t="s">
        <v>7</v>
      </c>
    </row>
    <row r="16" spans="1:41" ht="14.45" hidden="1">
      <c r="A16" s="3" t="s">
        <v>56</v>
      </c>
      <c r="B16" s="13" t="s">
        <v>57</v>
      </c>
      <c r="C16" s="13" t="s">
        <v>58</v>
      </c>
      <c r="D16" s="17" t="s">
        <v>59</v>
      </c>
      <c r="E16" s="19">
        <v>46279</v>
      </c>
      <c r="F16" s="8" t="s">
        <v>60</v>
      </c>
      <c r="G16" s="220"/>
      <c r="H16" s="214"/>
      <c r="I16" s="214"/>
      <c r="J16" s="214"/>
      <c r="K16" s="214"/>
      <c r="L16" s="214"/>
      <c r="M16" s="214"/>
      <c r="N16" s="214"/>
      <c r="O16" s="214"/>
      <c r="P16" s="214"/>
      <c r="Q16" s="214"/>
      <c r="R16" s="214"/>
      <c r="S16" s="215"/>
      <c r="T16" s="37" t="s">
        <v>11</v>
      </c>
      <c r="U16" s="35" t="s">
        <v>11</v>
      </c>
      <c r="V16" s="35" t="s">
        <v>11</v>
      </c>
      <c r="W16" s="35" t="s">
        <v>11</v>
      </c>
      <c r="X16" s="35" t="s">
        <v>11</v>
      </c>
      <c r="Y16" s="3" t="s">
        <v>12</v>
      </c>
      <c r="Z16" s="3" t="s">
        <v>12</v>
      </c>
      <c r="AA16" s="35" t="s">
        <v>11</v>
      </c>
      <c r="AB16" s="35" t="s">
        <v>11</v>
      </c>
      <c r="AC16" s="35" t="s">
        <v>11</v>
      </c>
      <c r="AD16" s="35" t="s">
        <v>11</v>
      </c>
      <c r="AE16" s="35" t="s">
        <v>11</v>
      </c>
      <c r="AF16" s="3" t="s">
        <v>12</v>
      </c>
      <c r="AG16" s="3" t="s">
        <v>12</v>
      </c>
      <c r="AH16" s="40" t="s">
        <v>37</v>
      </c>
      <c r="AI16" s="35" t="s">
        <v>11</v>
      </c>
      <c r="AJ16" s="35" t="s">
        <v>11</v>
      </c>
      <c r="AL16" s="62" t="s">
        <v>7</v>
      </c>
    </row>
    <row r="17" spans="1:38" ht="14.45" hidden="1">
      <c r="A17" s="3" t="s">
        <v>61</v>
      </c>
      <c r="B17" s="3" t="str">
        <f t="shared" ref="B17:B36" si="2">PROPER(_xlfn.TEXTBEFORE(TRIM(A17), " ", 1))</f>
        <v>Hagar</v>
      </c>
      <c r="C17" s="3" t="s">
        <v>62</v>
      </c>
      <c r="D17" s="43" t="s">
        <v>63</v>
      </c>
      <c r="E17" s="32">
        <v>46286</v>
      </c>
      <c r="F17" s="7" t="s">
        <v>22</v>
      </c>
      <c r="G17" s="213"/>
      <c r="H17" s="216"/>
      <c r="I17" s="216"/>
      <c r="J17" s="216"/>
      <c r="K17" s="216"/>
      <c r="L17" s="216"/>
      <c r="M17" s="216"/>
      <c r="N17" s="216"/>
      <c r="O17" s="216"/>
      <c r="P17" s="216"/>
      <c r="Q17" s="216"/>
      <c r="R17" s="216"/>
      <c r="S17" s="216"/>
      <c r="T17" s="216"/>
      <c r="U17" s="216"/>
      <c r="V17" s="216"/>
      <c r="W17" s="216"/>
      <c r="X17" s="216"/>
      <c r="Y17" s="216"/>
      <c r="Z17" s="217"/>
      <c r="AA17" s="37" t="s">
        <v>11</v>
      </c>
      <c r="AB17" s="35" t="s">
        <v>11</v>
      </c>
      <c r="AC17" s="40" t="s">
        <v>37</v>
      </c>
      <c r="AD17" s="40" t="s">
        <v>25</v>
      </c>
      <c r="AE17" s="40" t="s">
        <v>25</v>
      </c>
      <c r="AF17" s="3" t="s">
        <v>12</v>
      </c>
      <c r="AG17" s="3" t="s">
        <v>12</v>
      </c>
      <c r="AH17" s="40" t="s">
        <v>37</v>
      </c>
      <c r="AI17" s="35" t="s">
        <v>11</v>
      </c>
      <c r="AJ17" s="35" t="s">
        <v>11</v>
      </c>
      <c r="AL17" s="62" t="s">
        <v>7</v>
      </c>
    </row>
    <row r="18" spans="1:38" ht="14.45" hidden="1">
      <c r="A18" s="3" t="s">
        <v>64</v>
      </c>
      <c r="B18" s="3" t="str">
        <f t="shared" si="2"/>
        <v>Mohamed</v>
      </c>
      <c r="C18" s="3" t="str">
        <f t="shared" ref="C18:C36" si="3">_xlfn.TEXTAFTER(TRIM(A18), " ", -1)</f>
        <v>Mosa</v>
      </c>
      <c r="D18" s="4" t="s">
        <v>65</v>
      </c>
      <c r="E18" s="32">
        <v>46286</v>
      </c>
      <c r="F18" s="7" t="s">
        <v>66</v>
      </c>
      <c r="G18" s="221"/>
      <c r="H18" s="218"/>
      <c r="I18" s="218"/>
      <c r="J18" s="218"/>
      <c r="K18" s="218"/>
      <c r="L18" s="218"/>
      <c r="M18" s="218"/>
      <c r="N18" s="218"/>
      <c r="O18" s="218"/>
      <c r="P18" s="218"/>
      <c r="Q18" s="218"/>
      <c r="R18" s="218"/>
      <c r="S18" s="218"/>
      <c r="T18" s="218"/>
      <c r="U18" s="218"/>
      <c r="V18" s="218"/>
      <c r="W18" s="218"/>
      <c r="X18" s="218"/>
      <c r="Y18" s="218"/>
      <c r="Z18" s="219"/>
      <c r="AA18" s="37" t="s">
        <v>11</v>
      </c>
      <c r="AB18" s="35" t="s">
        <v>11</v>
      </c>
      <c r="AC18" s="35" t="s">
        <v>11</v>
      </c>
      <c r="AD18" s="35" t="s">
        <v>11</v>
      </c>
      <c r="AE18" s="35" t="s">
        <v>11</v>
      </c>
      <c r="AF18" s="3" t="s">
        <v>12</v>
      </c>
      <c r="AG18" s="3" t="s">
        <v>12</v>
      </c>
      <c r="AH18" s="35" t="s">
        <v>11</v>
      </c>
      <c r="AI18" s="35" t="s">
        <v>11</v>
      </c>
      <c r="AJ18" s="35" t="s">
        <v>11</v>
      </c>
      <c r="AL18" s="62" t="s">
        <v>7</v>
      </c>
    </row>
    <row r="19" spans="1:38" ht="14.45" hidden="1">
      <c r="A19" s="3" t="s">
        <v>67</v>
      </c>
      <c r="B19" s="3" t="str">
        <f t="shared" si="2"/>
        <v>Nour</v>
      </c>
      <c r="C19" s="3" t="str">
        <f t="shared" si="3"/>
        <v>Mahmoud</v>
      </c>
      <c r="D19" s="43" t="s">
        <v>68</v>
      </c>
      <c r="E19" s="32">
        <v>46286</v>
      </c>
      <c r="F19" s="7" t="s">
        <v>69</v>
      </c>
      <c r="G19" s="221"/>
      <c r="H19" s="218"/>
      <c r="I19" s="218"/>
      <c r="J19" s="218"/>
      <c r="K19" s="218"/>
      <c r="L19" s="218"/>
      <c r="M19" s="218"/>
      <c r="N19" s="218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9"/>
      <c r="AA19" s="37" t="s">
        <v>11</v>
      </c>
      <c r="AB19" s="35" t="s">
        <v>11</v>
      </c>
      <c r="AC19" s="35" t="s">
        <v>11</v>
      </c>
      <c r="AD19" s="35" t="s">
        <v>11</v>
      </c>
      <c r="AE19" s="35" t="s">
        <v>11</v>
      </c>
      <c r="AF19" s="3" t="s">
        <v>12</v>
      </c>
      <c r="AG19" s="3" t="s">
        <v>12</v>
      </c>
      <c r="AH19" s="35" t="s">
        <v>11</v>
      </c>
      <c r="AI19" s="35" t="s">
        <v>11</v>
      </c>
      <c r="AJ19" s="35" t="s">
        <v>11</v>
      </c>
      <c r="AL19" s="62" t="s">
        <v>7</v>
      </c>
    </row>
    <row r="20" spans="1:38" ht="14.45" hidden="1">
      <c r="A20" s="3" t="s">
        <v>70</v>
      </c>
      <c r="B20" s="3" t="str">
        <f t="shared" si="2"/>
        <v>Aya</v>
      </c>
      <c r="C20" s="3" t="str">
        <f t="shared" si="3"/>
        <v>Magd-el-din</v>
      </c>
      <c r="D20" s="43" t="s">
        <v>71</v>
      </c>
      <c r="E20" s="32">
        <v>46286</v>
      </c>
      <c r="F20" s="7" t="s">
        <v>60</v>
      </c>
      <c r="G20" s="221"/>
      <c r="H20" s="218"/>
      <c r="I20" s="218"/>
      <c r="J20" s="218"/>
      <c r="K20" s="218"/>
      <c r="L20" s="218"/>
      <c r="M20" s="218"/>
      <c r="N20" s="218"/>
      <c r="O20" s="218"/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9"/>
      <c r="AA20" s="37" t="s">
        <v>11</v>
      </c>
      <c r="AB20" s="35" t="s">
        <v>11</v>
      </c>
      <c r="AC20" s="35" t="s">
        <v>11</v>
      </c>
      <c r="AD20" s="35" t="s">
        <v>11</v>
      </c>
      <c r="AE20" s="40" t="s">
        <v>25</v>
      </c>
      <c r="AF20" s="3" t="s">
        <v>12</v>
      </c>
      <c r="AG20" s="3" t="s">
        <v>12</v>
      </c>
      <c r="AH20" s="35" t="s">
        <v>11</v>
      </c>
      <c r="AI20" s="35" t="s">
        <v>11</v>
      </c>
      <c r="AJ20" s="35" t="s">
        <v>11</v>
      </c>
      <c r="AL20" s="62" t="s">
        <v>7</v>
      </c>
    </row>
    <row r="21" spans="1:38" ht="14.45" hidden="1">
      <c r="A21" s="3" t="s">
        <v>72</v>
      </c>
      <c r="B21" s="3" t="str">
        <f t="shared" si="2"/>
        <v>Ahmed</v>
      </c>
      <c r="C21" s="3" t="s">
        <v>73</v>
      </c>
      <c r="D21" s="45" t="s">
        <v>74</v>
      </c>
      <c r="E21" s="16">
        <v>46287</v>
      </c>
      <c r="F21" s="33" t="s">
        <v>22</v>
      </c>
      <c r="G21" s="220"/>
      <c r="H21" s="214"/>
      <c r="I21" s="214"/>
      <c r="J21" s="214"/>
      <c r="K21" s="214"/>
      <c r="L21" s="214"/>
      <c r="M21" s="214"/>
      <c r="N21" s="214"/>
      <c r="O21" s="214"/>
      <c r="P21" s="214"/>
      <c r="Q21" s="214"/>
      <c r="R21" s="214"/>
      <c r="S21" s="214"/>
      <c r="T21" s="214"/>
      <c r="U21" s="214"/>
      <c r="V21" s="214"/>
      <c r="W21" s="214"/>
      <c r="X21" s="214"/>
      <c r="Y21" s="214"/>
      <c r="Z21" s="214"/>
      <c r="AA21" s="215"/>
      <c r="AB21" s="37" t="s">
        <v>11</v>
      </c>
      <c r="AC21" s="40" t="s">
        <v>37</v>
      </c>
      <c r="AD21" s="35" t="s">
        <v>11</v>
      </c>
      <c r="AE21" s="35" t="s">
        <v>11</v>
      </c>
      <c r="AF21" s="3" t="s">
        <v>12</v>
      </c>
      <c r="AG21" s="3" t="s">
        <v>12</v>
      </c>
      <c r="AH21" s="35" t="s">
        <v>11</v>
      </c>
      <c r="AI21" s="35" t="s">
        <v>11</v>
      </c>
      <c r="AJ21" s="35" t="s">
        <v>11</v>
      </c>
      <c r="AL21" s="62" t="s">
        <v>7</v>
      </c>
    </row>
    <row r="22" spans="1:38" ht="14.45" hidden="1">
      <c r="A22" s="22" t="s">
        <v>75</v>
      </c>
      <c r="B22" s="3" t="str">
        <f t="shared" si="2"/>
        <v>Mohamed</v>
      </c>
      <c r="C22" s="3" t="str">
        <f t="shared" si="3"/>
        <v>Ibrahim</v>
      </c>
      <c r="D22" s="44" t="s">
        <v>76</v>
      </c>
      <c r="E22" s="16">
        <v>46286</v>
      </c>
      <c r="F22" s="7" t="s">
        <v>22</v>
      </c>
      <c r="G22" s="221"/>
      <c r="H22" s="218"/>
      <c r="I22" s="218"/>
      <c r="J22" s="218"/>
      <c r="K22" s="218"/>
      <c r="L22" s="218"/>
      <c r="M22" s="218"/>
      <c r="N22" s="218"/>
      <c r="O22" s="218"/>
      <c r="P22" s="218"/>
      <c r="Q22" s="218"/>
      <c r="R22" s="218"/>
      <c r="S22" s="218"/>
      <c r="T22" s="218"/>
      <c r="U22" s="218"/>
      <c r="V22" s="218"/>
      <c r="W22" s="218"/>
      <c r="X22" s="218"/>
      <c r="Y22" s="218"/>
      <c r="Z22" s="219"/>
      <c r="AA22" s="37" t="s">
        <v>11</v>
      </c>
      <c r="AB22" s="35" t="s">
        <v>11</v>
      </c>
      <c r="AC22" s="40" t="s">
        <v>37</v>
      </c>
      <c r="AD22" s="35" t="s">
        <v>11</v>
      </c>
      <c r="AE22" s="35" t="s">
        <v>11</v>
      </c>
      <c r="AF22" s="3" t="s">
        <v>12</v>
      </c>
      <c r="AG22" s="3" t="s">
        <v>12</v>
      </c>
      <c r="AH22" s="64" t="s">
        <v>37</v>
      </c>
      <c r="AI22" s="35" t="s">
        <v>11</v>
      </c>
      <c r="AJ22" s="65" t="s">
        <v>77</v>
      </c>
      <c r="AL22" s="62" t="s">
        <v>7</v>
      </c>
    </row>
    <row r="23" spans="1:38" ht="14.45" hidden="1">
      <c r="A23" s="22" t="s">
        <v>78</v>
      </c>
      <c r="B23" s="3" t="str">
        <f t="shared" si="2"/>
        <v>Banan</v>
      </c>
      <c r="C23" s="3" t="str">
        <f t="shared" si="3"/>
        <v>Elsayed</v>
      </c>
      <c r="D23" s="43" t="s">
        <v>79</v>
      </c>
      <c r="E23" s="16">
        <v>46286</v>
      </c>
      <c r="F23" s="7" t="s">
        <v>22</v>
      </c>
      <c r="G23" s="221"/>
      <c r="H23" s="218"/>
      <c r="I23" s="218"/>
      <c r="J23" s="218"/>
      <c r="K23" s="218"/>
      <c r="L23" s="218"/>
      <c r="M23" s="218"/>
      <c r="N23" s="218"/>
      <c r="O23" s="218"/>
      <c r="P23" s="218"/>
      <c r="Q23" s="218"/>
      <c r="R23" s="218"/>
      <c r="S23" s="218"/>
      <c r="T23" s="218"/>
      <c r="U23" s="218"/>
      <c r="V23" s="218"/>
      <c r="W23" s="218"/>
      <c r="X23" s="218"/>
      <c r="Y23" s="218"/>
      <c r="Z23" s="219"/>
      <c r="AA23" s="37" t="s">
        <v>11</v>
      </c>
      <c r="AB23" s="35" t="s">
        <v>11</v>
      </c>
      <c r="AC23" s="35" t="s">
        <v>11</v>
      </c>
      <c r="AD23" s="35" t="s">
        <v>11</v>
      </c>
      <c r="AE23" s="35" t="s">
        <v>11</v>
      </c>
      <c r="AF23" s="3" t="s">
        <v>12</v>
      </c>
      <c r="AG23" s="3" t="s">
        <v>12</v>
      </c>
      <c r="AH23" s="35" t="s">
        <v>11</v>
      </c>
      <c r="AI23" s="35" t="s">
        <v>11</v>
      </c>
      <c r="AJ23" s="35" t="s">
        <v>11</v>
      </c>
      <c r="AL23" s="62" t="s">
        <v>7</v>
      </c>
    </row>
    <row r="24" spans="1:38" ht="14.45" hidden="1">
      <c r="A24" s="22" t="s">
        <v>80</v>
      </c>
      <c r="B24" s="3" t="str">
        <f t="shared" si="2"/>
        <v>Ahmed</v>
      </c>
      <c r="C24" s="3" t="str">
        <f t="shared" si="3"/>
        <v>aboelfadl</v>
      </c>
      <c r="D24" s="45" t="s">
        <v>81</v>
      </c>
      <c r="E24" s="16">
        <v>46286</v>
      </c>
      <c r="F24" s="7" t="s">
        <v>22</v>
      </c>
      <c r="G24" s="213"/>
      <c r="H24" s="216"/>
      <c r="I24" s="216"/>
      <c r="J24" s="216"/>
      <c r="K24" s="216"/>
      <c r="L24" s="216"/>
      <c r="M24" s="216"/>
      <c r="N24" s="216"/>
      <c r="O24" s="216"/>
      <c r="P24" s="216"/>
      <c r="Q24" s="216"/>
      <c r="R24" s="216"/>
      <c r="S24" s="216"/>
      <c r="T24" s="216"/>
      <c r="U24" s="216"/>
      <c r="V24" s="216"/>
      <c r="W24" s="216"/>
      <c r="X24" s="216"/>
      <c r="Y24" s="216"/>
      <c r="Z24" s="216"/>
      <c r="AA24" s="215"/>
      <c r="AB24" s="37" t="s">
        <v>11</v>
      </c>
      <c r="AC24" s="40" t="s">
        <v>37</v>
      </c>
      <c r="AD24" s="35" t="s">
        <v>11</v>
      </c>
      <c r="AE24" s="35" t="s">
        <v>11</v>
      </c>
      <c r="AF24" s="3" t="s">
        <v>12</v>
      </c>
      <c r="AG24" s="3" t="s">
        <v>12</v>
      </c>
      <c r="AH24" s="64" t="s">
        <v>37</v>
      </c>
      <c r="AI24" s="35" t="s">
        <v>11</v>
      </c>
      <c r="AJ24" s="35" t="s">
        <v>11</v>
      </c>
      <c r="AL24" s="62" t="s">
        <v>7</v>
      </c>
    </row>
    <row r="25" spans="1:38" ht="14.45" hidden="1">
      <c r="A25" s="22" t="s">
        <v>82</v>
      </c>
      <c r="B25" s="3" t="str">
        <f t="shared" si="2"/>
        <v>Ahmed</v>
      </c>
      <c r="C25" s="3" t="str">
        <f t="shared" si="3"/>
        <v>Abdelgawad</v>
      </c>
      <c r="D25" s="43" t="s">
        <v>83</v>
      </c>
      <c r="E25" s="16">
        <v>46286</v>
      </c>
      <c r="F25" s="7" t="s">
        <v>22</v>
      </c>
      <c r="G25" s="213"/>
      <c r="H25" s="216"/>
      <c r="I25" s="216"/>
      <c r="J25" s="216"/>
      <c r="K25" s="216"/>
      <c r="L25" s="216"/>
      <c r="M25" s="216"/>
      <c r="N25" s="216"/>
      <c r="O25" s="216"/>
      <c r="P25" s="216"/>
      <c r="Q25" s="216"/>
      <c r="R25" s="216"/>
      <c r="S25" s="216"/>
      <c r="T25" s="216"/>
      <c r="U25" s="216"/>
      <c r="V25" s="216"/>
      <c r="W25" s="216"/>
      <c r="X25" s="216"/>
      <c r="Y25" s="216"/>
      <c r="Z25" s="217"/>
      <c r="AA25" s="37" t="s">
        <v>11</v>
      </c>
      <c r="AB25" s="35" t="s">
        <v>11</v>
      </c>
      <c r="AC25" s="40" t="s">
        <v>37</v>
      </c>
      <c r="AD25" s="35" t="s">
        <v>11</v>
      </c>
      <c r="AE25" s="35" t="s">
        <v>11</v>
      </c>
      <c r="AF25" s="3" t="s">
        <v>12</v>
      </c>
      <c r="AG25" s="3" t="s">
        <v>12</v>
      </c>
      <c r="AH25" s="35" t="s">
        <v>11</v>
      </c>
      <c r="AI25" s="35" t="s">
        <v>11</v>
      </c>
      <c r="AJ25" s="35" t="s">
        <v>11</v>
      </c>
      <c r="AL25" s="62" t="s">
        <v>7</v>
      </c>
    </row>
    <row r="26" spans="1:38" ht="14.45" hidden="1">
      <c r="A26" s="22" t="s">
        <v>84</v>
      </c>
      <c r="B26" s="3" t="str">
        <f t="shared" si="2"/>
        <v>Marwan</v>
      </c>
      <c r="C26" s="3" t="str">
        <f t="shared" si="3"/>
        <v>Mohamed</v>
      </c>
      <c r="D26" s="43" t="s">
        <v>85</v>
      </c>
      <c r="E26" s="16">
        <v>46286</v>
      </c>
      <c r="F26" s="7" t="s">
        <v>22</v>
      </c>
      <c r="G26" s="221"/>
      <c r="H26" s="218"/>
      <c r="I26" s="218"/>
      <c r="J26" s="218"/>
      <c r="K26" s="218"/>
      <c r="L26" s="218"/>
      <c r="M26" s="218"/>
      <c r="N26" s="218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9"/>
      <c r="AA26" s="37" t="s">
        <v>11</v>
      </c>
      <c r="AB26" s="35" t="s">
        <v>11</v>
      </c>
      <c r="AC26" s="35" t="s">
        <v>11</v>
      </c>
      <c r="AD26" s="40" t="s">
        <v>25</v>
      </c>
      <c r="AE26" s="40" t="s">
        <v>25</v>
      </c>
      <c r="AF26" s="3" t="s">
        <v>12</v>
      </c>
      <c r="AG26" s="3" t="s">
        <v>12</v>
      </c>
      <c r="AH26" s="35" t="s">
        <v>11</v>
      </c>
      <c r="AI26" s="35" t="s">
        <v>11</v>
      </c>
      <c r="AJ26" s="35" t="s">
        <v>11</v>
      </c>
      <c r="AL26" s="62" t="s">
        <v>7</v>
      </c>
    </row>
    <row r="27" spans="1:38" ht="14.45" hidden="1">
      <c r="A27" s="22" t="s">
        <v>86</v>
      </c>
      <c r="B27" s="3" t="str">
        <f t="shared" si="2"/>
        <v>Mohamed</v>
      </c>
      <c r="C27" s="3" t="str">
        <f t="shared" si="3"/>
        <v>Mahmoud</v>
      </c>
      <c r="D27" s="4" t="s">
        <v>87</v>
      </c>
      <c r="E27" s="16">
        <v>46286</v>
      </c>
      <c r="F27" s="7" t="s">
        <v>22</v>
      </c>
      <c r="G27" s="221"/>
      <c r="H27" s="218"/>
      <c r="I27" s="218"/>
      <c r="J27" s="218"/>
      <c r="K27" s="218"/>
      <c r="L27" s="218"/>
      <c r="M27" s="218"/>
      <c r="N27" s="218"/>
      <c r="O27" s="218"/>
      <c r="P27" s="218"/>
      <c r="Q27" s="218"/>
      <c r="R27" s="218"/>
      <c r="S27" s="218"/>
      <c r="T27" s="218"/>
      <c r="U27" s="218"/>
      <c r="V27" s="218"/>
      <c r="W27" s="218"/>
      <c r="X27" s="218"/>
      <c r="Y27" s="218"/>
      <c r="Z27" s="219"/>
      <c r="AA27" s="37" t="s">
        <v>11</v>
      </c>
      <c r="AB27" s="35" t="s">
        <v>11</v>
      </c>
      <c r="AC27" s="40" t="s">
        <v>37</v>
      </c>
      <c r="AD27" s="40" t="s">
        <v>37</v>
      </c>
      <c r="AE27" s="35" t="s">
        <v>11</v>
      </c>
      <c r="AF27" s="3" t="s">
        <v>12</v>
      </c>
      <c r="AG27" s="3" t="s">
        <v>12</v>
      </c>
      <c r="AH27" s="35" t="s">
        <v>11</v>
      </c>
      <c r="AI27" s="35" t="s">
        <v>11</v>
      </c>
      <c r="AJ27" s="35" t="s">
        <v>11</v>
      </c>
      <c r="AL27" s="62" t="s">
        <v>7</v>
      </c>
    </row>
    <row r="28" spans="1:38" ht="14.45" hidden="1">
      <c r="A28" s="22" t="s">
        <v>88</v>
      </c>
      <c r="B28" s="3" t="str">
        <f t="shared" si="2"/>
        <v>Mariam</v>
      </c>
      <c r="C28" s="3" t="str">
        <f t="shared" si="3"/>
        <v>Elmallawany</v>
      </c>
      <c r="D28" s="43" t="s">
        <v>89</v>
      </c>
      <c r="E28" s="16">
        <v>46286</v>
      </c>
      <c r="F28" s="7" t="s">
        <v>22</v>
      </c>
      <c r="G28" s="221"/>
      <c r="H28" s="218"/>
      <c r="I28" s="218"/>
      <c r="J28" s="218"/>
      <c r="K28" s="218"/>
      <c r="L28" s="218"/>
      <c r="M28" s="218"/>
      <c r="N28" s="218"/>
      <c r="O28" s="218"/>
      <c r="P28" s="218"/>
      <c r="Q28" s="218"/>
      <c r="R28" s="218"/>
      <c r="S28" s="218"/>
      <c r="T28" s="218"/>
      <c r="U28" s="218"/>
      <c r="V28" s="218"/>
      <c r="W28" s="218"/>
      <c r="X28" s="218"/>
      <c r="Y28" s="218"/>
      <c r="Z28" s="219"/>
      <c r="AA28" s="37" t="s">
        <v>11</v>
      </c>
      <c r="AB28" s="35" t="s">
        <v>11</v>
      </c>
      <c r="AC28" s="35" t="s">
        <v>11</v>
      </c>
      <c r="AD28" s="35" t="s">
        <v>11</v>
      </c>
      <c r="AE28" s="35" t="s">
        <v>11</v>
      </c>
      <c r="AF28" s="3" t="s">
        <v>12</v>
      </c>
      <c r="AG28" s="3" t="s">
        <v>12</v>
      </c>
      <c r="AH28" s="35" t="s">
        <v>11</v>
      </c>
      <c r="AI28" s="35" t="s">
        <v>11</v>
      </c>
      <c r="AJ28" s="35" t="s">
        <v>11</v>
      </c>
      <c r="AL28" s="62" t="s">
        <v>7</v>
      </c>
    </row>
    <row r="29" spans="1:38" ht="14.45" hidden="1">
      <c r="A29" s="30" t="s">
        <v>90</v>
      </c>
      <c r="B29" s="13" t="str">
        <f t="shared" si="2"/>
        <v>Arwa</v>
      </c>
      <c r="C29" s="13" t="str">
        <f t="shared" si="3"/>
        <v>Ahmed</v>
      </c>
      <c r="D29" s="17" t="s">
        <v>91</v>
      </c>
      <c r="E29" s="19">
        <v>46286</v>
      </c>
      <c r="F29" s="8" t="s">
        <v>22</v>
      </c>
      <c r="G29" s="221"/>
      <c r="H29" s="218"/>
      <c r="I29" s="218"/>
      <c r="J29" s="218"/>
      <c r="K29" s="218"/>
      <c r="L29" s="218"/>
      <c r="M29" s="218"/>
      <c r="N29" s="218"/>
      <c r="O29" s="218"/>
      <c r="P29" s="218"/>
      <c r="Q29" s="218"/>
      <c r="R29" s="218"/>
      <c r="S29" s="218"/>
      <c r="T29" s="218"/>
      <c r="U29" s="218"/>
      <c r="V29" s="218"/>
      <c r="W29" s="218"/>
      <c r="X29" s="218"/>
      <c r="Y29" s="218"/>
      <c r="Z29" s="219"/>
      <c r="AA29" s="37" t="s">
        <v>11</v>
      </c>
      <c r="AB29" s="35" t="s">
        <v>11</v>
      </c>
      <c r="AC29" s="40" t="s">
        <v>37</v>
      </c>
      <c r="AD29" s="35" t="s">
        <v>11</v>
      </c>
      <c r="AE29" s="35" t="s">
        <v>11</v>
      </c>
      <c r="AF29" s="3" t="s">
        <v>12</v>
      </c>
      <c r="AG29" s="3" t="s">
        <v>12</v>
      </c>
      <c r="AH29" s="40" t="s">
        <v>25</v>
      </c>
      <c r="AI29" s="35" t="s">
        <v>11</v>
      </c>
      <c r="AJ29" s="35" t="s">
        <v>11</v>
      </c>
      <c r="AL29" s="62" t="s">
        <v>7</v>
      </c>
    </row>
    <row r="30" spans="1:38" ht="14.45" hidden="1">
      <c r="A30" s="3" t="s">
        <v>92</v>
      </c>
      <c r="B30" s="3" t="str">
        <f>PROPER(_xlfn.TEXTBEFORE(TRIM(A30), " ", 1))</f>
        <v>Amany</v>
      </c>
      <c r="C30" s="3" t="str">
        <f t="shared" si="3"/>
        <v>Abdelazim</v>
      </c>
      <c r="D30" s="77" t="s">
        <v>93</v>
      </c>
      <c r="E30" s="19">
        <v>46288</v>
      </c>
      <c r="F30" s="13" t="s">
        <v>22</v>
      </c>
      <c r="G30" s="216"/>
      <c r="H30" s="216"/>
      <c r="I30" s="216"/>
      <c r="J30" s="216"/>
      <c r="K30" s="216"/>
      <c r="L30" s="216"/>
      <c r="M30" s="216"/>
      <c r="N30" s="216"/>
      <c r="O30" s="216"/>
      <c r="P30" s="216"/>
      <c r="Q30" s="216"/>
      <c r="R30" s="216"/>
      <c r="S30" s="216"/>
      <c r="T30" s="216"/>
      <c r="U30" s="216"/>
      <c r="V30" s="216"/>
      <c r="W30" s="216"/>
      <c r="X30" s="216"/>
      <c r="Y30" s="216"/>
      <c r="Z30" s="216"/>
      <c r="AA30" s="216"/>
      <c r="AB30" s="217"/>
      <c r="AC30" s="37" t="s">
        <v>11</v>
      </c>
      <c r="AD30" s="35" t="s">
        <v>11</v>
      </c>
      <c r="AE30" s="35" t="s">
        <v>11</v>
      </c>
      <c r="AF30" s="13" t="s">
        <v>12</v>
      </c>
      <c r="AG30" s="13" t="s">
        <v>12</v>
      </c>
      <c r="AH30" s="64" t="s">
        <v>37</v>
      </c>
      <c r="AI30" s="40" t="s">
        <v>37</v>
      </c>
      <c r="AJ30" s="35" t="s">
        <v>11</v>
      </c>
      <c r="AL30" s="62" t="s">
        <v>7</v>
      </c>
    </row>
    <row r="31" spans="1:38" ht="14.45" hidden="1">
      <c r="A31" s="3" t="s">
        <v>94</v>
      </c>
      <c r="B31" s="3" t="str">
        <f t="shared" si="2"/>
        <v>Sarah</v>
      </c>
      <c r="C31" s="7" t="str">
        <f t="shared" si="3"/>
        <v>Mohamed</v>
      </c>
      <c r="D31" s="45" t="s">
        <v>95</v>
      </c>
      <c r="E31" s="16">
        <v>46293</v>
      </c>
      <c r="F31" s="3" t="s">
        <v>22</v>
      </c>
      <c r="G31" s="216"/>
      <c r="H31" s="216"/>
      <c r="I31" s="216"/>
      <c r="J31" s="216"/>
      <c r="K31" s="216"/>
      <c r="L31" s="216"/>
      <c r="M31" s="216"/>
      <c r="N31" s="216"/>
      <c r="O31" s="216"/>
      <c r="P31" s="216"/>
      <c r="Q31" s="216"/>
      <c r="R31" s="216"/>
      <c r="S31" s="216"/>
      <c r="T31" s="216"/>
      <c r="U31" s="216"/>
      <c r="V31" s="216"/>
      <c r="W31" s="216"/>
      <c r="X31" s="216"/>
      <c r="Y31" s="216"/>
      <c r="Z31" s="216"/>
      <c r="AA31" s="216"/>
      <c r="AB31" s="216"/>
      <c r="AC31" s="216"/>
      <c r="AD31" s="216"/>
      <c r="AE31" s="216"/>
      <c r="AF31" s="216"/>
      <c r="AG31" s="217"/>
      <c r="AH31" s="37" t="s">
        <v>11</v>
      </c>
      <c r="AI31" s="35" t="s">
        <v>11</v>
      </c>
      <c r="AJ31" s="40" t="s">
        <v>25</v>
      </c>
      <c r="AL31" s="62" t="s">
        <v>7</v>
      </c>
    </row>
    <row r="32" spans="1:38" ht="14.45" hidden="1">
      <c r="A32" s="3" t="s">
        <v>96</v>
      </c>
      <c r="B32" s="3" t="str">
        <f t="shared" si="2"/>
        <v>Dalia</v>
      </c>
      <c r="C32" s="7" t="str">
        <f t="shared" si="3"/>
        <v>Elsabbagh</v>
      </c>
      <c r="D32" s="45" t="s">
        <v>97</v>
      </c>
      <c r="E32" s="16">
        <v>46293</v>
      </c>
      <c r="F32" s="3" t="s">
        <v>22</v>
      </c>
      <c r="G32" s="218"/>
      <c r="H32" s="218"/>
      <c r="I32" s="218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  <c r="AA32" s="218"/>
      <c r="AB32" s="218"/>
      <c r="AC32" s="218"/>
      <c r="AD32" s="218"/>
      <c r="AE32" s="218"/>
      <c r="AF32" s="218"/>
      <c r="AG32" s="219"/>
      <c r="AH32" s="37" t="s">
        <v>11</v>
      </c>
      <c r="AI32" s="35" t="s">
        <v>11</v>
      </c>
      <c r="AJ32" s="35" t="s">
        <v>11</v>
      </c>
      <c r="AL32" s="62" t="s">
        <v>7</v>
      </c>
    </row>
    <row r="33" spans="1:40" ht="14.45" hidden="1">
      <c r="A33" s="3" t="s">
        <v>98</v>
      </c>
      <c r="B33" s="3" t="str">
        <f t="shared" si="2"/>
        <v>Salma</v>
      </c>
      <c r="C33" s="7" t="str">
        <f t="shared" si="3"/>
        <v>Dawaly</v>
      </c>
      <c r="D33" s="45" t="s">
        <v>99</v>
      </c>
      <c r="E33" s="16">
        <v>46293</v>
      </c>
      <c r="F33" s="3" t="s">
        <v>22</v>
      </c>
      <c r="G33" s="218"/>
      <c r="H33" s="218"/>
      <c r="I33" s="218"/>
      <c r="J33" s="218"/>
      <c r="K33" s="218"/>
      <c r="L33" s="218"/>
      <c r="M33" s="218"/>
      <c r="N33" s="218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  <c r="AA33" s="218"/>
      <c r="AB33" s="218"/>
      <c r="AC33" s="218"/>
      <c r="AD33" s="218"/>
      <c r="AE33" s="218"/>
      <c r="AF33" s="218"/>
      <c r="AG33" s="219"/>
      <c r="AH33" s="37" t="s">
        <v>11</v>
      </c>
      <c r="AI33" s="35" t="s">
        <v>11</v>
      </c>
      <c r="AJ33" s="35" t="s">
        <v>11</v>
      </c>
      <c r="AL33" s="62" t="s">
        <v>7</v>
      </c>
    </row>
    <row r="34" spans="1:40" ht="14.45" hidden="1">
      <c r="A34" s="3" t="s">
        <v>100</v>
      </c>
      <c r="B34" s="3" t="str">
        <f t="shared" si="2"/>
        <v>Ammar</v>
      </c>
      <c r="C34" s="7" t="str">
        <f t="shared" si="3"/>
        <v>Yasser</v>
      </c>
      <c r="D34" s="34">
        <v>46293</v>
      </c>
      <c r="E34" s="16">
        <v>46293</v>
      </c>
      <c r="F34" s="3" t="s">
        <v>22</v>
      </c>
      <c r="G34" s="218"/>
      <c r="H34" s="218"/>
      <c r="I34" s="218"/>
      <c r="J34" s="218"/>
      <c r="K34" s="218"/>
      <c r="L34" s="218"/>
      <c r="M34" s="218"/>
      <c r="N34" s="218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  <c r="AA34" s="218"/>
      <c r="AB34" s="218"/>
      <c r="AC34" s="218"/>
      <c r="AD34" s="218"/>
      <c r="AE34" s="218"/>
      <c r="AF34" s="218"/>
      <c r="AG34" s="219"/>
      <c r="AH34" s="37" t="s">
        <v>11</v>
      </c>
      <c r="AI34" s="35" t="s">
        <v>11</v>
      </c>
      <c r="AJ34" s="64" t="s">
        <v>101</v>
      </c>
      <c r="AL34" s="62" t="s">
        <v>7</v>
      </c>
    </row>
    <row r="35" spans="1:40" ht="14.45" hidden="1">
      <c r="A35" s="3" t="s">
        <v>102</v>
      </c>
      <c r="B35" s="3" t="str">
        <f t="shared" si="2"/>
        <v>Amr</v>
      </c>
      <c r="C35" s="7" t="str">
        <f t="shared" si="3"/>
        <v>Kotb</v>
      </c>
      <c r="D35" s="45" t="s">
        <v>103</v>
      </c>
      <c r="E35" s="16">
        <v>46293</v>
      </c>
      <c r="F35" s="3" t="s">
        <v>22</v>
      </c>
      <c r="G35" s="218"/>
      <c r="H35" s="218"/>
      <c r="I35" s="218"/>
      <c r="J35" s="218"/>
      <c r="K35" s="218"/>
      <c r="L35" s="218"/>
      <c r="M35" s="218"/>
      <c r="N35" s="218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  <c r="AA35" s="218"/>
      <c r="AB35" s="218"/>
      <c r="AC35" s="218"/>
      <c r="AD35" s="218"/>
      <c r="AE35" s="218"/>
      <c r="AF35" s="218"/>
      <c r="AG35" s="219"/>
      <c r="AH35" s="37" t="s">
        <v>11</v>
      </c>
      <c r="AI35" s="35" t="s">
        <v>11</v>
      </c>
      <c r="AJ35" s="64" t="s">
        <v>25</v>
      </c>
      <c r="AL35" s="62" t="s">
        <v>7</v>
      </c>
    </row>
    <row r="36" spans="1:40" ht="14.45" hidden="1">
      <c r="A36" s="3" t="s">
        <v>104</v>
      </c>
      <c r="B36" s="3" t="str">
        <f t="shared" si="2"/>
        <v>Khaled</v>
      </c>
      <c r="C36" s="7" t="str">
        <f t="shared" si="3"/>
        <v>Abdalgalil</v>
      </c>
      <c r="D36" s="45" t="s">
        <v>105</v>
      </c>
      <c r="E36" s="16">
        <v>46293</v>
      </c>
      <c r="F36" s="3" t="s">
        <v>22</v>
      </c>
      <c r="G36" s="218"/>
      <c r="H36" s="218"/>
      <c r="I36" s="218"/>
      <c r="J36" s="218"/>
      <c r="K36" s="218"/>
      <c r="L36" s="218"/>
      <c r="M36" s="218"/>
      <c r="N36" s="218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  <c r="AA36" s="218"/>
      <c r="AB36" s="218"/>
      <c r="AC36" s="218"/>
      <c r="AD36" s="218"/>
      <c r="AE36" s="218"/>
      <c r="AF36" s="218"/>
      <c r="AG36" s="219"/>
      <c r="AH36" s="37" t="s">
        <v>11</v>
      </c>
      <c r="AI36" s="64" t="s">
        <v>37</v>
      </c>
      <c r="AJ36" s="35" t="s">
        <v>11</v>
      </c>
      <c r="AL36" s="62" t="s">
        <v>7</v>
      </c>
    </row>
    <row r="37" spans="1:40" ht="14.45" hidden="1">
      <c r="A37" s="13" t="s">
        <v>106</v>
      </c>
      <c r="B37" s="13" t="str">
        <f>PROPER(_xlfn.TEXTBEFORE(TRIM(A37), " ", 1))</f>
        <v>Adham</v>
      </c>
      <c r="C37" s="13" t="str">
        <f>_xlfn.TEXTAFTER(TRIM(A37), " ", -1)</f>
        <v>Alzorkany</v>
      </c>
      <c r="D37" s="79" t="s">
        <v>107</v>
      </c>
      <c r="E37" s="19">
        <v>46293</v>
      </c>
      <c r="F37" s="80" t="s">
        <v>108</v>
      </c>
      <c r="G37" s="218"/>
      <c r="H37" s="218"/>
      <c r="I37" s="218"/>
      <c r="J37" s="218"/>
      <c r="K37" s="218"/>
      <c r="L37" s="218"/>
      <c r="M37" s="218"/>
      <c r="N37" s="218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  <c r="AA37" s="218"/>
      <c r="AB37" s="218"/>
      <c r="AC37" s="218"/>
      <c r="AD37" s="218"/>
      <c r="AE37" s="218"/>
      <c r="AF37" s="218"/>
      <c r="AG37" s="219"/>
      <c r="AH37" s="37" t="s">
        <v>11</v>
      </c>
      <c r="AI37" s="35" t="s">
        <v>11</v>
      </c>
      <c r="AJ37" s="35" t="s">
        <v>11</v>
      </c>
      <c r="AL37" s="62" t="s">
        <v>7</v>
      </c>
    </row>
    <row r="38" spans="1:40" ht="14.45" hidden="1">
      <c r="A38" s="3" t="s">
        <v>109</v>
      </c>
      <c r="B38" s="3" t="s">
        <v>110</v>
      </c>
      <c r="C38" s="3" t="s">
        <v>111</v>
      </c>
      <c r="D38" s="34">
        <v>46295</v>
      </c>
      <c r="E38" s="16">
        <v>46295</v>
      </c>
      <c r="F38" s="3" t="s">
        <v>22</v>
      </c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  <c r="AB38" s="204"/>
      <c r="AC38" s="204"/>
      <c r="AD38" s="204"/>
      <c r="AE38" s="204"/>
      <c r="AF38" s="204"/>
      <c r="AG38" s="204"/>
      <c r="AH38" s="204"/>
      <c r="AI38" s="205"/>
      <c r="AJ38" s="37" t="s">
        <v>11</v>
      </c>
      <c r="AL38" s="62" t="s">
        <v>7</v>
      </c>
    </row>
    <row r="39" spans="1:40" ht="14.45" hidden="1">
      <c r="A39" s="3" t="s">
        <v>112</v>
      </c>
      <c r="B39" s="3" t="s">
        <v>113</v>
      </c>
      <c r="C39" s="78" t="s">
        <v>48</v>
      </c>
      <c r="D39" s="34">
        <v>46295</v>
      </c>
      <c r="E39" s="16">
        <v>46295</v>
      </c>
      <c r="F39" s="3" t="s">
        <v>22</v>
      </c>
      <c r="G39" s="206"/>
      <c r="H39" s="206"/>
      <c r="I39" s="206"/>
      <c r="J39" s="206"/>
      <c r="K39" s="206"/>
      <c r="L39" s="206"/>
      <c r="M39" s="206"/>
      <c r="N39" s="206"/>
      <c r="O39" s="206"/>
      <c r="P39" s="206"/>
      <c r="Q39" s="206"/>
      <c r="R39" s="206"/>
      <c r="S39" s="206"/>
      <c r="T39" s="206"/>
      <c r="U39" s="206"/>
      <c r="V39" s="206"/>
      <c r="W39" s="206"/>
      <c r="X39" s="206"/>
      <c r="Y39" s="206"/>
      <c r="Z39" s="206"/>
      <c r="AA39" s="206"/>
      <c r="AB39" s="206"/>
      <c r="AC39" s="206"/>
      <c r="AD39" s="206"/>
      <c r="AE39" s="206"/>
      <c r="AF39" s="206"/>
      <c r="AG39" s="206"/>
      <c r="AH39" s="206"/>
      <c r="AI39" s="207"/>
      <c r="AJ39" s="37" t="s">
        <v>11</v>
      </c>
      <c r="AL39" s="62" t="s">
        <v>7</v>
      </c>
    </row>
    <row r="40" spans="1:40" ht="14.45" hidden="1">
      <c r="A40" s="3" t="s">
        <v>114</v>
      </c>
      <c r="B40" s="3" t="s">
        <v>115</v>
      </c>
      <c r="C40" s="3" t="s">
        <v>116</v>
      </c>
      <c r="D40" s="34">
        <v>46295</v>
      </c>
      <c r="E40" s="16">
        <v>46295</v>
      </c>
      <c r="F40" s="3" t="s">
        <v>22</v>
      </c>
      <c r="G40" s="208"/>
      <c r="H40" s="208"/>
      <c r="I40" s="208"/>
      <c r="J40" s="208"/>
      <c r="K40" s="208"/>
      <c r="L40" s="208"/>
      <c r="M40" s="208"/>
      <c r="N40" s="208"/>
      <c r="O40" s="208"/>
      <c r="P40" s="208"/>
      <c r="Q40" s="208"/>
      <c r="R40" s="208"/>
      <c r="S40" s="208"/>
      <c r="T40" s="208"/>
      <c r="U40" s="208"/>
      <c r="V40" s="208"/>
      <c r="W40" s="208"/>
      <c r="X40" s="208"/>
      <c r="Y40" s="208"/>
      <c r="Z40" s="208"/>
      <c r="AA40" s="208"/>
      <c r="AB40" s="208"/>
      <c r="AC40" s="208"/>
      <c r="AD40" s="208"/>
      <c r="AE40" s="208"/>
      <c r="AF40" s="208"/>
      <c r="AG40" s="208"/>
      <c r="AH40" s="208"/>
      <c r="AI40" s="209"/>
      <c r="AJ40" s="37" t="s">
        <v>11</v>
      </c>
      <c r="AL40" s="62" t="s">
        <v>7</v>
      </c>
    </row>
    <row r="41" spans="1:40" ht="14.45">
      <c r="A41" s="1" t="s">
        <v>1</v>
      </c>
      <c r="B41" s="1" t="s">
        <v>2</v>
      </c>
      <c r="C41" s="1" t="s">
        <v>3</v>
      </c>
      <c r="D41" s="1" t="s">
        <v>4</v>
      </c>
      <c r="E41" s="1" t="s">
        <v>5</v>
      </c>
      <c r="F41" s="1" t="s">
        <v>6</v>
      </c>
      <c r="G41" s="2">
        <v>46296</v>
      </c>
      <c r="H41" s="2">
        <v>46297</v>
      </c>
      <c r="I41" s="2">
        <v>46298</v>
      </c>
      <c r="J41" s="2">
        <v>46299</v>
      </c>
      <c r="K41" s="2">
        <v>46300</v>
      </c>
      <c r="L41" s="2">
        <v>46301</v>
      </c>
      <c r="M41" s="2">
        <v>46302</v>
      </c>
      <c r="N41" s="2">
        <v>46303</v>
      </c>
      <c r="O41" s="2">
        <v>46304</v>
      </c>
      <c r="P41" s="2">
        <v>46305</v>
      </c>
      <c r="Q41" s="2">
        <v>46306</v>
      </c>
      <c r="R41" s="2">
        <v>46307</v>
      </c>
      <c r="S41" s="2">
        <v>46308</v>
      </c>
      <c r="T41" s="2">
        <v>46309</v>
      </c>
      <c r="U41" s="2">
        <v>46310</v>
      </c>
      <c r="V41" s="2">
        <v>46311</v>
      </c>
      <c r="W41" s="2">
        <v>46312</v>
      </c>
      <c r="X41" s="2">
        <v>46313</v>
      </c>
      <c r="Y41" s="2">
        <v>46314</v>
      </c>
      <c r="Z41" s="2">
        <v>46315</v>
      </c>
      <c r="AA41" s="2">
        <v>46316</v>
      </c>
      <c r="AB41" s="2">
        <v>46317</v>
      </c>
      <c r="AC41" s="2">
        <v>46318</v>
      </c>
      <c r="AD41" s="2">
        <v>46319</v>
      </c>
      <c r="AE41" s="2">
        <v>46320</v>
      </c>
      <c r="AF41" s="2">
        <v>46321</v>
      </c>
      <c r="AG41" s="2">
        <v>46322</v>
      </c>
      <c r="AH41" s="2">
        <v>46323</v>
      </c>
      <c r="AI41" s="2">
        <v>46324</v>
      </c>
      <c r="AJ41" s="2">
        <v>46325</v>
      </c>
      <c r="AK41" s="2">
        <v>46326</v>
      </c>
      <c r="AL41" s="62" t="s">
        <v>117</v>
      </c>
    </row>
    <row r="42" spans="1:40" ht="14.45">
      <c r="A42" s="3" t="s">
        <v>8</v>
      </c>
      <c r="B42" s="3" t="str">
        <f>PROPER(_xlfn.TEXTBEFORE(TRIM(A42), " ", 1))</f>
        <v>Mostafa</v>
      </c>
      <c r="C42" s="3" t="str">
        <f>_xlfn.TEXTAFTER(TRIM(A42), " ", -1)</f>
        <v>Mostafa</v>
      </c>
      <c r="D42" s="4" t="s">
        <v>9</v>
      </c>
      <c r="E42" s="81">
        <v>46235</v>
      </c>
      <c r="F42" s="3" t="s">
        <v>10</v>
      </c>
      <c r="G42" s="38" t="s">
        <v>37</v>
      </c>
      <c r="H42" s="35" t="s">
        <v>11</v>
      </c>
      <c r="I42" s="3" t="s">
        <v>12</v>
      </c>
      <c r="J42" s="3" t="s">
        <v>12</v>
      </c>
      <c r="K42" s="35" t="s">
        <v>11</v>
      </c>
      <c r="L42" s="35" t="s">
        <v>11</v>
      </c>
      <c r="M42" s="35" t="s">
        <v>11</v>
      </c>
      <c r="N42" s="35" t="s">
        <v>11</v>
      </c>
      <c r="O42" s="35" t="s">
        <v>11</v>
      </c>
      <c r="P42" s="3" t="s">
        <v>12</v>
      </c>
      <c r="Q42" s="3" t="s">
        <v>12</v>
      </c>
      <c r="R42" s="35" t="s">
        <v>11</v>
      </c>
      <c r="S42" s="35" t="s">
        <v>11</v>
      </c>
      <c r="T42" s="35" t="s">
        <v>11</v>
      </c>
      <c r="U42" s="82"/>
      <c r="V42" s="82"/>
      <c r="W42" s="3" t="s">
        <v>12</v>
      </c>
      <c r="X42" s="3" t="s">
        <v>12</v>
      </c>
      <c r="Y42" s="82"/>
      <c r="Z42" s="82"/>
      <c r="AA42" s="82"/>
      <c r="AB42" s="82"/>
      <c r="AC42" s="82"/>
      <c r="AD42" s="3" t="s">
        <v>12</v>
      </c>
      <c r="AE42" s="3" t="s">
        <v>12</v>
      </c>
      <c r="AF42" s="82"/>
      <c r="AG42" s="82"/>
      <c r="AH42" s="82"/>
      <c r="AI42" s="82"/>
      <c r="AJ42" s="82"/>
      <c r="AK42" s="3" t="s">
        <v>12</v>
      </c>
      <c r="AL42" s="62" t="s">
        <v>117</v>
      </c>
    </row>
    <row r="43" spans="1:40" ht="14.45">
      <c r="A43" s="3" t="s">
        <v>15</v>
      </c>
      <c r="B43" s="3" t="str">
        <f t="shared" ref="B43:B51" si="4">PROPER(_xlfn.TEXTBEFORE(TRIM(A43), " ", 1))</f>
        <v>Gamal</v>
      </c>
      <c r="C43" s="3" t="str">
        <f t="shared" ref="C43:C51" si="5">_xlfn.TEXTAFTER(TRIM(A43), " ", -1)</f>
        <v>Sayed</v>
      </c>
      <c r="D43" s="4" t="s">
        <v>16</v>
      </c>
      <c r="E43" s="81">
        <v>46251</v>
      </c>
      <c r="F43" s="3" t="s">
        <v>10</v>
      </c>
      <c r="G43" s="35" t="s">
        <v>11</v>
      </c>
      <c r="H43" s="35" t="s">
        <v>11</v>
      </c>
      <c r="I43" s="3" t="s">
        <v>12</v>
      </c>
      <c r="J43" s="3" t="s">
        <v>12</v>
      </c>
      <c r="K43" s="35" t="s">
        <v>11</v>
      </c>
      <c r="L43" s="35" t="s">
        <v>11</v>
      </c>
      <c r="M43" s="35" t="s">
        <v>11</v>
      </c>
      <c r="N43" s="35" t="s">
        <v>11</v>
      </c>
      <c r="O43" s="35" t="s">
        <v>11</v>
      </c>
      <c r="P43" s="3" t="s">
        <v>12</v>
      </c>
      <c r="Q43" s="3" t="s">
        <v>12</v>
      </c>
      <c r="R43" s="35" t="s">
        <v>11</v>
      </c>
      <c r="S43" s="35" t="s">
        <v>11</v>
      </c>
      <c r="T43" s="35" t="s">
        <v>11</v>
      </c>
      <c r="U43" s="82"/>
      <c r="V43" s="82"/>
      <c r="W43" s="3" t="s">
        <v>12</v>
      </c>
      <c r="X43" s="3" t="s">
        <v>12</v>
      </c>
      <c r="Y43" s="82"/>
      <c r="Z43" s="82"/>
      <c r="AA43" s="82"/>
      <c r="AB43" s="82"/>
      <c r="AC43" s="82"/>
      <c r="AD43" s="3" t="s">
        <v>12</v>
      </c>
      <c r="AE43" s="3" t="s">
        <v>12</v>
      </c>
      <c r="AF43" s="82"/>
      <c r="AG43" s="82"/>
      <c r="AH43" s="82"/>
      <c r="AI43" s="82"/>
      <c r="AJ43" s="82"/>
      <c r="AK43" s="3" t="s">
        <v>12</v>
      </c>
      <c r="AL43" s="62" t="s">
        <v>117</v>
      </c>
    </row>
    <row r="44" spans="1:40" ht="14.45">
      <c r="A44" s="3" t="s">
        <v>18</v>
      </c>
      <c r="B44" s="3" t="str">
        <f t="shared" si="4"/>
        <v>Mennatallah</v>
      </c>
      <c r="C44" s="3" t="str">
        <f t="shared" si="5"/>
        <v>Said</v>
      </c>
      <c r="D44" s="4" t="s">
        <v>19</v>
      </c>
      <c r="E44" s="81">
        <v>46235</v>
      </c>
      <c r="F44" s="3" t="s">
        <v>10</v>
      </c>
      <c r="G44" s="35" t="s">
        <v>11</v>
      </c>
      <c r="H44" s="35" t="s">
        <v>11</v>
      </c>
      <c r="I44" s="3" t="s">
        <v>12</v>
      </c>
      <c r="J44" s="3" t="s">
        <v>12</v>
      </c>
      <c r="K44" s="35" t="s">
        <v>11</v>
      </c>
      <c r="L44" s="35" t="s">
        <v>11</v>
      </c>
      <c r="M44" s="35" t="s">
        <v>11</v>
      </c>
      <c r="N44" s="35" t="s">
        <v>11</v>
      </c>
      <c r="O44" s="68" t="s">
        <v>13</v>
      </c>
      <c r="P44" s="3" t="s">
        <v>12</v>
      </c>
      <c r="Q44" s="3" t="s">
        <v>12</v>
      </c>
      <c r="R44" s="35" t="s">
        <v>11</v>
      </c>
      <c r="S44" s="35" t="s">
        <v>11</v>
      </c>
      <c r="T44" s="35" t="s">
        <v>11</v>
      </c>
      <c r="U44" s="82"/>
      <c r="V44" s="82"/>
      <c r="W44" s="3" t="s">
        <v>12</v>
      </c>
      <c r="X44" s="3" t="s">
        <v>12</v>
      </c>
      <c r="Y44" s="82"/>
      <c r="Z44" s="82"/>
      <c r="AA44" s="82"/>
      <c r="AB44" s="82"/>
      <c r="AC44" s="82"/>
      <c r="AD44" s="3" t="s">
        <v>12</v>
      </c>
      <c r="AE44" s="3" t="s">
        <v>12</v>
      </c>
      <c r="AF44" s="82"/>
      <c r="AG44" s="82"/>
      <c r="AH44" s="82"/>
      <c r="AI44" s="82"/>
      <c r="AJ44" s="82"/>
      <c r="AK44" s="3" t="s">
        <v>12</v>
      </c>
      <c r="AL44" s="62" t="s">
        <v>117</v>
      </c>
    </row>
    <row r="45" spans="1:40" ht="15.95">
      <c r="A45" s="3" t="s">
        <v>20</v>
      </c>
      <c r="B45" s="3" t="str">
        <f t="shared" si="4"/>
        <v>Hossam</v>
      </c>
      <c r="C45" s="3" t="str">
        <f t="shared" si="5"/>
        <v>Zeid</v>
      </c>
      <c r="D45" s="4" t="s">
        <v>21</v>
      </c>
      <c r="E45" s="81">
        <v>46272</v>
      </c>
      <c r="F45" s="3" t="s">
        <v>22</v>
      </c>
      <c r="G45" s="35" t="s">
        <v>11</v>
      </c>
      <c r="H45" s="35" t="s">
        <v>11</v>
      </c>
      <c r="I45" s="3" t="s">
        <v>12</v>
      </c>
      <c r="J45" s="3" t="s">
        <v>12</v>
      </c>
      <c r="K45" s="35" t="s">
        <v>11</v>
      </c>
      <c r="L45" s="35" t="s">
        <v>11</v>
      </c>
      <c r="M45" s="35" t="s">
        <v>11</v>
      </c>
      <c r="N45" s="38" t="s">
        <v>37</v>
      </c>
      <c r="O45" s="35" t="s">
        <v>11</v>
      </c>
      <c r="P45" s="3" t="s">
        <v>12</v>
      </c>
      <c r="Q45" s="3" t="s">
        <v>12</v>
      </c>
      <c r="R45" s="35" t="s">
        <v>11</v>
      </c>
      <c r="S45" s="35" t="s">
        <v>11</v>
      </c>
      <c r="T45" s="64" t="s">
        <v>37</v>
      </c>
      <c r="U45" s="82"/>
      <c r="V45" s="82"/>
      <c r="W45" s="3" t="s">
        <v>12</v>
      </c>
      <c r="X45" s="3" t="s">
        <v>12</v>
      </c>
      <c r="Y45" s="82"/>
      <c r="Z45" s="82"/>
      <c r="AA45" s="82"/>
      <c r="AB45" s="82"/>
      <c r="AC45" s="82"/>
      <c r="AD45" s="3" t="s">
        <v>12</v>
      </c>
      <c r="AE45" s="3" t="s">
        <v>12</v>
      </c>
      <c r="AF45" s="82"/>
      <c r="AG45" s="82"/>
      <c r="AH45" s="82"/>
      <c r="AI45" s="82"/>
      <c r="AJ45" s="82"/>
      <c r="AK45" s="3" t="s">
        <v>12</v>
      </c>
      <c r="AL45" s="62" t="s">
        <v>117</v>
      </c>
      <c r="AN45" s="76" t="s">
        <v>14</v>
      </c>
    </row>
    <row r="46" spans="1:40" ht="14.45">
      <c r="A46" s="3" t="s">
        <v>118</v>
      </c>
      <c r="B46" s="3" t="str">
        <f t="shared" si="4"/>
        <v>Mohamed</v>
      </c>
      <c r="C46" s="3" t="str">
        <f t="shared" si="5"/>
        <v>Makram</v>
      </c>
      <c r="D46" s="4" t="s">
        <v>24</v>
      </c>
      <c r="E46" s="81">
        <v>46267</v>
      </c>
      <c r="F46" s="3" t="s">
        <v>22</v>
      </c>
      <c r="G46" s="35" t="s">
        <v>11</v>
      </c>
      <c r="H46" s="35" t="s">
        <v>11</v>
      </c>
      <c r="I46" s="3" t="s">
        <v>12</v>
      </c>
      <c r="J46" s="3" t="s">
        <v>12</v>
      </c>
      <c r="K46" s="64" t="s">
        <v>37</v>
      </c>
      <c r="L46" s="35" t="s">
        <v>11</v>
      </c>
      <c r="M46" s="35" t="s">
        <v>11</v>
      </c>
      <c r="N46" s="35" t="s">
        <v>11</v>
      </c>
      <c r="O46" s="35" t="s">
        <v>11</v>
      </c>
      <c r="P46" s="3" t="s">
        <v>12</v>
      </c>
      <c r="Q46" s="3" t="s">
        <v>12</v>
      </c>
      <c r="R46" s="35" t="s">
        <v>11</v>
      </c>
      <c r="S46" s="35" t="s">
        <v>11</v>
      </c>
      <c r="T46" s="38" t="s">
        <v>37</v>
      </c>
      <c r="U46" s="82"/>
      <c r="V46" s="82"/>
      <c r="W46" s="3" t="s">
        <v>12</v>
      </c>
      <c r="X46" s="3" t="s">
        <v>12</v>
      </c>
      <c r="Y46" s="82"/>
      <c r="Z46" s="82"/>
      <c r="AA46" s="82"/>
      <c r="AB46" s="82"/>
      <c r="AC46" s="82"/>
      <c r="AD46" s="3" t="s">
        <v>12</v>
      </c>
      <c r="AE46" s="3" t="s">
        <v>12</v>
      </c>
      <c r="AF46" s="82"/>
      <c r="AG46" s="82"/>
      <c r="AH46" s="82"/>
      <c r="AI46" s="82"/>
      <c r="AJ46" s="82"/>
      <c r="AK46" s="3" t="s">
        <v>12</v>
      </c>
      <c r="AL46" s="62" t="s">
        <v>117</v>
      </c>
      <c r="AN46" s="66" t="s">
        <v>17</v>
      </c>
    </row>
    <row r="47" spans="1:40" ht="14.45">
      <c r="A47" s="3" t="s">
        <v>26</v>
      </c>
      <c r="B47" s="3" t="str">
        <f t="shared" si="4"/>
        <v>Marwan</v>
      </c>
      <c r="C47" s="3" t="str">
        <f t="shared" si="5"/>
        <v>Dahesh</v>
      </c>
      <c r="D47" s="4" t="s">
        <v>27</v>
      </c>
      <c r="E47" s="16">
        <v>46279</v>
      </c>
      <c r="F47" s="3" t="s">
        <v>22</v>
      </c>
      <c r="G47" s="35" t="s">
        <v>11</v>
      </c>
      <c r="H47" s="35" t="s">
        <v>11</v>
      </c>
      <c r="I47" s="3" t="s">
        <v>12</v>
      </c>
      <c r="J47" s="3" t="s">
        <v>12</v>
      </c>
      <c r="K47" s="64" t="s">
        <v>37</v>
      </c>
      <c r="L47" s="35" t="s">
        <v>11</v>
      </c>
      <c r="M47" s="35" t="s">
        <v>11</v>
      </c>
      <c r="N47" s="35" t="s">
        <v>11</v>
      </c>
      <c r="O47" s="35" t="s">
        <v>11</v>
      </c>
      <c r="P47" s="3" t="s">
        <v>12</v>
      </c>
      <c r="Q47" s="3" t="s">
        <v>12</v>
      </c>
      <c r="R47" s="35" t="s">
        <v>11</v>
      </c>
      <c r="S47" s="35" t="s">
        <v>11</v>
      </c>
      <c r="T47" s="38" t="s">
        <v>37</v>
      </c>
      <c r="U47" s="82"/>
      <c r="V47" s="82"/>
      <c r="W47" s="3" t="s">
        <v>12</v>
      </c>
      <c r="X47" s="3" t="s">
        <v>12</v>
      </c>
      <c r="Y47" s="82"/>
      <c r="Z47" s="82"/>
      <c r="AA47" s="82"/>
      <c r="AB47" s="82"/>
      <c r="AC47" s="82"/>
      <c r="AD47" s="3" t="s">
        <v>12</v>
      </c>
      <c r="AE47" s="3" t="s">
        <v>12</v>
      </c>
      <c r="AF47" s="82"/>
      <c r="AG47" s="82"/>
      <c r="AH47" s="82"/>
      <c r="AI47" s="82"/>
      <c r="AJ47" s="82"/>
      <c r="AK47" s="3" t="s">
        <v>12</v>
      </c>
      <c r="AL47" s="62" t="s">
        <v>117</v>
      </c>
      <c r="AN47" s="67" t="s">
        <v>11</v>
      </c>
    </row>
    <row r="48" spans="1:40" ht="14.45">
      <c r="A48" s="3" t="s">
        <v>29</v>
      </c>
      <c r="B48" s="3" t="str">
        <f t="shared" si="4"/>
        <v>Shahd</v>
      </c>
      <c r="C48" s="3" t="str">
        <f t="shared" si="5"/>
        <v>Hassan</v>
      </c>
      <c r="D48" s="4" t="s">
        <v>30</v>
      </c>
      <c r="E48" s="16">
        <v>46279</v>
      </c>
      <c r="F48" s="3" t="s">
        <v>22</v>
      </c>
      <c r="G48" s="35" t="s">
        <v>11</v>
      </c>
      <c r="H48" s="35" t="s">
        <v>11</v>
      </c>
      <c r="I48" s="3" t="s">
        <v>12</v>
      </c>
      <c r="J48" s="3" t="s">
        <v>12</v>
      </c>
      <c r="K48" s="35" t="s">
        <v>11</v>
      </c>
      <c r="L48" s="35" t="s">
        <v>11</v>
      </c>
      <c r="M48" s="35" t="s">
        <v>11</v>
      </c>
      <c r="N48" s="35" t="s">
        <v>11</v>
      </c>
      <c r="O48" s="35" t="s">
        <v>11</v>
      </c>
      <c r="P48" s="3" t="s">
        <v>12</v>
      </c>
      <c r="Q48" s="3" t="s">
        <v>12</v>
      </c>
      <c r="R48" s="35" t="s">
        <v>11</v>
      </c>
      <c r="S48" s="35" t="s">
        <v>11</v>
      </c>
      <c r="T48" s="35" t="s">
        <v>11</v>
      </c>
      <c r="U48" s="82"/>
      <c r="V48" s="82"/>
      <c r="W48" s="3" t="s">
        <v>12</v>
      </c>
      <c r="X48" s="3" t="s">
        <v>12</v>
      </c>
      <c r="Y48" s="82"/>
      <c r="Z48" s="82"/>
      <c r="AA48" s="82"/>
      <c r="AB48" s="82"/>
      <c r="AC48" s="82"/>
      <c r="AD48" s="3" t="s">
        <v>12</v>
      </c>
      <c r="AE48" s="3" t="s">
        <v>12</v>
      </c>
      <c r="AF48" s="82"/>
      <c r="AG48" s="82"/>
      <c r="AH48" s="82"/>
      <c r="AI48" s="82"/>
      <c r="AJ48" s="82"/>
      <c r="AK48" s="3" t="s">
        <v>12</v>
      </c>
      <c r="AL48" s="62" t="s">
        <v>117</v>
      </c>
      <c r="AN48" s="68" t="s">
        <v>13</v>
      </c>
    </row>
    <row r="49" spans="1:41" ht="14.45">
      <c r="A49" s="3" t="s">
        <v>32</v>
      </c>
      <c r="B49" s="3" t="str">
        <f t="shared" si="4"/>
        <v>Nourhan</v>
      </c>
      <c r="C49" s="3" t="str">
        <f t="shared" si="5"/>
        <v>Khafagy</v>
      </c>
      <c r="D49" s="4" t="s">
        <v>33</v>
      </c>
      <c r="E49" s="16">
        <v>46279</v>
      </c>
      <c r="F49" s="3" t="s">
        <v>22</v>
      </c>
      <c r="G49" s="35" t="s">
        <v>11</v>
      </c>
      <c r="H49" s="35" t="s">
        <v>11</v>
      </c>
      <c r="I49" s="3" t="s">
        <v>12</v>
      </c>
      <c r="J49" s="3" t="s">
        <v>12</v>
      </c>
      <c r="K49" s="35" t="s">
        <v>11</v>
      </c>
      <c r="L49" s="35" t="s">
        <v>11</v>
      </c>
      <c r="M49" s="35" t="s">
        <v>11</v>
      </c>
      <c r="N49" s="35" t="s">
        <v>11</v>
      </c>
      <c r="O49" s="35" t="s">
        <v>11</v>
      </c>
      <c r="P49" s="3" t="s">
        <v>12</v>
      </c>
      <c r="Q49" s="3" t="s">
        <v>12</v>
      </c>
      <c r="R49" s="35" t="s">
        <v>11</v>
      </c>
      <c r="S49" s="35" t="s">
        <v>11</v>
      </c>
      <c r="T49" s="35" t="s">
        <v>11</v>
      </c>
      <c r="U49" s="82"/>
      <c r="V49" s="82"/>
      <c r="W49" s="3" t="s">
        <v>12</v>
      </c>
      <c r="X49" s="3" t="s">
        <v>12</v>
      </c>
      <c r="Y49" s="82"/>
      <c r="Z49" s="82"/>
      <c r="AA49" s="82"/>
      <c r="AB49" s="82"/>
      <c r="AC49" s="82"/>
      <c r="AD49" s="3" t="s">
        <v>12</v>
      </c>
      <c r="AE49" s="3" t="s">
        <v>12</v>
      </c>
      <c r="AF49" s="82"/>
      <c r="AG49" s="82"/>
      <c r="AH49" s="82"/>
      <c r="AI49" s="82"/>
      <c r="AJ49" s="82"/>
      <c r="AK49" s="3" t="s">
        <v>12</v>
      </c>
      <c r="AL49" s="62" t="s">
        <v>117</v>
      </c>
      <c r="AN49" s="69" t="s">
        <v>12</v>
      </c>
    </row>
    <row r="50" spans="1:41" ht="14.45">
      <c r="A50" s="3" t="s">
        <v>35</v>
      </c>
      <c r="B50" s="3" t="str">
        <f t="shared" si="4"/>
        <v>Berta</v>
      </c>
      <c r="C50" s="3" t="str">
        <f t="shared" si="5"/>
        <v>Hanna</v>
      </c>
      <c r="D50" s="4" t="s">
        <v>36</v>
      </c>
      <c r="E50" s="16">
        <v>46279</v>
      </c>
      <c r="F50" s="3" t="s">
        <v>22</v>
      </c>
      <c r="G50" s="35" t="s">
        <v>11</v>
      </c>
      <c r="H50" s="35" t="s">
        <v>11</v>
      </c>
      <c r="I50" s="3" t="s">
        <v>12</v>
      </c>
      <c r="J50" s="3" t="s">
        <v>12</v>
      </c>
      <c r="K50" s="35" t="s">
        <v>11</v>
      </c>
      <c r="L50" s="35" t="s">
        <v>11</v>
      </c>
      <c r="M50" s="35" t="s">
        <v>11</v>
      </c>
      <c r="N50" s="35" t="s">
        <v>11</v>
      </c>
      <c r="O50" s="38" t="s">
        <v>37</v>
      </c>
      <c r="P50" s="3" t="s">
        <v>12</v>
      </c>
      <c r="Q50" s="3" t="s">
        <v>12</v>
      </c>
      <c r="R50" s="35" t="s">
        <v>11</v>
      </c>
      <c r="S50" s="38" t="s">
        <v>37</v>
      </c>
      <c r="T50" s="35" t="s">
        <v>11</v>
      </c>
      <c r="U50" s="82"/>
      <c r="V50" s="82"/>
      <c r="W50" s="3" t="s">
        <v>12</v>
      </c>
      <c r="X50" s="3" t="s">
        <v>12</v>
      </c>
      <c r="Y50" s="82"/>
      <c r="Z50" s="82"/>
      <c r="AA50" s="82"/>
      <c r="AB50" s="82"/>
      <c r="AC50" s="82"/>
      <c r="AD50" s="3" t="s">
        <v>12</v>
      </c>
      <c r="AE50" s="3" t="s">
        <v>12</v>
      </c>
      <c r="AF50" s="82"/>
      <c r="AG50" s="82"/>
      <c r="AH50" s="82"/>
      <c r="AI50" s="82"/>
      <c r="AJ50" s="82"/>
      <c r="AK50" s="3" t="s">
        <v>12</v>
      </c>
      <c r="AL50" s="62" t="s">
        <v>117</v>
      </c>
      <c r="AN50" s="70" t="s">
        <v>28</v>
      </c>
    </row>
    <row r="51" spans="1:41" ht="14.45">
      <c r="A51" s="3" t="s">
        <v>39</v>
      </c>
      <c r="B51" s="3" t="str">
        <f t="shared" si="4"/>
        <v>Mohamed</v>
      </c>
      <c r="C51" s="3" t="str">
        <f t="shared" si="5"/>
        <v xml:space="preserve">Elaidi
</v>
      </c>
      <c r="D51" s="4" t="s">
        <v>40</v>
      </c>
      <c r="E51" s="16">
        <v>46280</v>
      </c>
      <c r="F51" s="3" t="s">
        <v>22</v>
      </c>
      <c r="G51" s="35" t="s">
        <v>11</v>
      </c>
      <c r="H51" s="35" t="s">
        <v>11</v>
      </c>
      <c r="I51" s="3" t="s">
        <v>12</v>
      </c>
      <c r="J51" s="3" t="s">
        <v>12</v>
      </c>
      <c r="K51" s="35" t="s">
        <v>11</v>
      </c>
      <c r="L51" s="35" t="s">
        <v>11</v>
      </c>
      <c r="M51" s="35" t="s">
        <v>11</v>
      </c>
      <c r="N51" s="64" t="s">
        <v>37</v>
      </c>
      <c r="O51" s="35" t="s">
        <v>11</v>
      </c>
      <c r="P51" s="3" t="s">
        <v>12</v>
      </c>
      <c r="Q51" s="3" t="s">
        <v>12</v>
      </c>
      <c r="R51" s="35" t="s">
        <v>11</v>
      </c>
      <c r="S51" s="35" t="s">
        <v>11</v>
      </c>
      <c r="T51" s="35" t="s">
        <v>11</v>
      </c>
      <c r="U51" s="82"/>
      <c r="V51" s="82"/>
      <c r="W51" s="3" t="s">
        <v>12</v>
      </c>
      <c r="X51" s="3" t="s">
        <v>12</v>
      </c>
      <c r="Y51" s="82"/>
      <c r="Z51" s="82"/>
      <c r="AA51" s="82"/>
      <c r="AB51" s="82"/>
      <c r="AC51" s="82"/>
      <c r="AD51" s="3" t="s">
        <v>12</v>
      </c>
      <c r="AE51" s="3" t="s">
        <v>12</v>
      </c>
      <c r="AF51" s="82"/>
      <c r="AG51" s="82"/>
      <c r="AH51" s="82"/>
      <c r="AI51" s="82"/>
      <c r="AJ51" s="82"/>
      <c r="AK51" s="3" t="s">
        <v>12</v>
      </c>
      <c r="AL51" s="62" t="s">
        <v>117</v>
      </c>
      <c r="AN51" s="71" t="s">
        <v>31</v>
      </c>
    </row>
    <row r="52" spans="1:41" ht="14.45">
      <c r="A52" s="3" t="s">
        <v>42</v>
      </c>
      <c r="B52" s="3" t="s">
        <v>43</v>
      </c>
      <c r="C52" s="3" t="s">
        <v>44</v>
      </c>
      <c r="D52" s="4" t="s">
        <v>45</v>
      </c>
      <c r="E52" s="16">
        <v>46281</v>
      </c>
      <c r="F52" s="3" t="s">
        <v>22</v>
      </c>
      <c r="G52" s="35" t="s">
        <v>11</v>
      </c>
      <c r="H52" s="35" t="s">
        <v>11</v>
      </c>
      <c r="I52" s="3" t="s">
        <v>12</v>
      </c>
      <c r="J52" s="3" t="s">
        <v>12</v>
      </c>
      <c r="K52" s="35" t="s">
        <v>11</v>
      </c>
      <c r="L52" s="35" t="s">
        <v>11</v>
      </c>
      <c r="M52" s="35" t="s">
        <v>11</v>
      </c>
      <c r="N52" s="35" t="s">
        <v>11</v>
      </c>
      <c r="O52" s="35" t="s">
        <v>11</v>
      </c>
      <c r="P52" s="3" t="s">
        <v>12</v>
      </c>
      <c r="Q52" s="3" t="s">
        <v>12</v>
      </c>
      <c r="R52" s="35" t="s">
        <v>11</v>
      </c>
      <c r="S52" s="35" t="s">
        <v>11</v>
      </c>
      <c r="T52" s="35" t="s">
        <v>11</v>
      </c>
      <c r="U52" s="82"/>
      <c r="V52" s="82"/>
      <c r="W52" s="3" t="s">
        <v>12</v>
      </c>
      <c r="X52" s="3" t="s">
        <v>12</v>
      </c>
      <c r="Y52" s="82"/>
      <c r="Z52" s="82"/>
      <c r="AA52" s="82"/>
      <c r="AB52" s="82"/>
      <c r="AC52" s="82"/>
      <c r="AD52" s="3" t="s">
        <v>12</v>
      </c>
      <c r="AE52" s="3" t="s">
        <v>12</v>
      </c>
      <c r="AF52" s="82"/>
      <c r="AG52" s="82"/>
      <c r="AH52" s="82"/>
      <c r="AI52" s="82"/>
      <c r="AJ52" s="82"/>
      <c r="AK52" s="3" t="s">
        <v>12</v>
      </c>
      <c r="AL52" s="62" t="s">
        <v>117</v>
      </c>
      <c r="AN52" s="72" t="s">
        <v>11</v>
      </c>
      <c r="AO52" t="s">
        <v>34</v>
      </c>
    </row>
    <row r="53" spans="1:41" ht="14.45">
      <c r="A53" s="3" t="s">
        <v>47</v>
      </c>
      <c r="B53" s="3" t="s">
        <v>48</v>
      </c>
      <c r="C53" s="3" t="s">
        <v>49</v>
      </c>
      <c r="D53" s="4" t="s">
        <v>50</v>
      </c>
      <c r="E53" s="16">
        <v>46280</v>
      </c>
      <c r="F53" s="3" t="s">
        <v>22</v>
      </c>
      <c r="G53" s="35" t="s">
        <v>11</v>
      </c>
      <c r="H53" s="35" t="s">
        <v>11</v>
      </c>
      <c r="I53" s="3" t="s">
        <v>12</v>
      </c>
      <c r="J53" s="3" t="s">
        <v>12</v>
      </c>
      <c r="K53" s="35" t="s">
        <v>11</v>
      </c>
      <c r="L53" s="35" t="s">
        <v>11</v>
      </c>
      <c r="M53" s="35" t="s">
        <v>11</v>
      </c>
      <c r="N53" s="35" t="s">
        <v>11</v>
      </c>
      <c r="O53" s="35" t="s">
        <v>11</v>
      </c>
      <c r="P53" s="3" t="s">
        <v>12</v>
      </c>
      <c r="Q53" s="3" t="s">
        <v>12</v>
      </c>
      <c r="R53" s="35" t="s">
        <v>11</v>
      </c>
      <c r="S53" s="35" t="s">
        <v>11</v>
      </c>
      <c r="T53" s="35" t="s">
        <v>11</v>
      </c>
      <c r="U53" s="82"/>
      <c r="V53" s="82"/>
      <c r="W53" s="3" t="s">
        <v>12</v>
      </c>
      <c r="X53" s="3" t="s">
        <v>12</v>
      </c>
      <c r="Y53" s="82"/>
      <c r="Z53" s="82"/>
      <c r="AA53" s="82"/>
      <c r="AB53" s="82"/>
      <c r="AC53" s="82"/>
      <c r="AD53" s="3" t="s">
        <v>12</v>
      </c>
      <c r="AE53" s="3" t="s">
        <v>12</v>
      </c>
      <c r="AF53" s="82"/>
      <c r="AG53" s="82"/>
      <c r="AH53" s="82"/>
      <c r="AI53" s="82"/>
      <c r="AJ53" s="82"/>
      <c r="AK53" s="3" t="s">
        <v>12</v>
      </c>
      <c r="AL53" s="62" t="s">
        <v>117</v>
      </c>
      <c r="AN53" s="73" t="s">
        <v>11</v>
      </c>
      <c r="AO53" t="s">
        <v>38</v>
      </c>
    </row>
    <row r="54" spans="1:41" ht="14.45">
      <c r="A54" s="3" t="s">
        <v>52</v>
      </c>
      <c r="B54" s="3" t="s">
        <v>53</v>
      </c>
      <c r="C54" s="3" t="s">
        <v>54</v>
      </c>
      <c r="D54" s="83" t="s">
        <v>55</v>
      </c>
      <c r="E54" s="16">
        <v>46281</v>
      </c>
      <c r="F54" s="3" t="s">
        <v>22</v>
      </c>
      <c r="G54" s="38" t="s">
        <v>37</v>
      </c>
      <c r="H54" s="35" t="s">
        <v>11</v>
      </c>
      <c r="I54" s="3" t="s">
        <v>12</v>
      </c>
      <c r="J54" s="3" t="s">
        <v>12</v>
      </c>
      <c r="K54" s="35" t="s">
        <v>11</v>
      </c>
      <c r="L54" s="35" t="s">
        <v>11</v>
      </c>
      <c r="M54" s="35" t="s">
        <v>11</v>
      </c>
      <c r="N54" s="35" t="s">
        <v>11</v>
      </c>
      <c r="O54" s="38" t="s">
        <v>37</v>
      </c>
      <c r="P54" s="3" t="s">
        <v>12</v>
      </c>
      <c r="Q54" s="3" t="s">
        <v>12</v>
      </c>
      <c r="R54" s="38" t="s">
        <v>37</v>
      </c>
      <c r="S54" s="38" t="s">
        <v>37</v>
      </c>
      <c r="T54" s="35" t="s">
        <v>11</v>
      </c>
      <c r="U54" s="82"/>
      <c r="V54" s="82"/>
      <c r="W54" s="3" t="s">
        <v>12</v>
      </c>
      <c r="X54" s="3" t="s">
        <v>12</v>
      </c>
      <c r="Y54" s="82"/>
      <c r="Z54" s="82"/>
      <c r="AA54" s="82"/>
      <c r="AB54" s="82"/>
      <c r="AC54" s="82"/>
      <c r="AD54" s="3" t="s">
        <v>12</v>
      </c>
      <c r="AE54" s="3" t="s">
        <v>12</v>
      </c>
      <c r="AF54" s="82"/>
      <c r="AG54" s="82"/>
      <c r="AH54" s="82"/>
      <c r="AI54" s="82"/>
      <c r="AJ54" s="82"/>
      <c r="AK54" s="3" t="s">
        <v>12</v>
      </c>
      <c r="AL54" s="62" t="s">
        <v>117</v>
      </c>
      <c r="AN54" s="74" t="s">
        <v>37</v>
      </c>
      <c r="AO54" t="s">
        <v>41</v>
      </c>
    </row>
    <row r="55" spans="1:41" ht="14.45">
      <c r="A55" s="3" t="s">
        <v>56</v>
      </c>
      <c r="B55" s="3" t="s">
        <v>57</v>
      </c>
      <c r="C55" s="3" t="s">
        <v>58</v>
      </c>
      <c r="D55" s="4" t="s">
        <v>59</v>
      </c>
      <c r="E55" s="16">
        <v>46279</v>
      </c>
      <c r="F55" s="3" t="s">
        <v>60</v>
      </c>
      <c r="G55" s="35" t="s">
        <v>11</v>
      </c>
      <c r="H55" s="35" t="s">
        <v>11</v>
      </c>
      <c r="I55" s="3" t="s">
        <v>12</v>
      </c>
      <c r="J55" s="3" t="s">
        <v>12</v>
      </c>
      <c r="K55" s="38" t="s">
        <v>37</v>
      </c>
      <c r="L55" s="35" t="s">
        <v>11</v>
      </c>
      <c r="M55" s="35" t="s">
        <v>11</v>
      </c>
      <c r="N55" s="35" t="s">
        <v>11</v>
      </c>
      <c r="O55" s="35" t="s">
        <v>11</v>
      </c>
      <c r="P55" s="3" t="s">
        <v>12</v>
      </c>
      <c r="Q55" s="3" t="s">
        <v>12</v>
      </c>
      <c r="R55" s="35" t="s">
        <v>11</v>
      </c>
      <c r="S55" s="35" t="s">
        <v>11</v>
      </c>
      <c r="T55" s="38" t="s">
        <v>37</v>
      </c>
      <c r="U55" s="82"/>
      <c r="V55" s="82"/>
      <c r="W55" s="3" t="s">
        <v>12</v>
      </c>
      <c r="X55" s="3" t="s">
        <v>12</v>
      </c>
      <c r="Y55" s="82"/>
      <c r="Z55" s="82"/>
      <c r="AA55" s="82"/>
      <c r="AB55" s="82"/>
      <c r="AC55" s="82"/>
      <c r="AD55" s="3" t="s">
        <v>12</v>
      </c>
      <c r="AE55" s="3" t="s">
        <v>12</v>
      </c>
      <c r="AF55" s="82"/>
      <c r="AG55" s="82"/>
      <c r="AH55" s="82"/>
      <c r="AI55" s="82"/>
      <c r="AJ55" s="82"/>
      <c r="AK55" s="3" t="s">
        <v>12</v>
      </c>
      <c r="AL55" s="62" t="s">
        <v>117</v>
      </c>
      <c r="AN55" s="64" t="s">
        <v>37</v>
      </c>
      <c r="AO55" t="s">
        <v>46</v>
      </c>
    </row>
    <row r="56" spans="1:41" ht="14.45">
      <c r="A56" s="3" t="s">
        <v>61</v>
      </c>
      <c r="B56" s="3" t="str">
        <f t="shared" ref="B56:B68" si="6">PROPER(_xlfn.TEXTBEFORE(TRIM(A56), " ", 1))</f>
        <v>Hagar</v>
      </c>
      <c r="C56" s="3" t="s">
        <v>62</v>
      </c>
      <c r="D56" s="43" t="s">
        <v>63</v>
      </c>
      <c r="E56" s="16">
        <v>46286</v>
      </c>
      <c r="F56" s="3" t="s">
        <v>22</v>
      </c>
      <c r="G56" s="38" t="s">
        <v>37</v>
      </c>
      <c r="H56" s="35" t="s">
        <v>11</v>
      </c>
      <c r="I56" s="3" t="s">
        <v>12</v>
      </c>
      <c r="J56" s="3" t="s">
        <v>12</v>
      </c>
      <c r="K56" s="64" t="s">
        <v>37</v>
      </c>
      <c r="L56" s="35" t="s">
        <v>11</v>
      </c>
      <c r="M56" s="35" t="s">
        <v>11</v>
      </c>
      <c r="N56" s="64" t="s">
        <v>37</v>
      </c>
      <c r="O56" s="38" t="s">
        <v>37</v>
      </c>
      <c r="P56" s="3" t="s">
        <v>12</v>
      </c>
      <c r="Q56" s="3" t="s">
        <v>12</v>
      </c>
      <c r="R56" s="64" t="s">
        <v>37</v>
      </c>
      <c r="S56" s="38" t="s">
        <v>37</v>
      </c>
      <c r="T56" s="35" t="s">
        <v>11</v>
      </c>
      <c r="U56" s="82"/>
      <c r="V56" s="82"/>
      <c r="W56" s="3" t="s">
        <v>12</v>
      </c>
      <c r="X56" s="3" t="s">
        <v>12</v>
      </c>
      <c r="Y56" s="82"/>
      <c r="Z56" s="82"/>
      <c r="AA56" s="82"/>
      <c r="AB56" s="82"/>
      <c r="AC56" s="82"/>
      <c r="AD56" s="3" t="s">
        <v>12</v>
      </c>
      <c r="AE56" s="3" t="s">
        <v>12</v>
      </c>
      <c r="AF56" s="82"/>
      <c r="AG56" s="82"/>
      <c r="AH56" s="82"/>
      <c r="AI56" s="82"/>
      <c r="AJ56" s="82"/>
      <c r="AK56" s="3" t="s">
        <v>12</v>
      </c>
      <c r="AL56" s="62" t="s">
        <v>117</v>
      </c>
      <c r="AN56" s="75" t="s">
        <v>51</v>
      </c>
    </row>
    <row r="57" spans="1:41" ht="14.45">
      <c r="A57" s="3" t="s">
        <v>64</v>
      </c>
      <c r="B57" s="3" t="str">
        <f t="shared" si="6"/>
        <v>Mohamed</v>
      </c>
      <c r="C57" s="3" t="str">
        <f t="shared" ref="C57:C59" si="7">_xlfn.TEXTAFTER(TRIM(A57), " ", -1)</f>
        <v>Mosa</v>
      </c>
      <c r="D57" s="4" t="s">
        <v>65</v>
      </c>
      <c r="E57" s="16">
        <v>46286</v>
      </c>
      <c r="F57" s="3" t="s">
        <v>66</v>
      </c>
      <c r="G57" s="35" t="s">
        <v>11</v>
      </c>
      <c r="H57" s="35" t="s">
        <v>11</v>
      </c>
      <c r="I57" s="3" t="s">
        <v>12</v>
      </c>
      <c r="J57" s="3" t="s">
        <v>12</v>
      </c>
      <c r="K57" s="35" t="s">
        <v>11</v>
      </c>
      <c r="L57" s="35" t="s">
        <v>11</v>
      </c>
      <c r="M57" s="35" t="s">
        <v>11</v>
      </c>
      <c r="N57" s="35" t="s">
        <v>11</v>
      </c>
      <c r="O57" s="35" t="s">
        <v>11</v>
      </c>
      <c r="P57" s="3" t="s">
        <v>12</v>
      </c>
      <c r="Q57" s="3" t="s">
        <v>12</v>
      </c>
      <c r="R57" s="35" t="s">
        <v>11</v>
      </c>
      <c r="S57" s="35" t="s">
        <v>11</v>
      </c>
      <c r="T57" s="35" t="s">
        <v>11</v>
      </c>
      <c r="U57" s="82"/>
      <c r="V57" s="82"/>
      <c r="W57" s="3" t="s">
        <v>12</v>
      </c>
      <c r="X57" s="3" t="s">
        <v>12</v>
      </c>
      <c r="Y57" s="82"/>
      <c r="Z57" s="82"/>
      <c r="AA57" s="82"/>
      <c r="AB57" s="82"/>
      <c r="AC57" s="82"/>
      <c r="AD57" s="3" t="s">
        <v>12</v>
      </c>
      <c r="AE57" s="3" t="s">
        <v>12</v>
      </c>
      <c r="AF57" s="82"/>
      <c r="AG57" s="82"/>
      <c r="AH57" s="82"/>
      <c r="AI57" s="82"/>
      <c r="AJ57" s="82"/>
      <c r="AK57" s="3" t="s">
        <v>12</v>
      </c>
      <c r="AL57" s="62" t="s">
        <v>117</v>
      </c>
    </row>
    <row r="58" spans="1:41" ht="14.45">
      <c r="A58" s="3" t="s">
        <v>67</v>
      </c>
      <c r="B58" s="3" t="str">
        <f t="shared" si="6"/>
        <v>Nour</v>
      </c>
      <c r="C58" s="3" t="str">
        <f t="shared" si="7"/>
        <v>Mahmoud</v>
      </c>
      <c r="D58" s="43" t="s">
        <v>68</v>
      </c>
      <c r="E58" s="16">
        <v>46286</v>
      </c>
      <c r="F58" s="3" t="s">
        <v>69</v>
      </c>
      <c r="G58" s="38" t="s">
        <v>37</v>
      </c>
      <c r="H58" s="35" t="s">
        <v>11</v>
      </c>
      <c r="I58" s="3" t="s">
        <v>12</v>
      </c>
      <c r="J58" s="3" t="s">
        <v>12</v>
      </c>
      <c r="K58" s="35" t="s">
        <v>11</v>
      </c>
      <c r="L58" s="35" t="s">
        <v>11</v>
      </c>
      <c r="M58" s="35" t="s">
        <v>11</v>
      </c>
      <c r="N58" s="35" t="s">
        <v>11</v>
      </c>
      <c r="O58" s="35" t="s">
        <v>11</v>
      </c>
      <c r="P58" s="3" t="s">
        <v>12</v>
      </c>
      <c r="Q58" s="3" t="s">
        <v>12</v>
      </c>
      <c r="R58" s="35" t="s">
        <v>11</v>
      </c>
      <c r="S58" s="35" t="s">
        <v>11</v>
      </c>
      <c r="T58" s="35" t="s">
        <v>11</v>
      </c>
      <c r="U58" s="82"/>
      <c r="V58" s="82"/>
      <c r="W58" s="3" t="s">
        <v>12</v>
      </c>
      <c r="X58" s="3" t="s">
        <v>12</v>
      </c>
      <c r="Y58" s="82"/>
      <c r="Z58" s="82"/>
      <c r="AA58" s="82"/>
      <c r="AB58" s="82"/>
      <c r="AC58" s="82"/>
      <c r="AD58" s="3" t="s">
        <v>12</v>
      </c>
      <c r="AE58" s="3" t="s">
        <v>12</v>
      </c>
      <c r="AF58" s="82"/>
      <c r="AG58" s="82"/>
      <c r="AH58" s="82"/>
      <c r="AI58" s="82"/>
      <c r="AJ58" s="82"/>
      <c r="AK58" s="3" t="s">
        <v>12</v>
      </c>
      <c r="AL58" s="62" t="s">
        <v>117</v>
      </c>
    </row>
    <row r="59" spans="1:41" ht="14.45">
      <c r="A59" s="3" t="s">
        <v>70</v>
      </c>
      <c r="B59" s="3" t="str">
        <f t="shared" si="6"/>
        <v>Aya</v>
      </c>
      <c r="C59" s="3" t="str">
        <f t="shared" si="7"/>
        <v>Magd-el-din</v>
      </c>
      <c r="D59" s="43" t="s">
        <v>71</v>
      </c>
      <c r="E59" s="16">
        <v>46286</v>
      </c>
      <c r="F59" s="3" t="s">
        <v>60</v>
      </c>
      <c r="G59" s="35" t="s">
        <v>11</v>
      </c>
      <c r="H59" s="35" t="s">
        <v>11</v>
      </c>
      <c r="I59" s="3" t="s">
        <v>12</v>
      </c>
      <c r="J59" s="3" t="s">
        <v>12</v>
      </c>
      <c r="K59" s="35" t="s">
        <v>11</v>
      </c>
      <c r="L59" s="35" t="s">
        <v>11</v>
      </c>
      <c r="M59" s="35" t="s">
        <v>11</v>
      </c>
      <c r="N59" s="35" t="s">
        <v>11</v>
      </c>
      <c r="O59" s="35" t="s">
        <v>11</v>
      </c>
      <c r="P59" s="3" t="s">
        <v>12</v>
      </c>
      <c r="Q59" s="3" t="s">
        <v>12</v>
      </c>
      <c r="R59" s="35" t="s">
        <v>11</v>
      </c>
      <c r="S59" s="35" t="s">
        <v>11</v>
      </c>
      <c r="T59" s="38" t="s">
        <v>37</v>
      </c>
      <c r="U59" s="82"/>
      <c r="V59" s="82"/>
      <c r="W59" s="3" t="s">
        <v>12</v>
      </c>
      <c r="X59" s="3" t="s">
        <v>12</v>
      </c>
      <c r="Y59" s="82"/>
      <c r="Z59" s="82"/>
      <c r="AA59" s="82"/>
      <c r="AB59" s="82"/>
      <c r="AC59" s="82"/>
      <c r="AD59" s="3" t="s">
        <v>12</v>
      </c>
      <c r="AE59" s="3" t="s">
        <v>12</v>
      </c>
      <c r="AF59" s="82"/>
      <c r="AG59" s="82"/>
      <c r="AH59" s="82"/>
      <c r="AI59" s="82"/>
      <c r="AJ59" s="82"/>
      <c r="AK59" s="3" t="s">
        <v>12</v>
      </c>
      <c r="AL59" s="62" t="s">
        <v>117</v>
      </c>
    </row>
    <row r="60" spans="1:41" ht="14.45">
      <c r="A60" s="3" t="s">
        <v>72</v>
      </c>
      <c r="B60" s="3" t="str">
        <f t="shared" si="6"/>
        <v>Ahmed</v>
      </c>
      <c r="C60" s="3" t="s">
        <v>73</v>
      </c>
      <c r="D60" s="45" t="s">
        <v>74</v>
      </c>
      <c r="E60" s="16">
        <v>46287</v>
      </c>
      <c r="F60" s="3" t="s">
        <v>22</v>
      </c>
      <c r="G60" s="35" t="s">
        <v>11</v>
      </c>
      <c r="H60" s="35" t="s">
        <v>11</v>
      </c>
      <c r="I60" s="3" t="s">
        <v>12</v>
      </c>
      <c r="J60" s="3" t="s">
        <v>12</v>
      </c>
      <c r="K60" s="35" t="s">
        <v>11</v>
      </c>
      <c r="L60" s="35" t="s">
        <v>11</v>
      </c>
      <c r="M60" s="35" t="s">
        <v>11</v>
      </c>
      <c r="N60" s="35" t="s">
        <v>11</v>
      </c>
      <c r="O60" s="35" t="s">
        <v>11</v>
      </c>
      <c r="P60" s="3" t="s">
        <v>12</v>
      </c>
      <c r="Q60" s="3" t="s">
        <v>12</v>
      </c>
      <c r="R60" s="35" t="s">
        <v>11</v>
      </c>
      <c r="S60" s="35" t="s">
        <v>11</v>
      </c>
      <c r="T60" s="35" t="s">
        <v>11</v>
      </c>
      <c r="U60" s="82"/>
      <c r="V60" s="82"/>
      <c r="W60" s="3" t="s">
        <v>12</v>
      </c>
      <c r="X60" s="3" t="s">
        <v>12</v>
      </c>
      <c r="Y60" s="82"/>
      <c r="Z60" s="82"/>
      <c r="AA60" s="82"/>
      <c r="AB60" s="82"/>
      <c r="AC60" s="82"/>
      <c r="AD60" s="3" t="s">
        <v>12</v>
      </c>
      <c r="AE60" s="3" t="s">
        <v>12</v>
      </c>
      <c r="AF60" s="82"/>
      <c r="AG60" s="82"/>
      <c r="AH60" s="82"/>
      <c r="AI60" s="82"/>
      <c r="AJ60" s="82"/>
      <c r="AK60" s="3" t="s">
        <v>12</v>
      </c>
      <c r="AL60" s="62" t="s">
        <v>117</v>
      </c>
    </row>
    <row r="61" spans="1:41" ht="14.45">
      <c r="A61" s="3" t="s">
        <v>75</v>
      </c>
      <c r="B61" s="3" t="str">
        <f t="shared" si="6"/>
        <v>Mohamed</v>
      </c>
      <c r="C61" s="3" t="str">
        <f t="shared" ref="C61:C107" si="8">_xlfn.TEXTAFTER(TRIM(A61), " ", -1)</f>
        <v>Ibrahim</v>
      </c>
      <c r="D61" s="84" t="s">
        <v>76</v>
      </c>
      <c r="E61" s="16">
        <v>46286</v>
      </c>
      <c r="F61" s="3" t="s">
        <v>22</v>
      </c>
      <c r="G61" s="35" t="s">
        <v>11</v>
      </c>
      <c r="H61" s="35" t="s">
        <v>11</v>
      </c>
      <c r="I61" s="3" t="s">
        <v>12</v>
      </c>
      <c r="J61" s="3" t="s">
        <v>12</v>
      </c>
      <c r="K61" s="64" t="s">
        <v>37</v>
      </c>
      <c r="L61" s="64" t="s">
        <v>37</v>
      </c>
      <c r="M61" s="64" t="s">
        <v>37</v>
      </c>
      <c r="N61" s="35" t="s">
        <v>11</v>
      </c>
      <c r="O61" s="35" t="s">
        <v>11</v>
      </c>
      <c r="P61" s="3" t="s">
        <v>12</v>
      </c>
      <c r="Q61" s="3" t="s">
        <v>12</v>
      </c>
      <c r="R61" s="64" t="s">
        <v>37</v>
      </c>
      <c r="S61" s="64" t="s">
        <v>37</v>
      </c>
      <c r="T61" s="64" t="s">
        <v>37</v>
      </c>
      <c r="U61" s="82"/>
      <c r="V61" s="82"/>
      <c r="W61" s="3" t="s">
        <v>12</v>
      </c>
      <c r="X61" s="3" t="s">
        <v>12</v>
      </c>
      <c r="Y61" s="82"/>
      <c r="Z61" s="82"/>
      <c r="AA61" s="82"/>
      <c r="AB61" s="82"/>
      <c r="AC61" s="82"/>
      <c r="AD61" s="3" t="s">
        <v>12</v>
      </c>
      <c r="AE61" s="3" t="s">
        <v>12</v>
      </c>
      <c r="AF61" s="82"/>
      <c r="AG61" s="82"/>
      <c r="AH61" s="82"/>
      <c r="AI61" s="82"/>
      <c r="AJ61" s="82"/>
      <c r="AK61" s="3" t="s">
        <v>12</v>
      </c>
      <c r="AL61" s="62" t="s">
        <v>117</v>
      </c>
    </row>
    <row r="62" spans="1:41" ht="14.45">
      <c r="A62" s="3" t="s">
        <v>78</v>
      </c>
      <c r="B62" s="3" t="str">
        <f t="shared" si="6"/>
        <v>Banan</v>
      </c>
      <c r="C62" s="3" t="str">
        <f t="shared" si="8"/>
        <v>Elsayed</v>
      </c>
      <c r="D62" s="43" t="s">
        <v>79</v>
      </c>
      <c r="E62" s="16">
        <v>46286</v>
      </c>
      <c r="F62" s="3" t="s">
        <v>22</v>
      </c>
      <c r="G62" s="35" t="s">
        <v>11</v>
      </c>
      <c r="H62" s="35" t="s">
        <v>11</v>
      </c>
      <c r="I62" s="3" t="s">
        <v>12</v>
      </c>
      <c r="J62" s="3" t="s">
        <v>12</v>
      </c>
      <c r="K62" s="35" t="s">
        <v>11</v>
      </c>
      <c r="L62" s="35" t="s">
        <v>11</v>
      </c>
      <c r="M62" s="35" t="s">
        <v>11</v>
      </c>
      <c r="N62" s="64" t="s">
        <v>37</v>
      </c>
      <c r="O62" s="38" t="s">
        <v>37</v>
      </c>
      <c r="P62" s="3" t="s">
        <v>12</v>
      </c>
      <c r="Q62" s="3" t="s">
        <v>12</v>
      </c>
      <c r="R62" s="35" t="s">
        <v>11</v>
      </c>
      <c r="S62" s="35" t="s">
        <v>11</v>
      </c>
      <c r="T62" s="64" t="s">
        <v>37</v>
      </c>
      <c r="U62" s="82"/>
      <c r="V62" s="82"/>
      <c r="W62" s="3" t="s">
        <v>12</v>
      </c>
      <c r="X62" s="3" t="s">
        <v>12</v>
      </c>
      <c r="Y62" s="82"/>
      <c r="Z62" s="82"/>
      <c r="AA62" s="82"/>
      <c r="AB62" s="82"/>
      <c r="AC62" s="82"/>
      <c r="AD62" s="3" t="s">
        <v>12</v>
      </c>
      <c r="AE62" s="3" t="s">
        <v>12</v>
      </c>
      <c r="AF62" s="82"/>
      <c r="AG62" s="82"/>
      <c r="AH62" s="82"/>
      <c r="AI62" s="82"/>
      <c r="AJ62" s="82"/>
      <c r="AK62" s="3" t="s">
        <v>12</v>
      </c>
      <c r="AL62" s="62" t="s">
        <v>117</v>
      </c>
    </row>
    <row r="63" spans="1:41" ht="14.45">
      <c r="A63" s="3" t="s">
        <v>80</v>
      </c>
      <c r="B63" s="3" t="str">
        <f t="shared" si="6"/>
        <v>Ahmed</v>
      </c>
      <c r="C63" s="3" t="str">
        <f t="shared" si="8"/>
        <v>aboelfadl</v>
      </c>
      <c r="D63" s="45" t="s">
        <v>81</v>
      </c>
      <c r="E63" s="16">
        <v>46286</v>
      </c>
      <c r="F63" s="3" t="s">
        <v>22</v>
      </c>
      <c r="G63" s="35" t="s">
        <v>11</v>
      </c>
      <c r="H63" s="35" t="s">
        <v>11</v>
      </c>
      <c r="I63" s="3" t="s">
        <v>12</v>
      </c>
      <c r="J63" s="3" t="s">
        <v>12</v>
      </c>
      <c r="K63" s="35" t="s">
        <v>11</v>
      </c>
      <c r="L63" s="35" t="s">
        <v>11</v>
      </c>
      <c r="M63" s="35" t="s">
        <v>11</v>
      </c>
      <c r="N63" s="35" t="s">
        <v>11</v>
      </c>
      <c r="O63" s="35" t="s">
        <v>11</v>
      </c>
      <c r="P63" s="3" t="s">
        <v>12</v>
      </c>
      <c r="Q63" s="3" t="s">
        <v>12</v>
      </c>
      <c r="R63" s="35" t="s">
        <v>11</v>
      </c>
      <c r="S63" s="35" t="s">
        <v>11</v>
      </c>
      <c r="T63" s="74" t="s">
        <v>37</v>
      </c>
      <c r="U63" s="82"/>
      <c r="V63" s="82"/>
      <c r="W63" s="3" t="s">
        <v>12</v>
      </c>
      <c r="X63" s="3" t="s">
        <v>12</v>
      </c>
      <c r="Y63" s="82"/>
      <c r="Z63" s="82"/>
      <c r="AA63" s="82"/>
      <c r="AB63" s="82"/>
      <c r="AC63" s="82"/>
      <c r="AD63" s="3" t="s">
        <v>12</v>
      </c>
      <c r="AE63" s="3" t="s">
        <v>12</v>
      </c>
      <c r="AF63" s="82"/>
      <c r="AG63" s="82"/>
      <c r="AH63" s="82"/>
      <c r="AI63" s="82"/>
      <c r="AJ63" s="82"/>
      <c r="AK63" s="3" t="s">
        <v>12</v>
      </c>
      <c r="AL63" s="62" t="s">
        <v>117</v>
      </c>
    </row>
    <row r="64" spans="1:41" ht="14.45">
      <c r="A64" s="3" t="s">
        <v>82</v>
      </c>
      <c r="B64" s="3" t="str">
        <f t="shared" si="6"/>
        <v>Ahmed</v>
      </c>
      <c r="C64" s="3" t="str">
        <f t="shared" si="8"/>
        <v>Abdelgawad</v>
      </c>
      <c r="D64" s="43" t="s">
        <v>83</v>
      </c>
      <c r="E64" s="16">
        <v>46286</v>
      </c>
      <c r="F64" s="3" t="s">
        <v>22</v>
      </c>
      <c r="G64" s="35" t="s">
        <v>11</v>
      </c>
      <c r="H64" s="35" t="s">
        <v>11</v>
      </c>
      <c r="I64" s="3" t="s">
        <v>12</v>
      </c>
      <c r="J64" s="3" t="s">
        <v>12</v>
      </c>
      <c r="K64" s="35" t="s">
        <v>11</v>
      </c>
      <c r="L64" s="35" t="s">
        <v>11</v>
      </c>
      <c r="M64" s="35" t="s">
        <v>11</v>
      </c>
      <c r="N64" s="35" t="s">
        <v>11</v>
      </c>
      <c r="O64" s="35" t="s">
        <v>11</v>
      </c>
      <c r="P64" s="3" t="s">
        <v>12</v>
      </c>
      <c r="Q64" s="3" t="s">
        <v>12</v>
      </c>
      <c r="R64" s="35" t="s">
        <v>11</v>
      </c>
      <c r="S64" s="35" t="s">
        <v>11</v>
      </c>
      <c r="T64" s="74" t="s">
        <v>37</v>
      </c>
      <c r="U64" s="82"/>
      <c r="V64" s="82"/>
      <c r="W64" s="3" t="s">
        <v>12</v>
      </c>
      <c r="X64" s="3" t="s">
        <v>12</v>
      </c>
      <c r="Y64" s="82"/>
      <c r="Z64" s="82"/>
      <c r="AA64" s="82"/>
      <c r="AB64" s="82"/>
      <c r="AC64" s="82"/>
      <c r="AD64" s="3" t="s">
        <v>12</v>
      </c>
      <c r="AE64" s="3" t="s">
        <v>12</v>
      </c>
      <c r="AF64" s="82"/>
      <c r="AG64" s="82"/>
      <c r="AH64" s="82"/>
      <c r="AI64" s="82"/>
      <c r="AJ64" s="82"/>
      <c r="AK64" s="3" t="s">
        <v>12</v>
      </c>
      <c r="AL64" s="62" t="s">
        <v>117</v>
      </c>
    </row>
    <row r="65" spans="1:38" ht="14.45">
      <c r="A65" s="3" t="s">
        <v>84</v>
      </c>
      <c r="B65" s="3" t="str">
        <f t="shared" si="6"/>
        <v>Marwan</v>
      </c>
      <c r="C65" s="3" t="str">
        <f t="shared" si="8"/>
        <v>Mohamed</v>
      </c>
      <c r="D65" s="43" t="s">
        <v>85</v>
      </c>
      <c r="E65" s="16">
        <v>46286</v>
      </c>
      <c r="F65" s="3" t="s">
        <v>22</v>
      </c>
      <c r="G65" s="35" t="s">
        <v>11</v>
      </c>
      <c r="H65" s="35" t="s">
        <v>11</v>
      </c>
      <c r="I65" s="3" t="s">
        <v>12</v>
      </c>
      <c r="J65" s="3" t="s">
        <v>12</v>
      </c>
      <c r="K65" s="35" t="s">
        <v>11</v>
      </c>
      <c r="L65" s="35" t="s">
        <v>11</v>
      </c>
      <c r="M65" s="35" t="s">
        <v>11</v>
      </c>
      <c r="N65" s="35" t="s">
        <v>11</v>
      </c>
      <c r="O65" s="38" t="s">
        <v>37</v>
      </c>
      <c r="P65" s="3" t="s">
        <v>12</v>
      </c>
      <c r="Q65" s="3" t="s">
        <v>12</v>
      </c>
      <c r="R65" s="35" t="s">
        <v>11</v>
      </c>
      <c r="S65" s="35" t="s">
        <v>11</v>
      </c>
      <c r="T65" s="35" t="s">
        <v>11</v>
      </c>
      <c r="U65" s="82"/>
      <c r="V65" s="82"/>
      <c r="W65" s="3" t="s">
        <v>12</v>
      </c>
      <c r="X65" s="3" t="s">
        <v>12</v>
      </c>
      <c r="Y65" s="82"/>
      <c r="Z65" s="82"/>
      <c r="AA65" s="82"/>
      <c r="AB65" s="82"/>
      <c r="AC65" s="82"/>
      <c r="AD65" s="3" t="s">
        <v>12</v>
      </c>
      <c r="AE65" s="3" t="s">
        <v>12</v>
      </c>
      <c r="AF65" s="82"/>
      <c r="AG65" s="82"/>
      <c r="AH65" s="82"/>
      <c r="AI65" s="82"/>
      <c r="AJ65" s="82"/>
      <c r="AK65" s="3" t="s">
        <v>12</v>
      </c>
      <c r="AL65" s="62" t="s">
        <v>117</v>
      </c>
    </row>
    <row r="66" spans="1:38">
      <c r="A66" s="3" t="s">
        <v>86</v>
      </c>
      <c r="B66" s="3" t="str">
        <f t="shared" si="6"/>
        <v>Mohamed</v>
      </c>
      <c r="C66" s="3" t="str">
        <f t="shared" si="8"/>
        <v>Mahmoud</v>
      </c>
      <c r="D66" s="4" t="s">
        <v>87</v>
      </c>
      <c r="E66" s="16">
        <v>46286</v>
      </c>
      <c r="F66" s="3" t="s">
        <v>22</v>
      </c>
      <c r="G66" s="35" t="s">
        <v>11</v>
      </c>
      <c r="H66" s="35" t="s">
        <v>11</v>
      </c>
      <c r="I66" s="3" t="s">
        <v>12</v>
      </c>
      <c r="J66" s="3" t="s">
        <v>12</v>
      </c>
      <c r="K66" s="38" t="s">
        <v>37</v>
      </c>
      <c r="L66" s="35" t="s">
        <v>11</v>
      </c>
      <c r="M66" s="35" t="s">
        <v>11</v>
      </c>
      <c r="N66" s="35" t="s">
        <v>11</v>
      </c>
      <c r="O66" s="35" t="s">
        <v>11</v>
      </c>
      <c r="P66" s="3" t="s">
        <v>12</v>
      </c>
      <c r="Q66" s="3" t="s">
        <v>12</v>
      </c>
      <c r="R66" s="35" t="s">
        <v>11</v>
      </c>
      <c r="S66" s="35" t="s">
        <v>11</v>
      </c>
      <c r="T66" s="64" t="s">
        <v>37</v>
      </c>
      <c r="U66" s="82"/>
      <c r="V66" s="82"/>
      <c r="W66" s="3" t="s">
        <v>12</v>
      </c>
      <c r="X66" s="3" t="s">
        <v>12</v>
      </c>
      <c r="Y66" s="82"/>
      <c r="Z66" s="82"/>
      <c r="AA66" s="82"/>
      <c r="AB66" s="82"/>
      <c r="AC66" s="82"/>
      <c r="AD66" s="3" t="s">
        <v>12</v>
      </c>
      <c r="AE66" s="3" t="s">
        <v>12</v>
      </c>
      <c r="AF66" s="82"/>
      <c r="AG66" s="82"/>
      <c r="AH66" s="82"/>
      <c r="AI66" s="82"/>
      <c r="AJ66" s="82"/>
      <c r="AK66" s="3" t="s">
        <v>12</v>
      </c>
      <c r="AL66" s="62" t="s">
        <v>117</v>
      </c>
    </row>
    <row r="67" spans="1:38" ht="14.45">
      <c r="A67" s="3" t="s">
        <v>88</v>
      </c>
      <c r="B67" s="3" t="str">
        <f t="shared" si="6"/>
        <v>Mariam</v>
      </c>
      <c r="C67" s="3" t="str">
        <f t="shared" si="8"/>
        <v>Elmallawany</v>
      </c>
      <c r="D67" s="43" t="s">
        <v>89</v>
      </c>
      <c r="E67" s="16">
        <v>46286</v>
      </c>
      <c r="F67" s="3" t="s">
        <v>22</v>
      </c>
      <c r="G67" s="40" t="s">
        <v>25</v>
      </c>
      <c r="H67" s="35" t="s">
        <v>11</v>
      </c>
      <c r="I67" s="3" t="s">
        <v>12</v>
      </c>
      <c r="J67" s="3" t="s">
        <v>12</v>
      </c>
      <c r="K67" s="35" t="s">
        <v>11</v>
      </c>
      <c r="L67" s="35" t="s">
        <v>11</v>
      </c>
      <c r="M67" s="35" t="s">
        <v>11</v>
      </c>
      <c r="N67" s="35" t="s">
        <v>11</v>
      </c>
      <c r="O67" s="35" t="s">
        <v>11</v>
      </c>
      <c r="P67" s="3" t="s">
        <v>12</v>
      </c>
      <c r="Q67" s="3" t="s">
        <v>12</v>
      </c>
      <c r="R67" s="35" t="s">
        <v>11</v>
      </c>
      <c r="S67" s="35" t="s">
        <v>11</v>
      </c>
      <c r="T67" s="35" t="s">
        <v>11</v>
      </c>
      <c r="U67" s="82"/>
      <c r="V67" s="82"/>
      <c r="W67" s="3" t="s">
        <v>12</v>
      </c>
      <c r="X67" s="3" t="s">
        <v>12</v>
      </c>
      <c r="Y67" s="82"/>
      <c r="Z67" s="82"/>
      <c r="AA67" s="82"/>
      <c r="AB67" s="82"/>
      <c r="AC67" s="82"/>
      <c r="AD67" s="3" t="s">
        <v>12</v>
      </c>
      <c r="AE67" s="3" t="s">
        <v>12</v>
      </c>
      <c r="AF67" s="82"/>
      <c r="AG67" s="82"/>
      <c r="AH67" s="82"/>
      <c r="AI67" s="82"/>
      <c r="AJ67" s="82"/>
      <c r="AK67" s="3" t="s">
        <v>12</v>
      </c>
      <c r="AL67" s="62" t="s">
        <v>117</v>
      </c>
    </row>
    <row r="68" spans="1:38">
      <c r="A68" s="3" t="s">
        <v>90</v>
      </c>
      <c r="B68" s="3" t="str">
        <f t="shared" si="6"/>
        <v>Arwa</v>
      </c>
      <c r="C68" s="3" t="str">
        <f t="shared" si="8"/>
        <v>Ahmed</v>
      </c>
      <c r="D68" s="4" t="s">
        <v>91</v>
      </c>
      <c r="E68" s="16">
        <v>46286</v>
      </c>
      <c r="F68" s="3" t="s">
        <v>22</v>
      </c>
      <c r="G68" s="35" t="s">
        <v>11</v>
      </c>
      <c r="H68" s="35" t="s">
        <v>11</v>
      </c>
      <c r="I68" s="3" t="s">
        <v>12</v>
      </c>
      <c r="J68" s="3" t="s">
        <v>12</v>
      </c>
      <c r="K68" s="35" t="s">
        <v>11</v>
      </c>
      <c r="L68" s="35" t="s">
        <v>11</v>
      </c>
      <c r="M68" s="35" t="s">
        <v>11</v>
      </c>
      <c r="N68" s="35" t="s">
        <v>11</v>
      </c>
      <c r="O68" s="35" t="s">
        <v>11</v>
      </c>
      <c r="P68" s="3" t="s">
        <v>12</v>
      </c>
      <c r="Q68" s="3" t="s">
        <v>12</v>
      </c>
      <c r="R68" s="35" t="s">
        <v>11</v>
      </c>
      <c r="S68" s="35" t="s">
        <v>11</v>
      </c>
      <c r="T68" s="38" t="s">
        <v>37</v>
      </c>
      <c r="U68" s="82"/>
      <c r="V68" s="82"/>
      <c r="W68" s="3" t="s">
        <v>12</v>
      </c>
      <c r="X68" s="3" t="s">
        <v>12</v>
      </c>
      <c r="Y68" s="82"/>
      <c r="Z68" s="82"/>
      <c r="AA68" s="82"/>
      <c r="AB68" s="82"/>
      <c r="AC68" s="82"/>
      <c r="AD68" s="3" t="s">
        <v>12</v>
      </c>
      <c r="AE68" s="3" t="s">
        <v>12</v>
      </c>
      <c r="AF68" s="82"/>
      <c r="AG68" s="82"/>
      <c r="AH68" s="82"/>
      <c r="AI68" s="82"/>
      <c r="AJ68" s="82"/>
      <c r="AK68" s="3" t="s">
        <v>12</v>
      </c>
      <c r="AL68" s="62" t="s">
        <v>117</v>
      </c>
    </row>
    <row r="69" spans="1:38" ht="14.45">
      <c r="A69" s="3" t="s">
        <v>92</v>
      </c>
      <c r="B69" s="3" t="str">
        <f>PROPER(_xlfn.TEXTBEFORE(TRIM(A69), " ", 1))</f>
        <v>Amany</v>
      </c>
      <c r="C69" s="3" t="str">
        <f t="shared" si="8"/>
        <v>Abdelazim</v>
      </c>
      <c r="D69" s="45" t="s">
        <v>93</v>
      </c>
      <c r="E69" s="16">
        <v>46288</v>
      </c>
      <c r="F69" s="3" t="s">
        <v>22</v>
      </c>
      <c r="G69" s="40" t="s">
        <v>25</v>
      </c>
      <c r="H69" s="35" t="s">
        <v>11</v>
      </c>
      <c r="I69" s="3" t="s">
        <v>12</v>
      </c>
      <c r="J69" s="3" t="s">
        <v>12</v>
      </c>
      <c r="K69" s="35" t="s">
        <v>11</v>
      </c>
      <c r="L69" s="35" t="s">
        <v>11</v>
      </c>
      <c r="M69" s="35" t="s">
        <v>11</v>
      </c>
      <c r="N69" s="35" t="s">
        <v>11</v>
      </c>
      <c r="O69" s="35" t="s">
        <v>11</v>
      </c>
      <c r="P69" s="3" t="s">
        <v>12</v>
      </c>
      <c r="Q69" s="3" t="s">
        <v>12</v>
      </c>
      <c r="R69" s="35" t="s">
        <v>11</v>
      </c>
      <c r="S69" s="35" t="s">
        <v>11</v>
      </c>
      <c r="T69" s="35" t="s">
        <v>11</v>
      </c>
      <c r="U69" s="82"/>
      <c r="V69" s="82"/>
      <c r="W69" s="3" t="s">
        <v>12</v>
      </c>
      <c r="X69" s="3" t="s">
        <v>12</v>
      </c>
      <c r="Y69" s="82"/>
      <c r="Z69" s="82"/>
      <c r="AA69" s="82"/>
      <c r="AB69" s="82"/>
      <c r="AC69" s="82"/>
      <c r="AD69" s="3" t="s">
        <v>12</v>
      </c>
      <c r="AE69" s="3" t="s">
        <v>12</v>
      </c>
      <c r="AF69" s="82"/>
      <c r="AG69" s="82"/>
      <c r="AH69" s="82"/>
      <c r="AI69" s="82"/>
      <c r="AJ69" s="82"/>
      <c r="AK69" s="3" t="s">
        <v>12</v>
      </c>
      <c r="AL69" s="62" t="s">
        <v>117</v>
      </c>
    </row>
    <row r="70" spans="1:38" ht="14.45">
      <c r="A70" s="3" t="s">
        <v>94</v>
      </c>
      <c r="B70" s="3" t="str">
        <f t="shared" ref="B70:B107" si="9">PROPER(_xlfn.TEXTBEFORE(TRIM(A70), " ", 1))</f>
        <v>Sarah</v>
      </c>
      <c r="C70" s="3" t="str">
        <f t="shared" si="8"/>
        <v>Mohamed</v>
      </c>
      <c r="D70" s="45" t="s">
        <v>95</v>
      </c>
      <c r="E70" s="16">
        <v>46293</v>
      </c>
      <c r="F70" s="3" t="s">
        <v>22</v>
      </c>
      <c r="G70" s="35" t="s">
        <v>11</v>
      </c>
      <c r="H70" s="35" t="s">
        <v>11</v>
      </c>
      <c r="I70" s="3" t="s">
        <v>12</v>
      </c>
      <c r="J70" s="3" t="s">
        <v>12</v>
      </c>
      <c r="K70" s="35" t="s">
        <v>11</v>
      </c>
      <c r="L70" s="35" t="s">
        <v>11</v>
      </c>
      <c r="M70" s="35" t="s">
        <v>11</v>
      </c>
      <c r="N70" s="35" t="s">
        <v>11</v>
      </c>
      <c r="O70" s="35" t="s">
        <v>11</v>
      </c>
      <c r="P70" s="3" t="s">
        <v>12</v>
      </c>
      <c r="Q70" s="3" t="s">
        <v>12</v>
      </c>
      <c r="R70" s="35" t="s">
        <v>11</v>
      </c>
      <c r="S70" s="35" t="s">
        <v>11</v>
      </c>
      <c r="T70" s="35" t="s">
        <v>11</v>
      </c>
      <c r="U70" s="82"/>
      <c r="V70" s="82"/>
      <c r="W70" s="3" t="s">
        <v>12</v>
      </c>
      <c r="X70" s="3" t="s">
        <v>12</v>
      </c>
      <c r="Y70" s="82"/>
      <c r="Z70" s="82"/>
      <c r="AA70" s="82"/>
      <c r="AB70" s="82"/>
      <c r="AC70" s="82"/>
      <c r="AD70" s="3" t="s">
        <v>12</v>
      </c>
      <c r="AE70" s="3" t="s">
        <v>12</v>
      </c>
      <c r="AF70" s="82"/>
      <c r="AG70" s="82"/>
      <c r="AH70" s="82"/>
      <c r="AI70" s="82"/>
      <c r="AJ70" s="82"/>
      <c r="AK70" s="3" t="s">
        <v>12</v>
      </c>
      <c r="AL70" s="62" t="s">
        <v>117</v>
      </c>
    </row>
    <row r="71" spans="1:38" ht="14.45">
      <c r="A71" s="3" t="s">
        <v>96</v>
      </c>
      <c r="B71" s="3" t="str">
        <f t="shared" si="9"/>
        <v>Dalia</v>
      </c>
      <c r="C71" s="3" t="str">
        <f t="shared" si="8"/>
        <v>Elsabbagh</v>
      </c>
      <c r="D71" s="45" t="s">
        <v>97</v>
      </c>
      <c r="E71" s="16">
        <v>46293</v>
      </c>
      <c r="F71" s="3" t="s">
        <v>22</v>
      </c>
      <c r="G71" s="35" t="s">
        <v>11</v>
      </c>
      <c r="H71" s="35" t="s">
        <v>11</v>
      </c>
      <c r="I71" s="3" t="s">
        <v>12</v>
      </c>
      <c r="J71" s="3" t="s">
        <v>12</v>
      </c>
      <c r="K71" s="35" t="s">
        <v>11</v>
      </c>
      <c r="L71" s="35" t="s">
        <v>11</v>
      </c>
      <c r="M71" s="35" t="s">
        <v>11</v>
      </c>
      <c r="N71" s="35" t="s">
        <v>11</v>
      </c>
      <c r="O71" s="35" t="s">
        <v>11</v>
      </c>
      <c r="P71" s="3" t="s">
        <v>12</v>
      </c>
      <c r="Q71" s="3" t="s">
        <v>12</v>
      </c>
      <c r="R71" s="35" t="s">
        <v>11</v>
      </c>
      <c r="S71" s="35" t="s">
        <v>11</v>
      </c>
      <c r="T71" s="35" t="s">
        <v>11</v>
      </c>
      <c r="U71" s="82"/>
      <c r="V71" s="82"/>
      <c r="W71" s="3" t="s">
        <v>12</v>
      </c>
      <c r="X71" s="3" t="s">
        <v>12</v>
      </c>
      <c r="Y71" s="82"/>
      <c r="Z71" s="82"/>
      <c r="AA71" s="82"/>
      <c r="AB71" s="82"/>
      <c r="AC71" s="82"/>
      <c r="AD71" s="3" t="s">
        <v>12</v>
      </c>
      <c r="AE71" s="3" t="s">
        <v>12</v>
      </c>
      <c r="AF71" s="82"/>
      <c r="AG71" s="82"/>
      <c r="AH71" s="82"/>
      <c r="AI71" s="82"/>
      <c r="AJ71" s="82"/>
      <c r="AK71" s="3" t="s">
        <v>12</v>
      </c>
      <c r="AL71" s="62" t="s">
        <v>117</v>
      </c>
    </row>
    <row r="72" spans="1:38" ht="14.45">
      <c r="A72" s="3" t="s">
        <v>98</v>
      </c>
      <c r="B72" s="3" t="str">
        <f t="shared" si="9"/>
        <v>Salma</v>
      </c>
      <c r="C72" s="3" t="str">
        <f t="shared" si="8"/>
        <v>Dawaly</v>
      </c>
      <c r="D72" s="45" t="s">
        <v>99</v>
      </c>
      <c r="E72" s="16">
        <v>46293</v>
      </c>
      <c r="F72" s="3" t="s">
        <v>22</v>
      </c>
      <c r="G72" s="35" t="s">
        <v>11</v>
      </c>
      <c r="H72" s="35" t="s">
        <v>11</v>
      </c>
      <c r="I72" s="3" t="s">
        <v>12</v>
      </c>
      <c r="J72" s="3" t="s">
        <v>12</v>
      </c>
      <c r="K72" s="38" t="s">
        <v>37</v>
      </c>
      <c r="L72" s="35" t="s">
        <v>11</v>
      </c>
      <c r="M72" s="35" t="s">
        <v>11</v>
      </c>
      <c r="N72" s="35" t="s">
        <v>11</v>
      </c>
      <c r="O72" s="35" t="s">
        <v>11</v>
      </c>
      <c r="P72" s="3" t="s">
        <v>12</v>
      </c>
      <c r="Q72" s="3" t="s">
        <v>12</v>
      </c>
      <c r="R72" s="35" t="s">
        <v>11</v>
      </c>
      <c r="S72" s="35" t="s">
        <v>11</v>
      </c>
      <c r="T72" s="35" t="s">
        <v>11</v>
      </c>
      <c r="U72" s="82"/>
      <c r="V72" s="82"/>
      <c r="W72" s="3" t="s">
        <v>12</v>
      </c>
      <c r="X72" s="3" t="s">
        <v>12</v>
      </c>
      <c r="Y72" s="82"/>
      <c r="Z72" s="82"/>
      <c r="AA72" s="82"/>
      <c r="AB72" s="82"/>
      <c r="AC72" s="82"/>
      <c r="AD72" s="3" t="s">
        <v>12</v>
      </c>
      <c r="AE72" s="3" t="s">
        <v>12</v>
      </c>
      <c r="AF72" s="82"/>
      <c r="AG72" s="82"/>
      <c r="AH72" s="82"/>
      <c r="AI72" s="82"/>
      <c r="AJ72" s="82"/>
      <c r="AK72" s="3" t="s">
        <v>12</v>
      </c>
      <c r="AL72" s="62" t="s">
        <v>117</v>
      </c>
    </row>
    <row r="73" spans="1:38">
      <c r="A73" s="3" t="s">
        <v>119</v>
      </c>
      <c r="B73" s="3" t="str">
        <f t="shared" si="9"/>
        <v>Ammar</v>
      </c>
      <c r="C73" s="3" t="str">
        <f t="shared" si="8"/>
        <v>Ali</v>
      </c>
      <c r="D73" s="119" t="s">
        <v>120</v>
      </c>
      <c r="E73" s="16">
        <v>46293</v>
      </c>
      <c r="F73" s="3" t="s">
        <v>22</v>
      </c>
      <c r="G73" s="35" t="s">
        <v>11</v>
      </c>
      <c r="H73" s="35" t="s">
        <v>11</v>
      </c>
      <c r="I73" s="3" t="s">
        <v>12</v>
      </c>
      <c r="J73" s="3" t="s">
        <v>12</v>
      </c>
      <c r="K73" s="35" t="s">
        <v>11</v>
      </c>
      <c r="L73" s="38" t="s">
        <v>37</v>
      </c>
      <c r="M73" s="35" t="s">
        <v>11</v>
      </c>
      <c r="N73" s="35" t="s">
        <v>11</v>
      </c>
      <c r="O73" s="35" t="s">
        <v>11</v>
      </c>
      <c r="P73" s="3" t="s">
        <v>12</v>
      </c>
      <c r="Q73" s="3" t="s">
        <v>12</v>
      </c>
      <c r="R73" s="35" t="s">
        <v>11</v>
      </c>
      <c r="S73" s="35" t="s">
        <v>11</v>
      </c>
      <c r="T73" s="38" t="s">
        <v>37</v>
      </c>
      <c r="U73" s="82"/>
      <c r="V73" s="82"/>
      <c r="W73" s="3" t="s">
        <v>12</v>
      </c>
      <c r="X73" s="3" t="s">
        <v>12</v>
      </c>
      <c r="Y73" s="82"/>
      <c r="Z73" s="82"/>
      <c r="AA73" s="82"/>
      <c r="AB73" s="82"/>
      <c r="AC73" s="82"/>
      <c r="AD73" s="3" t="s">
        <v>12</v>
      </c>
      <c r="AE73" s="3" t="s">
        <v>12</v>
      </c>
      <c r="AF73" s="82"/>
      <c r="AG73" s="82"/>
      <c r="AH73" s="82"/>
      <c r="AI73" s="82"/>
      <c r="AJ73" s="82"/>
      <c r="AK73" s="3" t="s">
        <v>12</v>
      </c>
      <c r="AL73" s="62" t="s">
        <v>117</v>
      </c>
    </row>
    <row r="74" spans="1:38" ht="14.45">
      <c r="A74" s="3" t="s">
        <v>102</v>
      </c>
      <c r="B74" s="3" t="str">
        <f t="shared" si="9"/>
        <v>Amr</v>
      </c>
      <c r="C74" s="3" t="str">
        <f t="shared" si="8"/>
        <v>Kotb</v>
      </c>
      <c r="D74" s="45" t="s">
        <v>103</v>
      </c>
      <c r="E74" s="16">
        <v>46293</v>
      </c>
      <c r="F74" s="3" t="s">
        <v>22</v>
      </c>
      <c r="G74" s="35" t="s">
        <v>11</v>
      </c>
      <c r="H74" s="35" t="s">
        <v>11</v>
      </c>
      <c r="I74" s="3" t="s">
        <v>12</v>
      </c>
      <c r="J74" s="3" t="s">
        <v>12</v>
      </c>
      <c r="K74" s="64" t="s">
        <v>37</v>
      </c>
      <c r="L74" s="35" t="s">
        <v>11</v>
      </c>
      <c r="M74" s="35" t="s">
        <v>11</v>
      </c>
      <c r="N74" s="35" t="s">
        <v>11</v>
      </c>
      <c r="O74" s="35" t="s">
        <v>11</v>
      </c>
      <c r="P74" s="3" t="s">
        <v>12</v>
      </c>
      <c r="Q74" s="3" t="s">
        <v>12</v>
      </c>
      <c r="R74" s="35" t="s">
        <v>11</v>
      </c>
      <c r="S74" s="35" t="s">
        <v>11</v>
      </c>
      <c r="T74" s="35" t="s">
        <v>11</v>
      </c>
      <c r="U74" s="82"/>
      <c r="V74" s="82"/>
      <c r="W74" s="3" t="s">
        <v>12</v>
      </c>
      <c r="X74" s="3" t="s">
        <v>12</v>
      </c>
      <c r="Y74" s="82"/>
      <c r="Z74" s="82"/>
      <c r="AA74" s="82"/>
      <c r="AB74" s="82"/>
      <c r="AC74" s="82"/>
      <c r="AD74" s="3" t="s">
        <v>12</v>
      </c>
      <c r="AE74" s="3" t="s">
        <v>12</v>
      </c>
      <c r="AF74" s="82"/>
      <c r="AG74" s="82"/>
      <c r="AH74" s="82"/>
      <c r="AI74" s="82"/>
      <c r="AJ74" s="82"/>
      <c r="AK74" s="3" t="s">
        <v>12</v>
      </c>
      <c r="AL74" s="62" t="s">
        <v>117</v>
      </c>
    </row>
    <row r="75" spans="1:38" ht="14.45">
      <c r="A75" s="3" t="s">
        <v>104</v>
      </c>
      <c r="B75" s="3" t="str">
        <f t="shared" si="9"/>
        <v>Khaled</v>
      </c>
      <c r="C75" s="3" t="str">
        <f t="shared" si="8"/>
        <v>Abdalgalil</v>
      </c>
      <c r="D75" s="45" t="s">
        <v>105</v>
      </c>
      <c r="E75" s="16">
        <v>46293</v>
      </c>
      <c r="F75" s="3" t="s">
        <v>22</v>
      </c>
      <c r="G75" s="35" t="s">
        <v>11</v>
      </c>
      <c r="H75" s="35" t="s">
        <v>11</v>
      </c>
      <c r="I75" s="3" t="s">
        <v>12</v>
      </c>
      <c r="J75" s="3" t="s">
        <v>12</v>
      </c>
      <c r="K75" s="38" t="s">
        <v>37</v>
      </c>
      <c r="L75" s="35" t="s">
        <v>11</v>
      </c>
      <c r="M75" s="35" t="s">
        <v>11</v>
      </c>
      <c r="N75" s="35" t="s">
        <v>11</v>
      </c>
      <c r="O75" s="64" t="s">
        <v>37</v>
      </c>
      <c r="P75" s="3" t="s">
        <v>12</v>
      </c>
      <c r="Q75" s="3" t="s">
        <v>12</v>
      </c>
      <c r="R75" s="35" t="s">
        <v>11</v>
      </c>
      <c r="S75" s="38" t="s">
        <v>37</v>
      </c>
      <c r="T75" s="35" t="s">
        <v>11</v>
      </c>
      <c r="U75" s="82"/>
      <c r="V75" s="82"/>
      <c r="W75" s="3" t="s">
        <v>12</v>
      </c>
      <c r="X75" s="3" t="s">
        <v>12</v>
      </c>
      <c r="Y75" s="82"/>
      <c r="Z75" s="82"/>
      <c r="AA75" s="82"/>
      <c r="AB75" s="82"/>
      <c r="AC75" s="82"/>
      <c r="AD75" s="3" t="s">
        <v>12</v>
      </c>
      <c r="AE75" s="3" t="s">
        <v>12</v>
      </c>
      <c r="AF75" s="82"/>
      <c r="AG75" s="82"/>
      <c r="AH75" s="82"/>
      <c r="AI75" s="82"/>
      <c r="AJ75" s="82"/>
      <c r="AK75" s="3" t="s">
        <v>12</v>
      </c>
      <c r="AL75" s="62" t="s">
        <v>117</v>
      </c>
    </row>
    <row r="76" spans="1:38" ht="14.45">
      <c r="A76" s="3" t="s">
        <v>106</v>
      </c>
      <c r="B76" s="3" t="str">
        <f t="shared" si="9"/>
        <v>Adham</v>
      </c>
      <c r="C76" s="3" t="str">
        <f t="shared" si="8"/>
        <v>Alzorkany</v>
      </c>
      <c r="D76" s="4" t="s">
        <v>107</v>
      </c>
      <c r="E76" s="16">
        <v>46293</v>
      </c>
      <c r="F76" s="3" t="s">
        <v>121</v>
      </c>
      <c r="G76" s="35" t="s">
        <v>11</v>
      </c>
      <c r="H76" s="35" t="s">
        <v>11</v>
      </c>
      <c r="I76" s="3" t="s">
        <v>12</v>
      </c>
      <c r="J76" s="3" t="s">
        <v>12</v>
      </c>
      <c r="K76" s="35" t="s">
        <v>11</v>
      </c>
      <c r="L76" s="35" t="s">
        <v>11</v>
      </c>
      <c r="M76" s="35" t="s">
        <v>11</v>
      </c>
      <c r="N76" s="35" t="s">
        <v>11</v>
      </c>
      <c r="O76" s="35" t="s">
        <v>11</v>
      </c>
      <c r="P76" s="3" t="s">
        <v>12</v>
      </c>
      <c r="Q76" s="3" t="s">
        <v>12</v>
      </c>
      <c r="R76" s="35" t="s">
        <v>11</v>
      </c>
      <c r="S76" s="35" t="s">
        <v>11</v>
      </c>
      <c r="T76" s="35" t="s">
        <v>11</v>
      </c>
      <c r="U76" s="82"/>
      <c r="V76" s="82"/>
      <c r="W76" s="3" t="s">
        <v>12</v>
      </c>
      <c r="X76" s="3" t="s">
        <v>12</v>
      </c>
      <c r="Y76" s="82"/>
      <c r="Z76" s="82"/>
      <c r="AA76" s="82"/>
      <c r="AB76" s="82"/>
      <c r="AC76" s="82"/>
      <c r="AD76" s="3" t="s">
        <v>12</v>
      </c>
      <c r="AE76" s="3" t="s">
        <v>12</v>
      </c>
      <c r="AF76" s="82"/>
      <c r="AG76" s="82"/>
      <c r="AH76" s="82"/>
      <c r="AI76" s="82"/>
      <c r="AJ76" s="82"/>
      <c r="AK76" s="3" t="s">
        <v>12</v>
      </c>
      <c r="AL76" s="62" t="s">
        <v>117</v>
      </c>
    </row>
    <row r="77" spans="1:38" ht="14.45">
      <c r="A77" s="3" t="s">
        <v>109</v>
      </c>
      <c r="B77" s="3" t="str">
        <f t="shared" si="9"/>
        <v>Hagar</v>
      </c>
      <c r="C77" s="3" t="str">
        <f t="shared" si="8"/>
        <v>Abdelhameed</v>
      </c>
      <c r="D77" s="45" t="s">
        <v>122</v>
      </c>
      <c r="E77" s="16">
        <v>46295</v>
      </c>
      <c r="F77" s="3" t="s">
        <v>22</v>
      </c>
      <c r="G77" s="35" t="s">
        <v>11</v>
      </c>
      <c r="H77" s="35" t="s">
        <v>11</v>
      </c>
      <c r="I77" s="3" t="s">
        <v>12</v>
      </c>
      <c r="J77" s="3" t="s">
        <v>12</v>
      </c>
      <c r="K77" s="35" t="s">
        <v>11</v>
      </c>
      <c r="L77" s="35" t="s">
        <v>11</v>
      </c>
      <c r="M77" s="35" t="s">
        <v>11</v>
      </c>
      <c r="N77" s="35" t="s">
        <v>11</v>
      </c>
      <c r="O77" s="35" t="s">
        <v>11</v>
      </c>
      <c r="P77" s="3" t="s">
        <v>12</v>
      </c>
      <c r="Q77" s="3" t="s">
        <v>12</v>
      </c>
      <c r="R77" s="35" t="s">
        <v>11</v>
      </c>
      <c r="S77" s="35" t="s">
        <v>11</v>
      </c>
      <c r="T77" s="35" t="s">
        <v>11</v>
      </c>
      <c r="U77" s="82"/>
      <c r="V77" s="82"/>
      <c r="W77" s="3" t="s">
        <v>12</v>
      </c>
      <c r="X77" s="3" t="s">
        <v>12</v>
      </c>
      <c r="Y77" s="82"/>
      <c r="Z77" s="82"/>
      <c r="AA77" s="82"/>
      <c r="AB77" s="82"/>
      <c r="AC77" s="82"/>
      <c r="AD77" s="3" t="s">
        <v>12</v>
      </c>
      <c r="AE77" s="3" t="s">
        <v>12</v>
      </c>
      <c r="AF77" s="82"/>
      <c r="AG77" s="82"/>
      <c r="AH77" s="82"/>
      <c r="AI77" s="82"/>
      <c r="AJ77" s="82"/>
      <c r="AK77" s="3" t="s">
        <v>12</v>
      </c>
      <c r="AL77" s="62" t="s">
        <v>117</v>
      </c>
    </row>
    <row r="78" spans="1:38" ht="14.45">
      <c r="A78" s="3" t="s">
        <v>123</v>
      </c>
      <c r="B78" s="3" t="str">
        <f t="shared" si="9"/>
        <v>Bassel</v>
      </c>
      <c r="C78" s="3" t="str">
        <f t="shared" si="8"/>
        <v>Shalaby</v>
      </c>
      <c r="D78" s="128" t="s">
        <v>124</v>
      </c>
      <c r="E78" s="16">
        <v>46295</v>
      </c>
      <c r="F78" s="3" t="s">
        <v>22</v>
      </c>
      <c r="G78" s="35" t="s">
        <v>11</v>
      </c>
      <c r="H78" s="35" t="s">
        <v>11</v>
      </c>
      <c r="I78" s="3" t="s">
        <v>12</v>
      </c>
      <c r="J78" s="3" t="s">
        <v>12</v>
      </c>
      <c r="K78" s="38" t="s">
        <v>37</v>
      </c>
      <c r="L78" s="35" t="s">
        <v>11</v>
      </c>
      <c r="M78" s="35" t="s">
        <v>11</v>
      </c>
      <c r="N78" s="35" t="s">
        <v>11</v>
      </c>
      <c r="O78" s="35" t="s">
        <v>11</v>
      </c>
      <c r="P78" s="3" t="s">
        <v>12</v>
      </c>
      <c r="Q78" s="3" t="s">
        <v>12</v>
      </c>
      <c r="R78" s="35" t="s">
        <v>11</v>
      </c>
      <c r="S78" s="35" t="s">
        <v>11</v>
      </c>
      <c r="T78" s="35" t="s">
        <v>11</v>
      </c>
      <c r="U78" s="82"/>
      <c r="V78" s="82"/>
      <c r="W78" s="3" t="s">
        <v>12</v>
      </c>
      <c r="X78" s="3" t="s">
        <v>12</v>
      </c>
      <c r="Y78" s="82"/>
      <c r="Z78" s="82"/>
      <c r="AA78" s="82"/>
      <c r="AB78" s="82"/>
      <c r="AC78" s="82"/>
      <c r="AD78" s="3" t="s">
        <v>12</v>
      </c>
      <c r="AE78" s="3" t="s">
        <v>12</v>
      </c>
      <c r="AF78" s="82"/>
      <c r="AG78" s="82"/>
      <c r="AH78" s="82"/>
      <c r="AI78" s="82"/>
      <c r="AJ78" s="82"/>
      <c r="AK78" s="3" t="s">
        <v>12</v>
      </c>
      <c r="AL78" s="62" t="s">
        <v>117</v>
      </c>
    </row>
    <row r="79" spans="1:38" ht="14.45">
      <c r="A79" s="13" t="s">
        <v>125</v>
      </c>
      <c r="B79" s="13" t="str">
        <f t="shared" si="9"/>
        <v>Hanin</v>
      </c>
      <c r="C79" s="13" t="str">
        <f t="shared" si="8"/>
        <v>Ahmed</v>
      </c>
      <c r="D79" s="141" t="s">
        <v>126</v>
      </c>
      <c r="E79" s="19">
        <v>46295</v>
      </c>
      <c r="F79" s="13" t="s">
        <v>22</v>
      </c>
      <c r="G79" s="35" t="s">
        <v>11</v>
      </c>
      <c r="H79" s="35" t="s">
        <v>11</v>
      </c>
      <c r="I79" s="13" t="s">
        <v>12</v>
      </c>
      <c r="J79" s="13" t="s">
        <v>12</v>
      </c>
      <c r="K79" s="35" t="s">
        <v>11</v>
      </c>
      <c r="L79" s="35" t="s">
        <v>11</v>
      </c>
      <c r="M79" s="35" t="s">
        <v>11</v>
      </c>
      <c r="N79" s="35" t="s">
        <v>11</v>
      </c>
      <c r="O79" s="35" t="s">
        <v>11</v>
      </c>
      <c r="P79" s="3" t="s">
        <v>12</v>
      </c>
      <c r="Q79" s="3" t="s">
        <v>12</v>
      </c>
      <c r="R79" s="35" t="s">
        <v>11</v>
      </c>
      <c r="S79" s="35" t="s">
        <v>11</v>
      </c>
      <c r="T79" s="35" t="s">
        <v>11</v>
      </c>
      <c r="U79" s="82"/>
      <c r="V79" s="82"/>
      <c r="W79" s="3" t="s">
        <v>12</v>
      </c>
      <c r="X79" s="3" t="s">
        <v>12</v>
      </c>
      <c r="Y79" s="82"/>
      <c r="Z79" s="82"/>
      <c r="AA79" s="82"/>
      <c r="AB79" s="82"/>
      <c r="AC79" s="82"/>
      <c r="AD79" s="3" t="s">
        <v>12</v>
      </c>
      <c r="AE79" s="3" t="s">
        <v>12</v>
      </c>
      <c r="AF79" s="82"/>
      <c r="AG79" s="82"/>
      <c r="AH79" s="82"/>
      <c r="AI79" s="82"/>
      <c r="AJ79" s="82"/>
      <c r="AK79" s="3" t="s">
        <v>12</v>
      </c>
      <c r="AL79" s="62" t="s">
        <v>117</v>
      </c>
    </row>
    <row r="80" spans="1:38">
      <c r="A80" s="140" t="s">
        <v>127</v>
      </c>
      <c r="B80" s="3" t="str">
        <f t="shared" si="9"/>
        <v>Mohamed</v>
      </c>
      <c r="C80" s="3" t="str">
        <f t="shared" si="8"/>
        <v>Safwat</v>
      </c>
      <c r="D80" s="45" t="s">
        <v>128</v>
      </c>
      <c r="E80" s="16">
        <v>46301</v>
      </c>
      <c r="F80" s="7" t="s">
        <v>129</v>
      </c>
      <c r="G80" s="147"/>
      <c r="H80" s="148"/>
      <c r="I80" s="146" t="s">
        <v>12</v>
      </c>
      <c r="J80" s="8" t="s">
        <v>12</v>
      </c>
      <c r="K80" s="151"/>
      <c r="L80" s="72" t="s">
        <v>11</v>
      </c>
      <c r="M80" s="35" t="s">
        <v>11</v>
      </c>
      <c r="N80" s="35" t="s">
        <v>11</v>
      </c>
      <c r="O80" s="35" t="s">
        <v>11</v>
      </c>
      <c r="P80" s="3" t="s">
        <v>12</v>
      </c>
      <c r="Q80" s="3" t="s">
        <v>12</v>
      </c>
      <c r="R80" s="35" t="s">
        <v>11</v>
      </c>
      <c r="S80" s="35" t="s">
        <v>11</v>
      </c>
      <c r="T80" s="35" t="s">
        <v>11</v>
      </c>
      <c r="U80" s="82"/>
      <c r="V80" s="82"/>
      <c r="W80" s="3" t="s">
        <v>12</v>
      </c>
      <c r="X80" s="3" t="s">
        <v>12</v>
      </c>
      <c r="Y80" s="82"/>
      <c r="Z80" s="82"/>
      <c r="AA80" s="82"/>
      <c r="AB80" s="82"/>
      <c r="AC80" s="82"/>
      <c r="AD80" s="3" t="s">
        <v>12</v>
      </c>
      <c r="AE80" s="3" t="s">
        <v>12</v>
      </c>
      <c r="AF80" s="82"/>
      <c r="AG80" s="82"/>
      <c r="AH80" s="82"/>
      <c r="AI80" s="82"/>
      <c r="AJ80" s="82"/>
      <c r="AK80" s="3" t="s">
        <v>12</v>
      </c>
      <c r="AL80" s="62" t="s">
        <v>117</v>
      </c>
    </row>
    <row r="81" spans="1:38" ht="14.45">
      <c r="A81" s="171" t="s">
        <v>130</v>
      </c>
      <c r="B81" s="172" t="str">
        <f t="shared" si="9"/>
        <v>Hesham</v>
      </c>
      <c r="C81" s="172" t="str">
        <f t="shared" si="8"/>
        <v>Mostafa</v>
      </c>
      <c r="D81" s="45" t="s">
        <v>131</v>
      </c>
      <c r="E81" s="16">
        <v>46301</v>
      </c>
      <c r="F81" s="142" t="s">
        <v>10</v>
      </c>
      <c r="G81" s="149"/>
      <c r="H81" s="150"/>
      <c r="I81" s="146" t="s">
        <v>12</v>
      </c>
      <c r="J81" s="8" t="s">
        <v>12</v>
      </c>
      <c r="K81" s="152"/>
      <c r="L81" s="72" t="s">
        <v>11</v>
      </c>
      <c r="M81" s="35" t="s">
        <v>11</v>
      </c>
      <c r="N81" s="35" t="s">
        <v>11</v>
      </c>
      <c r="O81" s="35" t="s">
        <v>11</v>
      </c>
      <c r="P81" s="3" t="s">
        <v>12</v>
      </c>
      <c r="Q81" s="3" t="s">
        <v>12</v>
      </c>
      <c r="R81" s="35" t="s">
        <v>11</v>
      </c>
      <c r="S81" s="35" t="s">
        <v>11</v>
      </c>
      <c r="T81" s="35" t="s">
        <v>11</v>
      </c>
      <c r="U81" s="82"/>
      <c r="V81" s="82"/>
      <c r="W81" s="3" t="s">
        <v>12</v>
      </c>
      <c r="X81" s="3" t="s">
        <v>12</v>
      </c>
      <c r="Y81" s="82"/>
      <c r="Z81" s="82"/>
      <c r="AA81" s="82"/>
      <c r="AB81" s="82"/>
      <c r="AC81" s="82"/>
      <c r="AD81" s="3" t="s">
        <v>12</v>
      </c>
      <c r="AE81" s="3" t="s">
        <v>12</v>
      </c>
      <c r="AF81" s="82"/>
      <c r="AG81" s="82"/>
      <c r="AH81" s="82"/>
      <c r="AI81" s="82"/>
      <c r="AJ81" s="82"/>
      <c r="AK81" s="3" t="s">
        <v>12</v>
      </c>
      <c r="AL81" s="62" t="s">
        <v>117</v>
      </c>
    </row>
    <row r="82" spans="1:38" ht="14.45">
      <c r="A82" s="140" t="s">
        <v>132</v>
      </c>
      <c r="B82" s="3" t="str">
        <f t="shared" si="9"/>
        <v>Mohamed</v>
      </c>
      <c r="C82" s="3" t="str">
        <f t="shared" si="8"/>
        <v>Badr</v>
      </c>
      <c r="D82" s="45" t="s">
        <v>133</v>
      </c>
      <c r="E82" s="16">
        <v>46301</v>
      </c>
      <c r="F82" s="7" t="s">
        <v>66</v>
      </c>
      <c r="G82" s="149"/>
      <c r="H82" s="150"/>
      <c r="I82" s="146" t="s">
        <v>12</v>
      </c>
      <c r="J82" s="8" t="s">
        <v>12</v>
      </c>
      <c r="K82" s="152"/>
      <c r="L82" s="72" t="s">
        <v>11</v>
      </c>
      <c r="M82" s="35" t="s">
        <v>11</v>
      </c>
      <c r="N82" s="35" t="s">
        <v>11</v>
      </c>
      <c r="O82" s="35" t="s">
        <v>11</v>
      </c>
      <c r="P82" s="3" t="s">
        <v>12</v>
      </c>
      <c r="Q82" s="3" t="s">
        <v>12</v>
      </c>
      <c r="R82" s="35" t="s">
        <v>11</v>
      </c>
      <c r="S82" s="35" t="s">
        <v>11</v>
      </c>
      <c r="T82" s="35" t="s">
        <v>11</v>
      </c>
      <c r="U82" s="82"/>
      <c r="V82" s="82"/>
      <c r="W82" s="3" t="s">
        <v>12</v>
      </c>
      <c r="X82" s="3" t="s">
        <v>12</v>
      </c>
      <c r="Y82" s="82"/>
      <c r="Z82" s="82"/>
      <c r="AA82" s="82"/>
      <c r="AB82" s="82"/>
      <c r="AC82" s="82"/>
      <c r="AD82" s="3" t="s">
        <v>12</v>
      </c>
      <c r="AE82" s="3" t="s">
        <v>12</v>
      </c>
      <c r="AF82" s="82"/>
      <c r="AG82" s="82"/>
      <c r="AH82" s="82"/>
      <c r="AI82" s="82"/>
      <c r="AJ82" s="82"/>
      <c r="AK82" s="3" t="s">
        <v>12</v>
      </c>
      <c r="AL82" s="62" t="s">
        <v>117</v>
      </c>
    </row>
    <row r="83" spans="1:38" ht="14.45">
      <c r="A83" s="140" t="s">
        <v>134</v>
      </c>
      <c r="B83" s="3" t="str">
        <f t="shared" si="9"/>
        <v>Merna</v>
      </c>
      <c r="C83" s="3" t="str">
        <f t="shared" si="8"/>
        <v>Ashraf</v>
      </c>
      <c r="D83" s="45" t="s">
        <v>135</v>
      </c>
      <c r="E83" s="16">
        <v>46301</v>
      </c>
      <c r="F83" s="7" t="s">
        <v>22</v>
      </c>
      <c r="G83" s="149"/>
      <c r="H83" s="150"/>
      <c r="I83" s="146" t="s">
        <v>12</v>
      </c>
      <c r="J83" s="8" t="s">
        <v>12</v>
      </c>
      <c r="K83" s="152"/>
      <c r="L83" s="72" t="s">
        <v>11</v>
      </c>
      <c r="M83" s="35" t="s">
        <v>11</v>
      </c>
      <c r="N83" s="35" t="s">
        <v>11</v>
      </c>
      <c r="O83" s="35" t="s">
        <v>11</v>
      </c>
      <c r="P83" s="3" t="s">
        <v>12</v>
      </c>
      <c r="Q83" s="3" t="s">
        <v>12</v>
      </c>
      <c r="R83" s="35" t="s">
        <v>11</v>
      </c>
      <c r="S83" s="35" t="s">
        <v>11</v>
      </c>
      <c r="T83" s="35" t="s">
        <v>11</v>
      </c>
      <c r="U83" s="82"/>
      <c r="V83" s="82"/>
      <c r="W83" s="3" t="s">
        <v>12</v>
      </c>
      <c r="X83" s="3" t="s">
        <v>12</v>
      </c>
      <c r="Y83" s="82"/>
      <c r="Z83" s="82"/>
      <c r="AA83" s="82"/>
      <c r="AB83" s="82"/>
      <c r="AC83" s="82"/>
      <c r="AD83" s="3" t="s">
        <v>12</v>
      </c>
      <c r="AE83" s="3" t="s">
        <v>12</v>
      </c>
      <c r="AF83" s="82"/>
      <c r="AG83" s="82"/>
      <c r="AH83" s="82"/>
      <c r="AI83" s="82"/>
      <c r="AJ83" s="82"/>
      <c r="AK83" s="3" t="s">
        <v>12</v>
      </c>
      <c r="AL83" s="62" t="s">
        <v>117</v>
      </c>
    </row>
    <row r="84" spans="1:38" ht="14.45">
      <c r="A84" s="140" t="s">
        <v>136</v>
      </c>
      <c r="B84" s="3" t="str">
        <f t="shared" si="9"/>
        <v>Ziad</v>
      </c>
      <c r="C84" s="3" t="str">
        <f t="shared" si="8"/>
        <v>Eid</v>
      </c>
      <c r="D84" s="45" t="s">
        <v>137</v>
      </c>
      <c r="E84" s="16">
        <v>46301</v>
      </c>
      <c r="F84" s="142" t="s">
        <v>138</v>
      </c>
      <c r="G84" s="149"/>
      <c r="H84" s="150"/>
      <c r="I84" s="146" t="s">
        <v>12</v>
      </c>
      <c r="J84" s="8" t="s">
        <v>12</v>
      </c>
      <c r="K84" s="152"/>
      <c r="L84" s="72" t="s">
        <v>11</v>
      </c>
      <c r="M84" s="35" t="s">
        <v>11</v>
      </c>
      <c r="N84" s="64" t="s">
        <v>37</v>
      </c>
      <c r="O84" s="35" t="s">
        <v>11</v>
      </c>
      <c r="P84" s="3" t="s">
        <v>12</v>
      </c>
      <c r="Q84" s="3" t="s">
        <v>12</v>
      </c>
      <c r="R84" s="35" t="s">
        <v>11</v>
      </c>
      <c r="S84" s="35" t="s">
        <v>11</v>
      </c>
      <c r="T84" s="64" t="s">
        <v>37</v>
      </c>
      <c r="U84" s="82"/>
      <c r="V84" s="82"/>
      <c r="W84" s="3" t="s">
        <v>12</v>
      </c>
      <c r="X84" s="3" t="s">
        <v>12</v>
      </c>
      <c r="Y84" s="82"/>
      <c r="Z84" s="82"/>
      <c r="AA84" s="82"/>
      <c r="AB84" s="82"/>
      <c r="AC84" s="82"/>
      <c r="AD84" s="3" t="s">
        <v>12</v>
      </c>
      <c r="AE84" s="3" t="s">
        <v>12</v>
      </c>
      <c r="AF84" s="82"/>
      <c r="AG84" s="82"/>
      <c r="AH84" s="82"/>
      <c r="AI84" s="82"/>
      <c r="AJ84" s="82"/>
      <c r="AK84" s="3" t="s">
        <v>12</v>
      </c>
      <c r="AL84" s="62" t="s">
        <v>117</v>
      </c>
    </row>
    <row r="85" spans="1:38" ht="14.45">
      <c r="A85" s="140" t="s">
        <v>139</v>
      </c>
      <c r="B85" s="3" t="str">
        <f t="shared" si="9"/>
        <v>Kyrillos</v>
      </c>
      <c r="C85" s="3" t="str">
        <f t="shared" si="8"/>
        <v>Wagdy</v>
      </c>
      <c r="D85" s="45" t="s">
        <v>140</v>
      </c>
      <c r="E85" s="16">
        <v>46301</v>
      </c>
      <c r="F85" s="7" t="s">
        <v>22</v>
      </c>
      <c r="G85" s="149"/>
      <c r="H85" s="150"/>
      <c r="I85" s="146" t="s">
        <v>12</v>
      </c>
      <c r="J85" s="8" t="s">
        <v>12</v>
      </c>
      <c r="K85" s="152"/>
      <c r="L85" s="72" t="s">
        <v>11</v>
      </c>
      <c r="M85" s="38" t="s">
        <v>37</v>
      </c>
      <c r="N85" s="35" t="s">
        <v>11</v>
      </c>
      <c r="O85" s="35" t="s">
        <v>11</v>
      </c>
      <c r="P85" s="3" t="s">
        <v>12</v>
      </c>
      <c r="Q85" s="3" t="s">
        <v>12</v>
      </c>
      <c r="R85" s="35" t="s">
        <v>11</v>
      </c>
      <c r="S85" s="35" t="s">
        <v>11</v>
      </c>
      <c r="T85" s="35" t="s">
        <v>11</v>
      </c>
      <c r="U85" s="82"/>
      <c r="V85" s="82"/>
      <c r="W85" s="3" t="s">
        <v>12</v>
      </c>
      <c r="X85" s="3" t="s">
        <v>12</v>
      </c>
      <c r="Y85" s="82"/>
      <c r="Z85" s="82"/>
      <c r="AA85" s="82"/>
      <c r="AB85" s="82"/>
      <c r="AC85" s="82"/>
      <c r="AD85" s="3" t="s">
        <v>12</v>
      </c>
      <c r="AE85" s="3" t="s">
        <v>12</v>
      </c>
      <c r="AF85" s="82"/>
      <c r="AG85" s="82"/>
      <c r="AH85" s="82"/>
      <c r="AI85" s="82"/>
      <c r="AJ85" s="82"/>
      <c r="AK85" s="3" t="s">
        <v>12</v>
      </c>
      <c r="AL85" s="62" t="s">
        <v>117</v>
      </c>
    </row>
    <row r="86" spans="1:38" ht="14.45">
      <c r="A86" s="140" t="s">
        <v>141</v>
      </c>
      <c r="B86" s="3" t="str">
        <f t="shared" si="9"/>
        <v>Mahmoud</v>
      </c>
      <c r="C86" s="3" t="str">
        <f t="shared" si="8"/>
        <v>Salah</v>
      </c>
      <c r="D86" s="45" t="s">
        <v>142</v>
      </c>
      <c r="E86" s="16">
        <v>46301</v>
      </c>
      <c r="F86" s="7" t="s">
        <v>22</v>
      </c>
      <c r="G86" s="149"/>
      <c r="H86" s="150"/>
      <c r="I86" s="146" t="s">
        <v>12</v>
      </c>
      <c r="J86" s="8" t="s">
        <v>12</v>
      </c>
      <c r="K86" s="152"/>
      <c r="L86" s="72" t="s">
        <v>11</v>
      </c>
      <c r="M86" s="38" t="s">
        <v>37</v>
      </c>
      <c r="N86" s="35" t="s">
        <v>11</v>
      </c>
      <c r="O86" s="35" t="s">
        <v>11</v>
      </c>
      <c r="P86" s="3" t="s">
        <v>12</v>
      </c>
      <c r="Q86" s="3" t="s">
        <v>12</v>
      </c>
      <c r="R86" s="64" t="s">
        <v>37</v>
      </c>
      <c r="S86" s="64" t="s">
        <v>37</v>
      </c>
      <c r="T86" s="64" t="s">
        <v>37</v>
      </c>
      <c r="U86" s="82"/>
      <c r="V86" s="82"/>
      <c r="W86" s="3" t="s">
        <v>12</v>
      </c>
      <c r="X86" s="3" t="s">
        <v>12</v>
      </c>
      <c r="Y86" s="82"/>
      <c r="Z86" s="82"/>
      <c r="AA86" s="82"/>
      <c r="AB86" s="82"/>
      <c r="AC86" s="82"/>
      <c r="AD86" s="3" t="s">
        <v>12</v>
      </c>
      <c r="AE86" s="3" t="s">
        <v>12</v>
      </c>
      <c r="AF86" s="82"/>
      <c r="AG86" s="82"/>
      <c r="AH86" s="82"/>
      <c r="AI86" s="82"/>
      <c r="AJ86" s="82"/>
      <c r="AK86" s="3" t="s">
        <v>12</v>
      </c>
      <c r="AL86" s="62" t="s">
        <v>117</v>
      </c>
    </row>
    <row r="87" spans="1:38" ht="14.45">
      <c r="A87" s="140" t="s">
        <v>143</v>
      </c>
      <c r="B87" s="3" t="str">
        <f t="shared" si="9"/>
        <v>Nada</v>
      </c>
      <c r="C87" s="3" t="str">
        <f t="shared" si="8"/>
        <v>Gamal</v>
      </c>
      <c r="D87" s="45" t="s">
        <v>144</v>
      </c>
      <c r="E87" s="16">
        <v>46301</v>
      </c>
      <c r="F87" s="7" t="s">
        <v>22</v>
      </c>
      <c r="G87" s="149"/>
      <c r="H87" s="150"/>
      <c r="I87" s="146" t="s">
        <v>12</v>
      </c>
      <c r="J87" s="8" t="s">
        <v>12</v>
      </c>
      <c r="K87" s="152"/>
      <c r="L87" s="72" t="s">
        <v>11</v>
      </c>
      <c r="M87" s="38" t="s">
        <v>37</v>
      </c>
      <c r="N87" s="35" t="s">
        <v>11</v>
      </c>
      <c r="O87" s="35" t="s">
        <v>11</v>
      </c>
      <c r="P87" s="3" t="s">
        <v>12</v>
      </c>
      <c r="Q87" s="3" t="s">
        <v>12</v>
      </c>
      <c r="R87" s="35" t="s">
        <v>11</v>
      </c>
      <c r="S87" s="35" t="s">
        <v>11</v>
      </c>
      <c r="T87" s="35" t="s">
        <v>11</v>
      </c>
      <c r="U87" s="82"/>
      <c r="V87" s="82"/>
      <c r="W87" s="3" t="s">
        <v>12</v>
      </c>
      <c r="X87" s="3" t="s">
        <v>12</v>
      </c>
      <c r="Y87" s="82"/>
      <c r="Z87" s="82"/>
      <c r="AA87" s="82"/>
      <c r="AB87" s="82"/>
      <c r="AC87" s="82"/>
      <c r="AD87" s="3" t="s">
        <v>12</v>
      </c>
      <c r="AE87" s="3" t="s">
        <v>12</v>
      </c>
      <c r="AF87" s="82"/>
      <c r="AG87" s="82"/>
      <c r="AH87" s="82"/>
      <c r="AI87" s="82"/>
      <c r="AJ87" s="82"/>
      <c r="AK87" s="3" t="s">
        <v>12</v>
      </c>
      <c r="AL87" s="62" t="s">
        <v>117</v>
      </c>
    </row>
    <row r="88" spans="1:38" ht="14.45">
      <c r="A88" s="169" t="s">
        <v>145</v>
      </c>
      <c r="B88" s="170" t="str">
        <f t="shared" si="9"/>
        <v>Ahmed</v>
      </c>
      <c r="C88" s="170" t="str">
        <f t="shared" si="8"/>
        <v>Mansour</v>
      </c>
      <c r="D88" s="168" t="s">
        <v>146</v>
      </c>
      <c r="E88" s="19">
        <v>46301</v>
      </c>
      <c r="F88" s="8" t="s">
        <v>22</v>
      </c>
      <c r="G88" s="149"/>
      <c r="H88" s="150"/>
      <c r="I88" s="146" t="s">
        <v>12</v>
      </c>
      <c r="J88" s="8" t="s">
        <v>12</v>
      </c>
      <c r="K88" s="152"/>
      <c r="L88" s="72" t="s">
        <v>11</v>
      </c>
      <c r="M88" s="64" t="s">
        <v>37</v>
      </c>
      <c r="N88" s="35" t="s">
        <v>11</v>
      </c>
      <c r="O88" s="35" t="s">
        <v>11</v>
      </c>
      <c r="P88" s="3" t="s">
        <v>12</v>
      </c>
      <c r="Q88" s="3" t="s">
        <v>12</v>
      </c>
      <c r="R88" s="64" t="s">
        <v>37</v>
      </c>
      <c r="S88" s="64" t="s">
        <v>37</v>
      </c>
      <c r="T88" s="64" t="s">
        <v>37</v>
      </c>
      <c r="U88" s="82"/>
      <c r="V88" s="82"/>
      <c r="W88" s="3" t="s">
        <v>12</v>
      </c>
      <c r="X88" s="3" t="s">
        <v>12</v>
      </c>
      <c r="Y88" s="82"/>
      <c r="Z88" s="82"/>
      <c r="AA88" s="82"/>
      <c r="AB88" s="82"/>
      <c r="AC88" s="82"/>
      <c r="AD88" s="3" t="s">
        <v>12</v>
      </c>
      <c r="AE88" s="3" t="s">
        <v>12</v>
      </c>
      <c r="AF88" s="82"/>
      <c r="AG88" s="82"/>
      <c r="AH88" s="82"/>
      <c r="AI88" s="82"/>
      <c r="AJ88" s="82"/>
      <c r="AK88" s="3" t="s">
        <v>12</v>
      </c>
      <c r="AL88" s="62" t="s">
        <v>117</v>
      </c>
    </row>
    <row r="89" spans="1:38">
      <c r="A89" s="169" t="s">
        <v>147</v>
      </c>
      <c r="B89" s="169" t="str">
        <f t="shared" si="9"/>
        <v>Nada</v>
      </c>
      <c r="C89" s="169" t="str">
        <f t="shared" si="8"/>
        <v>Amer</v>
      </c>
      <c r="D89" s="168" t="s">
        <v>148</v>
      </c>
      <c r="E89" s="19">
        <v>46302</v>
      </c>
      <c r="F89" s="8" t="s">
        <v>22</v>
      </c>
      <c r="G89" s="179"/>
      <c r="H89" s="180"/>
      <c r="I89" s="146" t="s">
        <v>12</v>
      </c>
      <c r="J89" s="8" t="s">
        <v>12</v>
      </c>
      <c r="K89" s="179"/>
      <c r="L89" s="153"/>
      <c r="M89" s="72" t="s">
        <v>11</v>
      </c>
      <c r="N89" s="35" t="s">
        <v>11</v>
      </c>
      <c r="O89" s="35" t="s">
        <v>11</v>
      </c>
      <c r="P89" s="13" t="s">
        <v>12</v>
      </c>
      <c r="Q89" s="13" t="s">
        <v>12</v>
      </c>
      <c r="R89" s="64" t="s">
        <v>37</v>
      </c>
      <c r="S89" s="35" t="s">
        <v>11</v>
      </c>
      <c r="T89" s="35" t="s">
        <v>11</v>
      </c>
      <c r="U89" s="82"/>
      <c r="V89" s="82"/>
      <c r="W89" s="3" t="s">
        <v>12</v>
      </c>
      <c r="X89" s="3" t="s">
        <v>12</v>
      </c>
      <c r="Y89" s="82"/>
      <c r="Z89" s="82"/>
      <c r="AA89" s="82"/>
      <c r="AB89" s="82"/>
      <c r="AC89" s="82"/>
      <c r="AD89" s="3" t="s">
        <v>12</v>
      </c>
      <c r="AE89" s="3" t="s">
        <v>12</v>
      </c>
      <c r="AF89" s="82"/>
      <c r="AG89" s="82"/>
      <c r="AH89" s="82"/>
      <c r="AI89" s="82"/>
      <c r="AJ89" s="82"/>
      <c r="AK89" s="3" t="s">
        <v>12</v>
      </c>
      <c r="AL89" s="62" t="s">
        <v>117</v>
      </c>
    </row>
    <row r="90" spans="1:38">
      <c r="A90" s="140" t="s">
        <v>149</v>
      </c>
      <c r="B90" s="3" t="str">
        <f t="shared" si="9"/>
        <v>Amira</v>
      </c>
      <c r="C90" s="3" t="str">
        <f t="shared" si="8"/>
        <v>Karim</v>
      </c>
      <c r="D90" s="82"/>
      <c r="E90" s="16">
        <v>46308</v>
      </c>
      <c r="F90" s="178" t="s">
        <v>60</v>
      </c>
      <c r="G90" s="210"/>
      <c r="H90" s="210"/>
      <c r="I90" s="210"/>
      <c r="J90" s="210"/>
      <c r="K90" s="210"/>
      <c r="L90" s="211"/>
      <c r="M90" s="210"/>
      <c r="N90" s="210"/>
      <c r="O90" s="210"/>
      <c r="P90" s="210"/>
      <c r="Q90" s="210"/>
      <c r="R90" s="210"/>
      <c r="S90" s="72" t="s">
        <v>11</v>
      </c>
      <c r="T90" s="35" t="s">
        <v>11</v>
      </c>
      <c r="U90" s="82"/>
      <c r="V90" s="82"/>
      <c r="W90" s="3" t="s">
        <v>12</v>
      </c>
      <c r="X90" s="3" t="s">
        <v>12</v>
      </c>
      <c r="Y90" s="82"/>
      <c r="Z90" s="82"/>
      <c r="AA90" s="82"/>
      <c r="AB90" s="82"/>
      <c r="AC90" s="82"/>
      <c r="AD90" s="3" t="s">
        <v>12</v>
      </c>
      <c r="AE90" s="3" t="s">
        <v>12</v>
      </c>
      <c r="AF90" s="82"/>
      <c r="AG90" s="82"/>
      <c r="AH90" s="82"/>
      <c r="AI90" s="82"/>
      <c r="AJ90" s="82"/>
      <c r="AK90" s="3" t="s">
        <v>12</v>
      </c>
      <c r="AL90" s="62" t="s">
        <v>117</v>
      </c>
    </row>
    <row r="91" spans="1:38">
      <c r="A91" s="140" t="s">
        <v>150</v>
      </c>
      <c r="B91" s="3" t="str">
        <f t="shared" si="9"/>
        <v>Saleh</v>
      </c>
      <c r="C91" s="3" t="str">
        <f t="shared" si="8"/>
        <v>Essam</v>
      </c>
      <c r="D91" s="82"/>
      <c r="E91" s="16">
        <v>46308</v>
      </c>
      <c r="F91" s="7" t="s">
        <v>22</v>
      </c>
      <c r="G91" s="210"/>
      <c r="H91" s="210"/>
      <c r="I91" s="210"/>
      <c r="J91" s="210"/>
      <c r="K91" s="210"/>
      <c r="L91" s="210"/>
      <c r="M91" s="210"/>
      <c r="N91" s="210"/>
      <c r="O91" s="210"/>
      <c r="P91" s="210"/>
      <c r="Q91" s="210"/>
      <c r="R91" s="210"/>
      <c r="S91" s="72" t="s">
        <v>11</v>
      </c>
      <c r="T91" s="35" t="s">
        <v>11</v>
      </c>
      <c r="U91" s="82"/>
      <c r="V91" s="82"/>
      <c r="W91" s="3" t="s">
        <v>12</v>
      </c>
      <c r="X91" s="3" t="s">
        <v>12</v>
      </c>
      <c r="Y91" s="82"/>
      <c r="Z91" s="82"/>
      <c r="AA91" s="82"/>
      <c r="AB91" s="82"/>
      <c r="AC91" s="82"/>
      <c r="AD91" s="3" t="s">
        <v>12</v>
      </c>
      <c r="AE91" s="3" t="s">
        <v>12</v>
      </c>
      <c r="AF91" s="82"/>
      <c r="AG91" s="82"/>
      <c r="AH91" s="82"/>
      <c r="AI91" s="82"/>
      <c r="AJ91" s="82"/>
      <c r="AK91" s="3" t="s">
        <v>12</v>
      </c>
      <c r="AL91" s="62" t="s">
        <v>117</v>
      </c>
    </row>
    <row r="92" spans="1:38">
      <c r="A92" s="140" t="s">
        <v>151</v>
      </c>
      <c r="B92" s="3" t="str">
        <f t="shared" si="9"/>
        <v>Doha</v>
      </c>
      <c r="C92" s="3" t="str">
        <f t="shared" si="8"/>
        <v>Abdelbary</v>
      </c>
      <c r="D92" s="82"/>
      <c r="E92" s="16">
        <v>46308</v>
      </c>
      <c r="F92" s="7" t="s">
        <v>22</v>
      </c>
      <c r="G92" s="210"/>
      <c r="H92" s="210"/>
      <c r="I92" s="210"/>
      <c r="J92" s="210"/>
      <c r="K92" s="210"/>
      <c r="L92" s="210"/>
      <c r="M92" s="210"/>
      <c r="N92" s="210"/>
      <c r="O92" s="210"/>
      <c r="P92" s="210"/>
      <c r="Q92" s="210"/>
      <c r="R92" s="210"/>
      <c r="S92" s="72" t="s">
        <v>11</v>
      </c>
      <c r="T92" s="35" t="s">
        <v>11</v>
      </c>
      <c r="U92" s="82"/>
      <c r="V92" s="82"/>
      <c r="W92" s="3" t="s">
        <v>12</v>
      </c>
      <c r="X92" s="3" t="s">
        <v>12</v>
      </c>
      <c r="Y92" s="82"/>
      <c r="Z92" s="82"/>
      <c r="AA92" s="82"/>
      <c r="AB92" s="82"/>
      <c r="AC92" s="82"/>
      <c r="AD92" s="3" t="s">
        <v>12</v>
      </c>
      <c r="AE92" s="3" t="s">
        <v>12</v>
      </c>
      <c r="AF92" s="82"/>
      <c r="AG92" s="82"/>
      <c r="AH92" s="82"/>
      <c r="AI92" s="82"/>
      <c r="AJ92" s="82"/>
      <c r="AK92" s="3" t="s">
        <v>12</v>
      </c>
      <c r="AL92" s="62" t="s">
        <v>117</v>
      </c>
    </row>
    <row r="93" spans="1:38">
      <c r="A93" s="140" t="s">
        <v>152</v>
      </c>
      <c r="B93" s="3" t="str">
        <f t="shared" si="9"/>
        <v>Noran</v>
      </c>
      <c r="C93" s="3" t="str">
        <f t="shared" si="8"/>
        <v>Ashraf</v>
      </c>
      <c r="D93" s="82"/>
      <c r="E93" s="16">
        <v>46308</v>
      </c>
      <c r="F93" s="7" t="s">
        <v>22</v>
      </c>
      <c r="G93" s="210"/>
      <c r="H93" s="210"/>
      <c r="I93" s="210"/>
      <c r="J93" s="210"/>
      <c r="K93" s="210"/>
      <c r="L93" s="210"/>
      <c r="M93" s="210"/>
      <c r="N93" s="210"/>
      <c r="O93" s="210"/>
      <c r="P93" s="210"/>
      <c r="Q93" s="210"/>
      <c r="R93" s="210"/>
      <c r="S93" s="72" t="s">
        <v>11</v>
      </c>
      <c r="T93" s="64" t="s">
        <v>37</v>
      </c>
      <c r="U93" s="82"/>
      <c r="V93" s="82"/>
      <c r="W93" s="3" t="s">
        <v>12</v>
      </c>
      <c r="X93" s="3" t="s">
        <v>12</v>
      </c>
      <c r="Y93" s="82"/>
      <c r="Z93" s="82"/>
      <c r="AA93" s="82"/>
      <c r="AB93" s="82"/>
      <c r="AC93" s="82"/>
      <c r="AD93" s="3" t="s">
        <v>12</v>
      </c>
      <c r="AE93" s="3" t="s">
        <v>12</v>
      </c>
      <c r="AF93" s="82"/>
      <c r="AG93" s="82"/>
      <c r="AH93" s="82"/>
      <c r="AI93" s="82"/>
      <c r="AJ93" s="82"/>
      <c r="AK93" s="3" t="s">
        <v>12</v>
      </c>
      <c r="AL93" s="62" t="s">
        <v>117</v>
      </c>
    </row>
    <row r="94" spans="1:38">
      <c r="A94" s="140" t="s">
        <v>153</v>
      </c>
      <c r="B94" s="3" t="str">
        <f t="shared" si="9"/>
        <v>Eman</v>
      </c>
      <c r="C94" s="3" t="str">
        <f t="shared" si="8"/>
        <v>Mahmoud</v>
      </c>
      <c r="D94" s="82"/>
      <c r="E94" s="16">
        <v>46308</v>
      </c>
      <c r="F94" s="178" t="s">
        <v>60</v>
      </c>
      <c r="G94" s="210"/>
      <c r="H94" s="210"/>
      <c r="I94" s="210"/>
      <c r="J94" s="210"/>
      <c r="K94" s="210"/>
      <c r="L94" s="210"/>
      <c r="M94" s="210"/>
      <c r="N94" s="210"/>
      <c r="O94" s="210"/>
      <c r="P94" s="210"/>
      <c r="Q94" s="210"/>
      <c r="R94" s="210"/>
      <c r="S94" s="72" t="s">
        <v>11</v>
      </c>
      <c r="T94" s="35" t="s">
        <v>11</v>
      </c>
      <c r="U94" s="82"/>
      <c r="V94" s="82"/>
      <c r="W94" s="3" t="s">
        <v>12</v>
      </c>
      <c r="X94" s="3" t="s">
        <v>12</v>
      </c>
      <c r="Y94" s="82"/>
      <c r="Z94" s="82"/>
      <c r="AA94" s="82"/>
      <c r="AB94" s="82"/>
      <c r="AC94" s="82"/>
      <c r="AD94" s="3" t="s">
        <v>12</v>
      </c>
      <c r="AE94" s="3" t="s">
        <v>12</v>
      </c>
      <c r="AF94" s="82"/>
      <c r="AG94" s="82"/>
      <c r="AH94" s="82"/>
      <c r="AI94" s="82"/>
      <c r="AJ94" s="82"/>
      <c r="AK94" s="3" t="s">
        <v>12</v>
      </c>
      <c r="AL94" s="62" t="s">
        <v>117</v>
      </c>
    </row>
    <row r="95" spans="1:38">
      <c r="A95" s="140" t="s">
        <v>154</v>
      </c>
      <c r="B95" s="3" t="str">
        <f t="shared" si="9"/>
        <v>Rawan</v>
      </c>
      <c r="C95" s="3" t="str">
        <f t="shared" si="8"/>
        <v>Ehab</v>
      </c>
      <c r="D95" s="82"/>
      <c r="E95" s="16">
        <v>46308</v>
      </c>
      <c r="F95" s="7" t="s">
        <v>22</v>
      </c>
      <c r="G95" s="210"/>
      <c r="H95" s="210"/>
      <c r="I95" s="210"/>
      <c r="J95" s="210"/>
      <c r="K95" s="210"/>
      <c r="L95" s="210"/>
      <c r="M95" s="210"/>
      <c r="N95" s="210"/>
      <c r="O95" s="210"/>
      <c r="P95" s="210"/>
      <c r="Q95" s="210"/>
      <c r="R95" s="210"/>
      <c r="S95" s="72" t="s">
        <v>11</v>
      </c>
      <c r="T95" s="35" t="s">
        <v>11</v>
      </c>
      <c r="U95" s="82"/>
      <c r="V95" s="82"/>
      <c r="W95" s="3" t="s">
        <v>12</v>
      </c>
      <c r="X95" s="3" t="s">
        <v>12</v>
      </c>
      <c r="Y95" s="82"/>
      <c r="Z95" s="82"/>
      <c r="AA95" s="82"/>
      <c r="AB95" s="82"/>
      <c r="AC95" s="82"/>
      <c r="AD95" s="3" t="s">
        <v>12</v>
      </c>
      <c r="AE95" s="3" t="s">
        <v>12</v>
      </c>
      <c r="AF95" s="82"/>
      <c r="AG95" s="82"/>
      <c r="AH95" s="82"/>
      <c r="AI95" s="82"/>
      <c r="AJ95" s="82"/>
      <c r="AK95" s="3" t="s">
        <v>12</v>
      </c>
      <c r="AL95" s="62" t="s">
        <v>117</v>
      </c>
    </row>
    <row r="96" spans="1:38" ht="17.25" customHeight="1">
      <c r="A96" s="177" t="s">
        <v>155</v>
      </c>
      <c r="B96" s="3" t="str">
        <f t="shared" si="9"/>
        <v>Nancy</v>
      </c>
      <c r="C96" s="3" t="str">
        <f t="shared" si="8"/>
        <v>Elsharqawy</v>
      </c>
      <c r="D96" s="82"/>
      <c r="E96" s="16">
        <v>46308</v>
      </c>
      <c r="F96" s="7" t="s">
        <v>22</v>
      </c>
      <c r="G96" s="210"/>
      <c r="H96" s="210"/>
      <c r="I96" s="210"/>
      <c r="J96" s="210"/>
      <c r="K96" s="210"/>
      <c r="L96" s="210"/>
      <c r="M96" s="210"/>
      <c r="N96" s="210"/>
      <c r="O96" s="210"/>
      <c r="P96" s="210"/>
      <c r="Q96" s="210"/>
      <c r="R96" s="210"/>
      <c r="S96" s="72" t="s">
        <v>11</v>
      </c>
      <c r="T96" s="64" t="s">
        <v>37</v>
      </c>
      <c r="U96" s="82"/>
      <c r="V96" s="82"/>
      <c r="W96" s="3" t="s">
        <v>12</v>
      </c>
      <c r="X96" s="3" t="s">
        <v>12</v>
      </c>
      <c r="Y96" s="82"/>
      <c r="Z96" s="82"/>
      <c r="AA96" s="82"/>
      <c r="AB96" s="82"/>
      <c r="AC96" s="82"/>
      <c r="AD96" s="3" t="s">
        <v>12</v>
      </c>
      <c r="AE96" s="3" t="s">
        <v>12</v>
      </c>
      <c r="AF96" s="82"/>
      <c r="AG96" s="82"/>
      <c r="AH96" s="82"/>
      <c r="AI96" s="82"/>
      <c r="AJ96" s="82"/>
      <c r="AK96" s="3" t="s">
        <v>12</v>
      </c>
      <c r="AL96" s="62" t="s">
        <v>117</v>
      </c>
    </row>
    <row r="97" spans="1:38" ht="14.45">
      <c r="A97" s="140" t="s">
        <v>156</v>
      </c>
      <c r="B97" s="3" t="str">
        <f t="shared" si="9"/>
        <v>Rokia</v>
      </c>
      <c r="C97" s="3" t="str">
        <f t="shared" si="8"/>
        <v>Sobhy</v>
      </c>
      <c r="D97" s="82"/>
      <c r="E97" s="16">
        <v>46308</v>
      </c>
      <c r="F97" s="7" t="s">
        <v>22</v>
      </c>
      <c r="G97" s="210"/>
      <c r="H97" s="210"/>
      <c r="I97" s="210"/>
      <c r="J97" s="210"/>
      <c r="K97" s="210"/>
      <c r="L97" s="210"/>
      <c r="M97" s="210"/>
      <c r="N97" s="210"/>
      <c r="O97" s="210"/>
      <c r="P97" s="210"/>
      <c r="Q97" s="210"/>
      <c r="R97" s="210"/>
      <c r="S97" s="72" t="s">
        <v>11</v>
      </c>
      <c r="T97" s="35" t="s">
        <v>11</v>
      </c>
      <c r="U97" s="82"/>
      <c r="V97" s="82"/>
      <c r="W97" s="3" t="s">
        <v>12</v>
      </c>
      <c r="X97" s="3" t="s">
        <v>12</v>
      </c>
      <c r="Y97" s="82"/>
      <c r="Z97" s="82"/>
      <c r="AA97" s="82"/>
      <c r="AB97" s="82"/>
      <c r="AC97" s="82"/>
      <c r="AD97" s="3" t="s">
        <v>12</v>
      </c>
      <c r="AE97" s="3" t="s">
        <v>12</v>
      </c>
      <c r="AF97" s="82"/>
      <c r="AG97" s="82"/>
      <c r="AH97" s="82"/>
      <c r="AI97" s="82"/>
      <c r="AJ97" s="82"/>
      <c r="AK97" s="3" t="s">
        <v>12</v>
      </c>
      <c r="AL97" s="62" t="s">
        <v>117</v>
      </c>
    </row>
    <row r="98" spans="1:38">
      <c r="A98" s="140" t="s">
        <v>157</v>
      </c>
      <c r="B98" s="3" t="str">
        <f t="shared" si="9"/>
        <v>Radwa</v>
      </c>
      <c r="C98" s="3" t="str">
        <f t="shared" si="8"/>
        <v>Tarek</v>
      </c>
      <c r="D98" s="82"/>
      <c r="E98" s="16">
        <v>46308</v>
      </c>
      <c r="F98" s="7" t="s">
        <v>22</v>
      </c>
      <c r="G98" s="210"/>
      <c r="H98" s="210"/>
      <c r="I98" s="210"/>
      <c r="J98" s="210"/>
      <c r="K98" s="210"/>
      <c r="L98" s="210"/>
      <c r="M98" s="210"/>
      <c r="N98" s="210"/>
      <c r="O98" s="210"/>
      <c r="P98" s="210"/>
      <c r="Q98" s="210"/>
      <c r="R98" s="210"/>
      <c r="S98" s="72" t="s">
        <v>11</v>
      </c>
      <c r="T98" s="35" t="s">
        <v>11</v>
      </c>
      <c r="U98" s="82"/>
      <c r="V98" s="82"/>
      <c r="W98" s="3" t="s">
        <v>12</v>
      </c>
      <c r="X98" s="3" t="s">
        <v>12</v>
      </c>
      <c r="Y98" s="82"/>
      <c r="Z98" s="82"/>
      <c r="AA98" s="82"/>
      <c r="AB98" s="82"/>
      <c r="AC98" s="82"/>
      <c r="AD98" s="3" t="s">
        <v>12</v>
      </c>
      <c r="AE98" s="3" t="s">
        <v>12</v>
      </c>
      <c r="AF98" s="82"/>
      <c r="AG98" s="82"/>
      <c r="AH98" s="82"/>
      <c r="AI98" s="82"/>
      <c r="AJ98" s="82"/>
      <c r="AK98" s="3" t="s">
        <v>12</v>
      </c>
      <c r="AL98" s="62" t="s">
        <v>117</v>
      </c>
    </row>
    <row r="99" spans="1:38">
      <c r="A99" s="140" t="s">
        <v>158</v>
      </c>
      <c r="B99" s="3" t="str">
        <f t="shared" si="9"/>
        <v>Mohamed</v>
      </c>
      <c r="C99" s="3" t="str">
        <f t="shared" si="8"/>
        <v>Taha</v>
      </c>
      <c r="D99" s="82"/>
      <c r="E99" s="16">
        <v>46308</v>
      </c>
      <c r="F99" s="7" t="s">
        <v>22</v>
      </c>
      <c r="G99" s="210"/>
      <c r="H99" s="210"/>
      <c r="I99" s="210"/>
      <c r="J99" s="210"/>
      <c r="K99" s="210"/>
      <c r="L99" s="210"/>
      <c r="M99" s="210"/>
      <c r="N99" s="210"/>
      <c r="O99" s="210"/>
      <c r="P99" s="210"/>
      <c r="Q99" s="210"/>
      <c r="R99" s="210"/>
      <c r="S99" s="72" t="s">
        <v>11</v>
      </c>
      <c r="T99" s="35" t="s">
        <v>11</v>
      </c>
      <c r="U99" s="82"/>
      <c r="V99" s="82"/>
      <c r="W99" s="3" t="s">
        <v>12</v>
      </c>
      <c r="X99" s="3" t="s">
        <v>12</v>
      </c>
      <c r="Y99" s="82"/>
      <c r="Z99" s="82"/>
      <c r="AA99" s="82"/>
      <c r="AB99" s="82"/>
      <c r="AC99" s="82"/>
      <c r="AD99" s="3" t="s">
        <v>12</v>
      </c>
      <c r="AE99" s="3" t="s">
        <v>12</v>
      </c>
      <c r="AF99" s="82"/>
      <c r="AG99" s="82"/>
      <c r="AH99" s="82"/>
      <c r="AI99" s="82"/>
      <c r="AJ99" s="82"/>
      <c r="AK99" s="3" t="s">
        <v>12</v>
      </c>
      <c r="AL99" s="62" t="s">
        <v>117</v>
      </c>
    </row>
    <row r="100" spans="1:38">
      <c r="A100" s="140" t="s">
        <v>159</v>
      </c>
      <c r="B100" s="3" t="str">
        <f t="shared" si="9"/>
        <v>Mawada</v>
      </c>
      <c r="C100" s="3" t="str">
        <f t="shared" si="8"/>
        <v>Mohamed</v>
      </c>
      <c r="D100" s="82"/>
      <c r="E100" s="16">
        <v>46308</v>
      </c>
      <c r="F100" s="7" t="s">
        <v>22</v>
      </c>
      <c r="G100" s="210"/>
      <c r="H100" s="210"/>
      <c r="I100" s="210"/>
      <c r="J100" s="210"/>
      <c r="K100" s="210"/>
      <c r="L100" s="210"/>
      <c r="M100" s="210"/>
      <c r="N100" s="210"/>
      <c r="O100" s="210"/>
      <c r="P100" s="210"/>
      <c r="Q100" s="210"/>
      <c r="R100" s="210"/>
      <c r="S100" s="72" t="s">
        <v>11</v>
      </c>
      <c r="T100" s="35" t="s">
        <v>11</v>
      </c>
      <c r="U100" s="82"/>
      <c r="V100" s="82"/>
      <c r="W100" s="3" t="s">
        <v>12</v>
      </c>
      <c r="X100" s="3" t="s">
        <v>12</v>
      </c>
      <c r="Y100" s="82"/>
      <c r="Z100" s="82"/>
      <c r="AA100" s="82"/>
      <c r="AB100" s="82"/>
      <c r="AC100" s="82"/>
      <c r="AD100" s="3" t="s">
        <v>12</v>
      </c>
      <c r="AE100" s="3" t="s">
        <v>12</v>
      </c>
      <c r="AF100" s="82"/>
      <c r="AG100" s="82"/>
      <c r="AH100" s="82"/>
      <c r="AI100" s="82"/>
      <c r="AJ100" s="82"/>
      <c r="AK100" s="3" t="s">
        <v>12</v>
      </c>
      <c r="AL100" s="62" t="s">
        <v>117</v>
      </c>
    </row>
    <row r="101" spans="1:38">
      <c r="A101" s="140" t="s">
        <v>160</v>
      </c>
      <c r="B101" s="3" t="str">
        <f t="shared" si="9"/>
        <v>Mohamed</v>
      </c>
      <c r="C101" s="3" t="str">
        <f t="shared" si="8"/>
        <v>Zidan</v>
      </c>
      <c r="D101" s="82"/>
      <c r="E101" s="16">
        <v>46308</v>
      </c>
      <c r="F101" s="7" t="s">
        <v>22</v>
      </c>
      <c r="G101" s="210"/>
      <c r="H101" s="210"/>
      <c r="I101" s="210"/>
      <c r="J101" s="210"/>
      <c r="K101" s="210"/>
      <c r="L101" s="210"/>
      <c r="M101" s="210"/>
      <c r="N101" s="210"/>
      <c r="O101" s="210"/>
      <c r="P101" s="210"/>
      <c r="Q101" s="210"/>
      <c r="R101" s="210"/>
      <c r="S101" s="72" t="s">
        <v>11</v>
      </c>
      <c r="T101" s="35" t="s">
        <v>11</v>
      </c>
      <c r="U101" s="82"/>
      <c r="V101" s="82"/>
      <c r="W101" s="3" t="s">
        <v>12</v>
      </c>
      <c r="X101" s="3" t="s">
        <v>12</v>
      </c>
      <c r="Y101" s="82"/>
      <c r="Z101" s="82"/>
      <c r="AA101" s="82"/>
      <c r="AB101" s="82"/>
      <c r="AC101" s="82"/>
      <c r="AD101" s="3" t="s">
        <v>12</v>
      </c>
      <c r="AE101" s="3" t="s">
        <v>12</v>
      </c>
      <c r="AF101" s="82"/>
      <c r="AG101" s="82"/>
      <c r="AH101" s="82"/>
      <c r="AI101" s="82"/>
      <c r="AJ101" s="82"/>
      <c r="AK101" s="3" t="s">
        <v>12</v>
      </c>
      <c r="AL101" s="62" t="s">
        <v>117</v>
      </c>
    </row>
    <row r="102" spans="1:38" ht="15" customHeight="1">
      <c r="A102" s="140" t="s">
        <v>161</v>
      </c>
      <c r="B102" s="3" t="str">
        <f t="shared" si="9"/>
        <v>Rana</v>
      </c>
      <c r="C102" s="3" t="str">
        <f t="shared" si="8"/>
        <v>Mohamed</v>
      </c>
      <c r="D102" s="82"/>
      <c r="E102" s="16">
        <v>46308</v>
      </c>
      <c r="F102" s="7" t="s">
        <v>22</v>
      </c>
      <c r="G102" s="210"/>
      <c r="H102" s="210"/>
      <c r="I102" s="210"/>
      <c r="J102" s="210"/>
      <c r="K102" s="210"/>
      <c r="L102" s="210"/>
      <c r="M102" s="210"/>
      <c r="N102" s="210"/>
      <c r="O102" s="210"/>
      <c r="P102" s="210"/>
      <c r="Q102" s="210"/>
      <c r="R102" s="210"/>
      <c r="S102" s="72" t="s">
        <v>11</v>
      </c>
      <c r="T102" s="35" t="s">
        <v>11</v>
      </c>
      <c r="U102" s="82"/>
      <c r="V102" s="82"/>
      <c r="W102" s="3" t="s">
        <v>12</v>
      </c>
      <c r="X102" s="3" t="s">
        <v>12</v>
      </c>
      <c r="Y102" s="82"/>
      <c r="Z102" s="82"/>
      <c r="AA102" s="82"/>
      <c r="AB102" s="82"/>
      <c r="AC102" s="82"/>
      <c r="AD102" s="3" t="s">
        <v>12</v>
      </c>
      <c r="AE102" s="3" t="s">
        <v>12</v>
      </c>
      <c r="AF102" s="82"/>
      <c r="AG102" s="82"/>
      <c r="AH102" s="82"/>
      <c r="AI102" s="82"/>
      <c r="AJ102" s="82"/>
      <c r="AK102" s="3" t="s">
        <v>12</v>
      </c>
      <c r="AL102" s="62" t="s">
        <v>117</v>
      </c>
    </row>
    <row r="103" spans="1:38" ht="15" customHeight="1">
      <c r="A103" s="199" t="s">
        <v>162</v>
      </c>
      <c r="B103" s="3" t="str">
        <f t="shared" si="9"/>
        <v>Belal</v>
      </c>
      <c r="C103" s="3" t="str">
        <f t="shared" si="8"/>
        <v>Hamdy</v>
      </c>
      <c r="D103" s="82"/>
      <c r="E103" s="16">
        <v>46308</v>
      </c>
      <c r="F103" s="7" t="s">
        <v>22</v>
      </c>
      <c r="G103" s="210"/>
      <c r="H103" s="210"/>
      <c r="I103" s="210"/>
      <c r="J103" s="210"/>
      <c r="K103" s="210"/>
      <c r="L103" s="210"/>
      <c r="M103" s="210"/>
      <c r="N103" s="210"/>
      <c r="O103" s="210"/>
      <c r="P103" s="210"/>
      <c r="Q103" s="210"/>
      <c r="R103" s="210"/>
      <c r="S103" s="72" t="s">
        <v>11</v>
      </c>
      <c r="T103" s="35" t="s">
        <v>11</v>
      </c>
      <c r="U103" s="82"/>
      <c r="V103" s="82"/>
      <c r="W103" s="3" t="s">
        <v>12</v>
      </c>
      <c r="X103" s="3" t="s">
        <v>12</v>
      </c>
      <c r="Y103" s="82"/>
      <c r="Z103" s="82"/>
      <c r="AA103" s="82"/>
      <c r="AB103" s="82"/>
      <c r="AC103" s="82"/>
      <c r="AD103" s="3" t="s">
        <v>12</v>
      </c>
      <c r="AE103" s="3" t="s">
        <v>12</v>
      </c>
      <c r="AF103" s="82"/>
      <c r="AG103" s="82"/>
      <c r="AH103" s="82"/>
      <c r="AI103" s="82"/>
      <c r="AJ103" s="82"/>
      <c r="AK103" s="3" t="s">
        <v>12</v>
      </c>
      <c r="AL103" s="62" t="s">
        <v>117</v>
      </c>
    </row>
    <row r="104" spans="1:38" ht="15" customHeight="1">
      <c r="A104" s="199" t="s">
        <v>163</v>
      </c>
      <c r="B104" s="146" t="str">
        <f t="shared" si="9"/>
        <v>Mahmoud</v>
      </c>
      <c r="C104" s="13" t="str">
        <f t="shared" si="8"/>
        <v>Tablawy</v>
      </c>
      <c r="D104" s="198"/>
      <c r="E104" s="19">
        <v>46308</v>
      </c>
      <c r="F104" s="8" t="s">
        <v>22</v>
      </c>
      <c r="G104" s="212"/>
      <c r="H104" s="212"/>
      <c r="I104" s="212"/>
      <c r="J104" s="212"/>
      <c r="K104" s="212"/>
      <c r="L104" s="212"/>
      <c r="M104" s="212"/>
      <c r="N104" s="212"/>
      <c r="O104" s="212"/>
      <c r="P104" s="212"/>
      <c r="Q104" s="212"/>
      <c r="R104" s="212"/>
      <c r="S104" s="72" t="s">
        <v>11</v>
      </c>
      <c r="T104" s="35" t="s">
        <v>11</v>
      </c>
      <c r="U104" s="82"/>
      <c r="V104" s="82"/>
      <c r="W104" s="3" t="s">
        <v>12</v>
      </c>
      <c r="X104" s="3" t="s">
        <v>12</v>
      </c>
      <c r="Y104" s="82"/>
      <c r="Z104" s="82"/>
      <c r="AA104" s="82"/>
      <c r="AB104" s="82"/>
      <c r="AC104" s="82"/>
      <c r="AD104" s="3" t="s">
        <v>12</v>
      </c>
      <c r="AE104" s="3" t="s">
        <v>12</v>
      </c>
      <c r="AF104" s="82"/>
      <c r="AG104" s="82"/>
      <c r="AH104" s="82"/>
      <c r="AI104" s="82"/>
      <c r="AJ104" s="82"/>
      <c r="AK104" s="3" t="s">
        <v>12</v>
      </c>
      <c r="AL104" s="62" t="s">
        <v>117</v>
      </c>
    </row>
    <row r="105" spans="1:38" ht="15" customHeight="1">
      <c r="A105" s="5" t="s">
        <v>164</v>
      </c>
      <c r="B105" s="3" t="str">
        <f t="shared" si="9"/>
        <v>Maryam</v>
      </c>
      <c r="C105" s="3" t="str">
        <f t="shared" si="8"/>
        <v>Fayad</v>
      </c>
      <c r="D105" s="82"/>
      <c r="E105" s="16">
        <v>46309</v>
      </c>
      <c r="F105" s="3" t="s">
        <v>22</v>
      </c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5"/>
      <c r="T105" s="72" t="s">
        <v>11</v>
      </c>
      <c r="U105" s="82"/>
      <c r="V105" s="82"/>
      <c r="W105" s="3" t="s">
        <v>12</v>
      </c>
      <c r="X105" s="3" t="s">
        <v>12</v>
      </c>
      <c r="Y105" s="82"/>
      <c r="Z105" s="82"/>
      <c r="AA105" s="82"/>
      <c r="AB105" s="82"/>
      <c r="AC105" s="82"/>
      <c r="AD105" s="3" t="s">
        <v>12</v>
      </c>
      <c r="AE105" s="3" t="s">
        <v>12</v>
      </c>
      <c r="AF105" s="82"/>
      <c r="AG105" s="82"/>
      <c r="AH105" s="82"/>
      <c r="AI105" s="82"/>
      <c r="AJ105" s="82"/>
      <c r="AK105" s="3" t="s">
        <v>12</v>
      </c>
      <c r="AL105" s="62" t="s">
        <v>117</v>
      </c>
    </row>
    <row r="106" spans="1:38" ht="15" customHeight="1">
      <c r="A106" s="5" t="s">
        <v>165</v>
      </c>
      <c r="B106" s="3" t="str">
        <f t="shared" si="9"/>
        <v>Zekra</v>
      </c>
      <c r="C106" s="3" t="str">
        <f t="shared" si="8"/>
        <v>Abdelhamid</v>
      </c>
      <c r="D106" s="82"/>
      <c r="E106" s="16">
        <v>46309</v>
      </c>
      <c r="F106" s="3" t="s">
        <v>22</v>
      </c>
      <c r="G106" s="206"/>
      <c r="H106" s="206"/>
      <c r="I106" s="206"/>
      <c r="J106" s="206"/>
      <c r="K106" s="206"/>
      <c r="L106" s="206"/>
      <c r="M106" s="206"/>
      <c r="N106" s="206"/>
      <c r="O106" s="206"/>
      <c r="P106" s="206"/>
      <c r="Q106" s="206"/>
      <c r="R106" s="206"/>
      <c r="S106" s="207"/>
      <c r="T106" s="72" t="s">
        <v>11</v>
      </c>
      <c r="U106" s="82"/>
      <c r="V106" s="82"/>
      <c r="W106" s="3" t="s">
        <v>12</v>
      </c>
      <c r="X106" s="3" t="s">
        <v>12</v>
      </c>
      <c r="Y106" s="82"/>
      <c r="Z106" s="82"/>
      <c r="AA106" s="82"/>
      <c r="AB106" s="82"/>
      <c r="AC106" s="82"/>
      <c r="AD106" s="3" t="s">
        <v>12</v>
      </c>
      <c r="AE106" s="3" t="s">
        <v>12</v>
      </c>
      <c r="AF106" s="82"/>
      <c r="AG106" s="82"/>
      <c r="AH106" s="82"/>
      <c r="AI106" s="82"/>
      <c r="AJ106" s="82"/>
      <c r="AK106" s="3" t="s">
        <v>12</v>
      </c>
      <c r="AL106" s="62" t="s">
        <v>117</v>
      </c>
    </row>
    <row r="107" spans="1:38" ht="15" customHeight="1">
      <c r="A107" s="5" t="s">
        <v>166</v>
      </c>
      <c r="B107" s="3" t="str">
        <f t="shared" si="9"/>
        <v>Yasmine</v>
      </c>
      <c r="C107" s="3" t="str">
        <f t="shared" si="8"/>
        <v>Elsafty</v>
      </c>
      <c r="D107" s="82"/>
      <c r="E107" s="16">
        <v>46309</v>
      </c>
      <c r="F107" s="3" t="s">
        <v>22</v>
      </c>
      <c r="G107" s="208"/>
      <c r="H107" s="208"/>
      <c r="I107" s="208"/>
      <c r="J107" s="208"/>
      <c r="K107" s="208"/>
      <c r="L107" s="208"/>
      <c r="M107" s="208"/>
      <c r="N107" s="208"/>
      <c r="O107" s="208"/>
      <c r="P107" s="208"/>
      <c r="Q107" s="208"/>
      <c r="R107" s="208"/>
      <c r="S107" s="209"/>
      <c r="T107" s="72" t="s">
        <v>11</v>
      </c>
      <c r="U107" s="82"/>
      <c r="V107" s="82"/>
      <c r="W107" s="3" t="s">
        <v>12</v>
      </c>
      <c r="X107" s="3" t="s">
        <v>12</v>
      </c>
      <c r="Y107" s="82"/>
      <c r="Z107" s="82"/>
      <c r="AA107" s="82"/>
      <c r="AB107" s="82"/>
      <c r="AC107" s="82"/>
      <c r="AD107" s="3" t="s">
        <v>12</v>
      </c>
      <c r="AE107" s="3" t="s">
        <v>12</v>
      </c>
      <c r="AF107" s="82"/>
      <c r="AG107" s="82"/>
      <c r="AH107" s="82"/>
      <c r="AI107" s="82"/>
      <c r="AJ107" s="82"/>
      <c r="AK107" s="3" t="s">
        <v>12</v>
      </c>
      <c r="AL107" s="62" t="s">
        <v>117</v>
      </c>
    </row>
  </sheetData>
  <autoFilter ref="A1:AL89" xr:uid="{00000000-0001-0000-0000-000000000000}">
    <filterColumn colId="37">
      <filters>
        <filter val="Oct"/>
      </filters>
    </filterColumn>
  </autoFilter>
  <mergeCells count="17">
    <mergeCell ref="G25:Z29"/>
    <mergeCell ref="G105:S107"/>
    <mergeCell ref="G90:R104"/>
    <mergeCell ref="G6:L6"/>
    <mergeCell ref="G8:S11"/>
    <mergeCell ref="G12:T12"/>
    <mergeCell ref="G13:U13"/>
    <mergeCell ref="G14:T14"/>
    <mergeCell ref="G15:U15"/>
    <mergeCell ref="G17:Z20"/>
    <mergeCell ref="G22:Z23"/>
    <mergeCell ref="G21:AA21"/>
    <mergeCell ref="G24:AA24"/>
    <mergeCell ref="G38:AI40"/>
    <mergeCell ref="G31:AG37"/>
    <mergeCell ref="G30:AB30"/>
    <mergeCell ref="G16:S16"/>
  </mergeCells>
  <conditionalFormatting sqref="G3:N5 O3:O6 N6 P6:U6 G6:G8 U11:Z11 V14:AA14 W15:Z15 AB11 W13:AB13 U10:AB10 G12:G17 G21:G22 G24:G25 AB17 AB22 AB25 AB29 AB27 I7:AD7 W6:AD6 U8:AD9 AD10:AD11 V12:AD12 AD13:AD14 AB23:AD23 AB26:AC26 AB28:AD28 AD29:AD30 AB15:AC15 AE21:AE25 AE18:AE19 AE27:AE30 AD21:AD22 AD24:AD25 P3:AD5 AB18:AD20 AE3:AH12 U16:AG16 AF15:AG15 AF18:AH21 AF17:AG17 AE14:AH14 AE13:AG13 AF29:AG30 AF23:AH23 AF22:AG22 AF25:AH28 AF24:AG24 G30:G31 AI3:AI29 AI31:AI35 AI37 AJ3:AJ6 AJ32:AJ33 AJ16:AJ21 AJ10:AJ14 AJ8 AJ23:AJ30 AJ36:AJ37 G38 G108:AJ108 G59:G66 G43:G53 G70:G79 G55:J55 H73:K73 H72:J72 H78:J78 H61:J61 H65:J66 H74:J75 H56:J56 H46:J47 G89 H45:M45 L72:N72 H50:M51 L75:N75 L56:M56 P56:Q56 H62:M62 P62:Q62 H79:N79 L78:N78 H76:N77 H69:N71 H42:N44 M73:O73 L74:O74 P50:Q50 H54:N54 P54:Q54 L65:N65 P65:Q65 G68:Q68 L66:Q66 N61:Q61 L55:Q55 H48:Q48 H52:Q53 H57:Q60 H63:Q64 H67:Q67 P69:Q79 O51:S51 I80:J89 P42:AJ44 S57:AJ57 T56:AJ56 S60:AJ60 S48:AJ48 H49:AJ49 U51:AJ51 U77:AJ80 T50:AJ50 T54:AJ54 U73:AJ73 S52:AJ53 T74:AJ76 S58:S59 U58:AJ59 L46:S47 S55 U55:AJ55 S68 U68:AJ68 S65:AJ65 S62:S64 O45:S45 U45:AJ47 U61:AJ64 S69:AJ72 S67:AJ67 S66 U66:AJ66 G105">
    <cfRule type="cellIs" dxfId="686" priority="680" operator="equal">
      <formula>"Off"</formula>
    </cfRule>
    <cfRule type="cellIs" dxfId="685" priority="681" operator="equal">
      <formula>"Emergency"</formula>
    </cfRule>
    <cfRule type="cellIs" dxfId="684" priority="682" operator="equal">
      <formula>"NCNS"</formula>
    </cfRule>
    <cfRule type="cellIs" dxfId="683" priority="683" operator="equal">
      <formula>"Sick"</formula>
    </cfRule>
    <cfRule type="cellIs" dxfId="682" priority="684" operator="equal">
      <formula>"Annual"</formula>
    </cfRule>
    <cfRule type="cellIs" dxfId="681" priority="685" operator="equal">
      <formula>"Attended"</formula>
    </cfRule>
  </conditionalFormatting>
  <conditionalFormatting sqref="AC10:AC11">
    <cfRule type="cellIs" dxfId="680" priority="667" operator="equal">
      <formula>"Off"</formula>
    </cfRule>
    <cfRule type="cellIs" dxfId="679" priority="668" operator="equal">
      <formula>"Emergency"</formula>
    </cfRule>
    <cfRule type="cellIs" dxfId="678" priority="669" operator="equal">
      <formula>"NCNS"</formula>
    </cfRule>
    <cfRule type="cellIs" dxfId="677" priority="670" operator="equal">
      <formula>"Sick"</formula>
    </cfRule>
    <cfRule type="cellIs" dxfId="676" priority="671" operator="equal">
      <formula>"Annual"</formula>
    </cfRule>
    <cfRule type="cellIs" dxfId="675" priority="672" operator="equal">
      <formula>"Attended"</formula>
    </cfRule>
  </conditionalFormatting>
  <conditionalFormatting sqref="AK42:AK107">
    <cfRule type="cellIs" dxfId="674" priority="661" operator="equal">
      <formula>"Off"</formula>
    </cfRule>
    <cfRule type="cellIs" dxfId="673" priority="662" operator="equal">
      <formula>"Emergency"</formula>
    </cfRule>
    <cfRule type="cellIs" dxfId="672" priority="663" operator="equal">
      <formula>"NCNS"</formula>
    </cfRule>
    <cfRule type="cellIs" dxfId="671" priority="664" operator="equal">
      <formula>"Sick"</formula>
    </cfRule>
    <cfRule type="cellIs" dxfId="670" priority="665" operator="equal">
      <formula>"Annual"</formula>
    </cfRule>
    <cfRule type="cellIs" dxfId="669" priority="666" operator="equal">
      <formula>"Attended"</formula>
    </cfRule>
  </conditionalFormatting>
  <conditionalFormatting sqref="E40:F40">
    <cfRule type="cellIs" dxfId="668" priority="649" operator="equal">
      <formula>"Off"</formula>
    </cfRule>
    <cfRule type="cellIs" dxfId="667" priority="650" operator="equal">
      <formula>"Emergency"</formula>
    </cfRule>
    <cfRule type="cellIs" dxfId="666" priority="651" operator="equal">
      <formula>"NCNS"</formula>
    </cfRule>
    <cfRule type="cellIs" dxfId="665" priority="652" operator="equal">
      <formula>"Sick"</formula>
    </cfRule>
    <cfRule type="cellIs" dxfId="664" priority="653" operator="equal">
      <formula>"Annual"</formula>
    </cfRule>
    <cfRule type="cellIs" dxfId="663" priority="654" operator="equal">
      <formula>"Attended"</formula>
    </cfRule>
  </conditionalFormatting>
  <conditionalFormatting sqref="E79:F79">
    <cfRule type="cellIs" dxfId="662" priority="643" operator="equal">
      <formula>"Off"</formula>
    </cfRule>
    <cfRule type="cellIs" dxfId="661" priority="644" operator="equal">
      <formula>"Emergency"</formula>
    </cfRule>
    <cfRule type="cellIs" dxfId="660" priority="645" operator="equal">
      <formula>"NCNS"</formula>
    </cfRule>
    <cfRule type="cellIs" dxfId="659" priority="646" operator="equal">
      <formula>"Sick"</formula>
    </cfRule>
    <cfRule type="cellIs" dxfId="658" priority="647" operator="equal">
      <formula>"Annual"</formula>
    </cfRule>
    <cfRule type="cellIs" dxfId="657" priority="648" operator="equal">
      <formula>"Attended"</formula>
    </cfRule>
  </conditionalFormatting>
  <conditionalFormatting sqref="G57">
    <cfRule type="cellIs" dxfId="656" priority="637" operator="equal">
      <formula>"Off"</formula>
    </cfRule>
    <cfRule type="cellIs" dxfId="655" priority="638" operator="equal">
      <formula>"Emergency"</formula>
    </cfRule>
    <cfRule type="cellIs" dxfId="654" priority="639" operator="equal">
      <formula>"NCNS"</formula>
    </cfRule>
    <cfRule type="cellIs" dxfId="653" priority="640" operator="equal">
      <formula>"Sick"</formula>
    </cfRule>
    <cfRule type="cellIs" dxfId="652" priority="641" operator="equal">
      <formula>"Annual"</formula>
    </cfRule>
    <cfRule type="cellIs" dxfId="651" priority="642" operator="equal">
      <formula>"Attended"</formula>
    </cfRule>
  </conditionalFormatting>
  <conditionalFormatting sqref="K65">
    <cfRule type="cellIs" dxfId="650" priority="631" operator="equal">
      <formula>"Off"</formula>
    </cfRule>
    <cfRule type="cellIs" dxfId="649" priority="632" operator="equal">
      <formula>"Emergency"</formula>
    </cfRule>
    <cfRule type="cellIs" dxfId="648" priority="633" operator="equal">
      <formula>"NCNS"</formula>
    </cfRule>
    <cfRule type="cellIs" dxfId="647" priority="634" operator="equal">
      <formula>"Sick"</formula>
    </cfRule>
    <cfRule type="cellIs" dxfId="646" priority="635" operator="equal">
      <formula>"Annual"</formula>
    </cfRule>
    <cfRule type="cellIs" dxfId="645" priority="636" operator="equal">
      <formula>"Attended"</formula>
    </cfRule>
  </conditionalFormatting>
  <conditionalFormatting sqref="F80">
    <cfRule type="cellIs" dxfId="644" priority="625" operator="equal">
      <formula>"Off"</formula>
    </cfRule>
    <cfRule type="cellIs" dxfId="643" priority="626" operator="equal">
      <formula>"Emergency"</formula>
    </cfRule>
    <cfRule type="cellIs" dxfId="642" priority="627" operator="equal">
      <formula>"NCNS"</formula>
    </cfRule>
    <cfRule type="cellIs" dxfId="641" priority="628" operator="equal">
      <formula>"Sick"</formula>
    </cfRule>
    <cfRule type="cellIs" dxfId="640" priority="629" operator="equal">
      <formula>"Annual"</formula>
    </cfRule>
    <cfRule type="cellIs" dxfId="639" priority="630" operator="equal">
      <formula>"Attended"</formula>
    </cfRule>
  </conditionalFormatting>
  <conditionalFormatting sqref="F83">
    <cfRule type="cellIs" dxfId="638" priority="619" operator="equal">
      <formula>"Off"</formula>
    </cfRule>
    <cfRule type="cellIs" dxfId="637" priority="620" operator="equal">
      <formula>"Emergency"</formula>
    </cfRule>
    <cfRule type="cellIs" dxfId="636" priority="621" operator="equal">
      <formula>"NCNS"</formula>
    </cfRule>
    <cfRule type="cellIs" dxfId="635" priority="622" operator="equal">
      <formula>"Sick"</formula>
    </cfRule>
    <cfRule type="cellIs" dxfId="634" priority="623" operator="equal">
      <formula>"Annual"</formula>
    </cfRule>
    <cfRule type="cellIs" dxfId="633" priority="624" operator="equal">
      <formula>"Attended"</formula>
    </cfRule>
  </conditionalFormatting>
  <conditionalFormatting sqref="F85:F89">
    <cfRule type="cellIs" dxfId="632" priority="613" operator="equal">
      <formula>"Off"</formula>
    </cfRule>
    <cfRule type="cellIs" dxfId="631" priority="614" operator="equal">
      <formula>"Emergency"</formula>
    </cfRule>
    <cfRule type="cellIs" dxfId="630" priority="615" operator="equal">
      <formula>"NCNS"</formula>
    </cfRule>
    <cfRule type="cellIs" dxfId="629" priority="616" operator="equal">
      <formula>"Sick"</formula>
    </cfRule>
    <cfRule type="cellIs" dxfId="628" priority="617" operator="equal">
      <formula>"Annual"</formula>
    </cfRule>
    <cfRule type="cellIs" dxfId="627" priority="618" operator="equal">
      <formula>"Attended"</formula>
    </cfRule>
  </conditionalFormatting>
  <conditionalFormatting sqref="E80:E104">
    <cfRule type="cellIs" dxfId="626" priority="607" operator="equal">
      <formula>"Off"</formula>
    </cfRule>
    <cfRule type="cellIs" dxfId="625" priority="608" operator="equal">
      <formula>"Emergency"</formula>
    </cfRule>
    <cfRule type="cellIs" dxfId="624" priority="609" operator="equal">
      <formula>"NCNS"</formula>
    </cfRule>
    <cfRule type="cellIs" dxfId="623" priority="610" operator="equal">
      <formula>"Sick"</formula>
    </cfRule>
    <cfRule type="cellIs" dxfId="622" priority="611" operator="equal">
      <formula>"Annual"</formula>
    </cfRule>
    <cfRule type="cellIs" dxfId="621" priority="612" operator="equal">
      <formula>"Attended"</formula>
    </cfRule>
  </conditionalFormatting>
  <conditionalFormatting sqref="N83 P80:Q88 U81:AJ88">
    <cfRule type="cellIs" dxfId="620" priority="601" operator="equal">
      <formula>"Off"</formula>
    </cfRule>
    <cfRule type="cellIs" dxfId="619" priority="602" operator="equal">
      <formula>"Emergency"</formula>
    </cfRule>
    <cfRule type="cellIs" dxfId="618" priority="603" operator="equal">
      <formula>"NCNS"</formula>
    </cfRule>
    <cfRule type="cellIs" dxfId="617" priority="604" operator="equal">
      <formula>"Sick"</formula>
    </cfRule>
    <cfRule type="cellIs" dxfId="616" priority="605" operator="equal">
      <formula>"Annual"</formula>
    </cfRule>
    <cfRule type="cellIs" dxfId="615" priority="606" operator="equal">
      <formula>"Attended"</formula>
    </cfRule>
  </conditionalFormatting>
  <conditionalFormatting sqref="M80">
    <cfRule type="cellIs" dxfId="614" priority="589" operator="equal">
      <formula>"Off"</formula>
    </cfRule>
    <cfRule type="cellIs" dxfId="613" priority="590" operator="equal">
      <formula>"Emergency"</formula>
    </cfRule>
    <cfRule type="cellIs" dxfId="612" priority="591" operator="equal">
      <formula>"NCNS"</formula>
    </cfRule>
    <cfRule type="cellIs" dxfId="611" priority="592" operator="equal">
      <formula>"Sick"</formula>
    </cfRule>
    <cfRule type="cellIs" dxfId="610" priority="593" operator="equal">
      <formula>"Annual"</formula>
    </cfRule>
    <cfRule type="cellIs" dxfId="609" priority="594" operator="equal">
      <formula>"Attended"</formula>
    </cfRule>
  </conditionalFormatting>
  <conditionalFormatting sqref="M81">
    <cfRule type="cellIs" dxfId="608" priority="583" operator="equal">
      <formula>"Off"</formula>
    </cfRule>
    <cfRule type="cellIs" dxfId="607" priority="584" operator="equal">
      <formula>"Emergency"</formula>
    </cfRule>
    <cfRule type="cellIs" dxfId="606" priority="585" operator="equal">
      <formula>"NCNS"</formula>
    </cfRule>
    <cfRule type="cellIs" dxfId="605" priority="586" operator="equal">
      <formula>"Sick"</formula>
    </cfRule>
    <cfRule type="cellIs" dxfId="604" priority="587" operator="equal">
      <formula>"Annual"</formula>
    </cfRule>
    <cfRule type="cellIs" dxfId="603" priority="588" operator="equal">
      <formula>"Attended"</formula>
    </cfRule>
  </conditionalFormatting>
  <conditionalFormatting sqref="M82">
    <cfRule type="cellIs" dxfId="602" priority="577" operator="equal">
      <formula>"Off"</formula>
    </cfRule>
    <cfRule type="cellIs" dxfId="601" priority="578" operator="equal">
      <formula>"Emergency"</formula>
    </cfRule>
    <cfRule type="cellIs" dxfId="600" priority="579" operator="equal">
      <formula>"NCNS"</formula>
    </cfRule>
    <cfRule type="cellIs" dxfId="599" priority="580" operator="equal">
      <formula>"Sick"</formula>
    </cfRule>
    <cfRule type="cellIs" dxfId="598" priority="581" operator="equal">
      <formula>"Annual"</formula>
    </cfRule>
    <cfRule type="cellIs" dxfId="597" priority="582" operator="equal">
      <formula>"Attended"</formula>
    </cfRule>
  </conditionalFormatting>
  <conditionalFormatting sqref="M83">
    <cfRule type="cellIs" dxfId="596" priority="571" operator="equal">
      <formula>"Off"</formula>
    </cfRule>
    <cfRule type="cellIs" dxfId="595" priority="572" operator="equal">
      <formula>"Emergency"</formula>
    </cfRule>
    <cfRule type="cellIs" dxfId="594" priority="573" operator="equal">
      <formula>"NCNS"</formula>
    </cfRule>
    <cfRule type="cellIs" dxfId="593" priority="574" operator="equal">
      <formula>"Sick"</formula>
    </cfRule>
    <cfRule type="cellIs" dxfId="592" priority="575" operator="equal">
      <formula>"Annual"</formula>
    </cfRule>
    <cfRule type="cellIs" dxfId="591" priority="576" operator="equal">
      <formula>"Attended"</formula>
    </cfRule>
  </conditionalFormatting>
  <conditionalFormatting sqref="M84">
    <cfRule type="cellIs" dxfId="590" priority="565" operator="equal">
      <formula>"Off"</formula>
    </cfRule>
    <cfRule type="cellIs" dxfId="589" priority="566" operator="equal">
      <formula>"Emergency"</formula>
    </cfRule>
    <cfRule type="cellIs" dxfId="588" priority="567" operator="equal">
      <formula>"NCNS"</formula>
    </cfRule>
    <cfRule type="cellIs" dxfId="587" priority="568" operator="equal">
      <formula>"Sick"</formula>
    </cfRule>
    <cfRule type="cellIs" dxfId="586" priority="569" operator="equal">
      <formula>"Annual"</formula>
    </cfRule>
    <cfRule type="cellIs" dxfId="585" priority="570" operator="equal">
      <formula>"Attended"</formula>
    </cfRule>
  </conditionalFormatting>
  <conditionalFormatting sqref="P89:Q89 U89:AJ89">
    <cfRule type="cellIs" dxfId="584" priority="511" operator="equal">
      <formula>"Off"</formula>
    </cfRule>
    <cfRule type="cellIs" dxfId="583" priority="512" operator="equal">
      <formula>"Emergency"</formula>
    </cfRule>
    <cfRule type="cellIs" dxfId="582" priority="513" operator="equal">
      <formula>"NCNS"</formula>
    </cfRule>
    <cfRule type="cellIs" dxfId="581" priority="514" operator="equal">
      <formula>"Sick"</formula>
    </cfRule>
    <cfRule type="cellIs" dxfId="580" priority="515" operator="equal">
      <formula>"Annual"</formula>
    </cfRule>
    <cfRule type="cellIs" dxfId="579" priority="516" operator="equal">
      <formula>"Attended"</formula>
    </cfRule>
  </conditionalFormatting>
  <conditionalFormatting sqref="N50">
    <cfRule type="cellIs" dxfId="578" priority="505" operator="equal">
      <formula>"Off"</formula>
    </cfRule>
    <cfRule type="cellIs" dxfId="577" priority="506" operator="equal">
      <formula>"Emergency"</formula>
    </cfRule>
    <cfRule type="cellIs" dxfId="576" priority="507" operator="equal">
      <formula>"NCNS"</formula>
    </cfRule>
    <cfRule type="cellIs" dxfId="575" priority="508" operator="equal">
      <formula>"Sick"</formula>
    </cfRule>
    <cfRule type="cellIs" dxfId="574" priority="509" operator="equal">
      <formula>"Annual"</formula>
    </cfRule>
    <cfRule type="cellIs" dxfId="573" priority="510" operator="equal">
      <formula>"Attended"</formula>
    </cfRule>
  </conditionalFormatting>
  <conditionalFormatting sqref="N80">
    <cfRule type="cellIs" dxfId="572" priority="499" operator="equal">
      <formula>"Off"</formula>
    </cfRule>
    <cfRule type="cellIs" dxfId="571" priority="500" operator="equal">
      <formula>"Emergency"</formula>
    </cfRule>
    <cfRule type="cellIs" dxfId="570" priority="501" operator="equal">
      <formula>"NCNS"</formula>
    </cfRule>
    <cfRule type="cellIs" dxfId="569" priority="502" operator="equal">
      <formula>"Sick"</formula>
    </cfRule>
    <cfRule type="cellIs" dxfId="568" priority="503" operator="equal">
      <formula>"Annual"</formula>
    </cfRule>
    <cfRule type="cellIs" dxfId="567" priority="504" operator="equal">
      <formula>"Attended"</formula>
    </cfRule>
  </conditionalFormatting>
  <conditionalFormatting sqref="N81">
    <cfRule type="cellIs" dxfId="566" priority="493" operator="equal">
      <formula>"Off"</formula>
    </cfRule>
    <cfRule type="cellIs" dxfId="565" priority="494" operator="equal">
      <formula>"Emergency"</formula>
    </cfRule>
    <cfRule type="cellIs" dxfId="564" priority="495" operator="equal">
      <formula>"NCNS"</formula>
    </cfRule>
    <cfRule type="cellIs" dxfId="563" priority="496" operator="equal">
      <formula>"Sick"</formula>
    </cfRule>
    <cfRule type="cellIs" dxfId="562" priority="497" operator="equal">
      <formula>"Annual"</formula>
    </cfRule>
    <cfRule type="cellIs" dxfId="561" priority="498" operator="equal">
      <formula>"Attended"</formula>
    </cfRule>
  </conditionalFormatting>
  <conditionalFormatting sqref="N82">
    <cfRule type="cellIs" dxfId="560" priority="487" operator="equal">
      <formula>"Off"</formula>
    </cfRule>
    <cfRule type="cellIs" dxfId="559" priority="488" operator="equal">
      <formula>"Emergency"</formula>
    </cfRule>
    <cfRule type="cellIs" dxfId="558" priority="489" operator="equal">
      <formula>"NCNS"</formula>
    </cfRule>
    <cfRule type="cellIs" dxfId="557" priority="490" operator="equal">
      <formula>"Sick"</formula>
    </cfRule>
    <cfRule type="cellIs" dxfId="556" priority="491" operator="equal">
      <formula>"Annual"</formula>
    </cfRule>
    <cfRule type="cellIs" dxfId="555" priority="492" operator="equal">
      <formula>"Attended"</formula>
    </cfRule>
  </conditionalFormatting>
  <conditionalFormatting sqref="N85">
    <cfRule type="cellIs" dxfId="554" priority="475" operator="equal">
      <formula>"Off"</formula>
    </cfRule>
    <cfRule type="cellIs" dxfId="553" priority="476" operator="equal">
      <formula>"Emergency"</formula>
    </cfRule>
    <cfRule type="cellIs" dxfId="552" priority="477" operator="equal">
      <formula>"NCNS"</formula>
    </cfRule>
    <cfRule type="cellIs" dxfId="551" priority="478" operator="equal">
      <formula>"Sick"</formula>
    </cfRule>
    <cfRule type="cellIs" dxfId="550" priority="479" operator="equal">
      <formula>"Annual"</formula>
    </cfRule>
    <cfRule type="cellIs" dxfId="549" priority="480" operator="equal">
      <formula>"Attended"</formula>
    </cfRule>
  </conditionalFormatting>
  <conditionalFormatting sqref="N86">
    <cfRule type="cellIs" dxfId="548" priority="469" operator="equal">
      <formula>"Off"</formula>
    </cfRule>
    <cfRule type="cellIs" dxfId="547" priority="470" operator="equal">
      <formula>"Emergency"</formula>
    </cfRule>
    <cfRule type="cellIs" dxfId="546" priority="471" operator="equal">
      <formula>"NCNS"</formula>
    </cfRule>
    <cfRule type="cellIs" dxfId="545" priority="472" operator="equal">
      <formula>"Sick"</formula>
    </cfRule>
    <cfRule type="cellIs" dxfId="544" priority="473" operator="equal">
      <formula>"Annual"</formula>
    </cfRule>
    <cfRule type="cellIs" dxfId="543" priority="474" operator="equal">
      <formula>"Attended"</formula>
    </cfRule>
  </conditionalFormatting>
  <conditionalFormatting sqref="N87">
    <cfRule type="cellIs" dxfId="542" priority="463" operator="equal">
      <formula>"Off"</formula>
    </cfRule>
    <cfRule type="cellIs" dxfId="541" priority="464" operator="equal">
      <formula>"Emergency"</formula>
    </cfRule>
    <cfRule type="cellIs" dxfId="540" priority="465" operator="equal">
      <formula>"NCNS"</formula>
    </cfRule>
    <cfRule type="cellIs" dxfId="539" priority="466" operator="equal">
      <formula>"Sick"</formula>
    </cfRule>
    <cfRule type="cellIs" dxfId="538" priority="467" operator="equal">
      <formula>"Annual"</formula>
    </cfRule>
    <cfRule type="cellIs" dxfId="537" priority="468" operator="equal">
      <formula>"Attended"</formula>
    </cfRule>
  </conditionalFormatting>
  <conditionalFormatting sqref="N88">
    <cfRule type="cellIs" dxfId="536" priority="451" operator="equal">
      <formula>"Off"</formula>
    </cfRule>
    <cfRule type="cellIs" dxfId="535" priority="452" operator="equal">
      <formula>"Emergency"</formula>
    </cfRule>
    <cfRule type="cellIs" dxfId="534" priority="453" operator="equal">
      <formula>"NCNS"</formula>
    </cfRule>
    <cfRule type="cellIs" dxfId="533" priority="454" operator="equal">
      <formula>"Sick"</formula>
    </cfRule>
    <cfRule type="cellIs" dxfId="532" priority="455" operator="equal">
      <formula>"Annual"</formula>
    </cfRule>
    <cfRule type="cellIs" dxfId="531" priority="456" operator="equal">
      <formula>"Attended"</formula>
    </cfRule>
  </conditionalFormatting>
  <conditionalFormatting sqref="N89:O89">
    <cfRule type="cellIs" dxfId="530" priority="445" operator="equal">
      <formula>"Off"</formula>
    </cfRule>
    <cfRule type="cellIs" dxfId="529" priority="446" operator="equal">
      <formula>"Emergency"</formula>
    </cfRule>
    <cfRule type="cellIs" dxfId="528" priority="447" operator="equal">
      <formula>"NCNS"</formula>
    </cfRule>
    <cfRule type="cellIs" dxfId="527" priority="448" operator="equal">
      <formula>"Sick"</formula>
    </cfRule>
    <cfRule type="cellIs" dxfId="526" priority="449" operator="equal">
      <formula>"Annual"</formula>
    </cfRule>
    <cfRule type="cellIs" dxfId="525" priority="450" operator="equal">
      <formula>"Attended"</formula>
    </cfRule>
  </conditionalFormatting>
  <conditionalFormatting sqref="O88">
    <cfRule type="cellIs" dxfId="524" priority="439" operator="equal">
      <formula>"Off"</formula>
    </cfRule>
    <cfRule type="cellIs" dxfId="523" priority="440" operator="equal">
      <formula>"Emergency"</formula>
    </cfRule>
    <cfRule type="cellIs" dxfId="522" priority="441" operator="equal">
      <formula>"NCNS"</formula>
    </cfRule>
    <cfRule type="cellIs" dxfId="521" priority="442" operator="equal">
      <formula>"Sick"</formula>
    </cfRule>
    <cfRule type="cellIs" dxfId="520" priority="443" operator="equal">
      <formula>"Annual"</formula>
    </cfRule>
    <cfRule type="cellIs" dxfId="519" priority="444" operator="equal">
      <formula>"Attended"</formula>
    </cfRule>
  </conditionalFormatting>
  <conditionalFormatting sqref="O87">
    <cfRule type="cellIs" dxfId="518" priority="433" operator="equal">
      <formula>"Off"</formula>
    </cfRule>
    <cfRule type="cellIs" dxfId="517" priority="434" operator="equal">
      <formula>"Emergency"</formula>
    </cfRule>
    <cfRule type="cellIs" dxfId="516" priority="435" operator="equal">
      <formula>"NCNS"</formula>
    </cfRule>
    <cfRule type="cellIs" dxfId="515" priority="436" operator="equal">
      <formula>"Sick"</formula>
    </cfRule>
    <cfRule type="cellIs" dxfId="514" priority="437" operator="equal">
      <formula>"Annual"</formula>
    </cfRule>
    <cfRule type="cellIs" dxfId="513" priority="438" operator="equal">
      <formula>"Attended"</formula>
    </cfRule>
  </conditionalFormatting>
  <conditionalFormatting sqref="O86">
    <cfRule type="cellIs" dxfId="512" priority="427" operator="equal">
      <formula>"Off"</formula>
    </cfRule>
    <cfRule type="cellIs" dxfId="511" priority="428" operator="equal">
      <formula>"Emergency"</formula>
    </cfRule>
    <cfRule type="cellIs" dxfId="510" priority="429" operator="equal">
      <formula>"NCNS"</formula>
    </cfRule>
    <cfRule type="cellIs" dxfId="509" priority="430" operator="equal">
      <formula>"Sick"</formula>
    </cfRule>
    <cfRule type="cellIs" dxfId="508" priority="431" operator="equal">
      <formula>"Annual"</formula>
    </cfRule>
    <cfRule type="cellIs" dxfId="507" priority="432" operator="equal">
      <formula>"Attended"</formula>
    </cfRule>
  </conditionalFormatting>
  <conditionalFormatting sqref="O85">
    <cfRule type="cellIs" dxfId="506" priority="421" operator="equal">
      <formula>"Off"</formula>
    </cfRule>
    <cfRule type="cellIs" dxfId="505" priority="422" operator="equal">
      <formula>"Emergency"</formula>
    </cfRule>
    <cfRule type="cellIs" dxfId="504" priority="423" operator="equal">
      <formula>"NCNS"</formula>
    </cfRule>
    <cfRule type="cellIs" dxfId="503" priority="424" operator="equal">
      <formula>"Sick"</formula>
    </cfRule>
    <cfRule type="cellIs" dxfId="502" priority="425" operator="equal">
      <formula>"Annual"</formula>
    </cfRule>
    <cfRule type="cellIs" dxfId="501" priority="426" operator="equal">
      <formula>"Attended"</formula>
    </cfRule>
  </conditionalFormatting>
  <conditionalFormatting sqref="O84">
    <cfRule type="cellIs" dxfId="500" priority="415" operator="equal">
      <formula>"Off"</formula>
    </cfRule>
    <cfRule type="cellIs" dxfId="499" priority="416" operator="equal">
      <formula>"Emergency"</formula>
    </cfRule>
    <cfRule type="cellIs" dxfId="498" priority="417" operator="equal">
      <formula>"NCNS"</formula>
    </cfRule>
    <cfRule type="cellIs" dxfId="497" priority="418" operator="equal">
      <formula>"Sick"</formula>
    </cfRule>
    <cfRule type="cellIs" dxfId="496" priority="419" operator="equal">
      <formula>"Annual"</formula>
    </cfRule>
    <cfRule type="cellIs" dxfId="495" priority="420" operator="equal">
      <formula>"Attended"</formula>
    </cfRule>
  </conditionalFormatting>
  <conditionalFormatting sqref="O83">
    <cfRule type="cellIs" dxfId="494" priority="409" operator="equal">
      <formula>"Off"</formula>
    </cfRule>
    <cfRule type="cellIs" dxfId="493" priority="410" operator="equal">
      <formula>"Emergency"</formula>
    </cfRule>
    <cfRule type="cellIs" dxfId="492" priority="411" operator="equal">
      <formula>"NCNS"</formula>
    </cfRule>
    <cfRule type="cellIs" dxfId="491" priority="412" operator="equal">
      <formula>"Sick"</formula>
    </cfRule>
    <cfRule type="cellIs" dxfId="490" priority="413" operator="equal">
      <formula>"Annual"</formula>
    </cfRule>
    <cfRule type="cellIs" dxfId="489" priority="414" operator="equal">
      <formula>"Attended"</formula>
    </cfRule>
  </conditionalFormatting>
  <conditionalFormatting sqref="O82">
    <cfRule type="cellIs" dxfId="488" priority="403" operator="equal">
      <formula>"Off"</formula>
    </cfRule>
    <cfRule type="cellIs" dxfId="487" priority="404" operator="equal">
      <formula>"Emergency"</formula>
    </cfRule>
    <cfRule type="cellIs" dxfId="486" priority="405" operator="equal">
      <formula>"NCNS"</formula>
    </cfRule>
    <cfRule type="cellIs" dxfId="485" priority="406" operator="equal">
      <formula>"Sick"</formula>
    </cfRule>
    <cfRule type="cellIs" dxfId="484" priority="407" operator="equal">
      <formula>"Annual"</formula>
    </cfRule>
    <cfRule type="cellIs" dxfId="483" priority="408" operator="equal">
      <formula>"Attended"</formula>
    </cfRule>
  </conditionalFormatting>
  <conditionalFormatting sqref="O81">
    <cfRule type="cellIs" dxfId="482" priority="397" operator="equal">
      <formula>"Off"</formula>
    </cfRule>
    <cfRule type="cellIs" dxfId="481" priority="398" operator="equal">
      <formula>"Emergency"</formula>
    </cfRule>
    <cfRule type="cellIs" dxfId="480" priority="399" operator="equal">
      <formula>"NCNS"</formula>
    </cfRule>
    <cfRule type="cellIs" dxfId="479" priority="400" operator="equal">
      <formula>"Sick"</formula>
    </cfRule>
    <cfRule type="cellIs" dxfId="478" priority="401" operator="equal">
      <formula>"Annual"</formula>
    </cfRule>
    <cfRule type="cellIs" dxfId="477" priority="402" operator="equal">
      <formula>"Attended"</formula>
    </cfRule>
  </conditionalFormatting>
  <conditionalFormatting sqref="O80">
    <cfRule type="cellIs" dxfId="476" priority="391" operator="equal">
      <formula>"Off"</formula>
    </cfRule>
    <cfRule type="cellIs" dxfId="475" priority="392" operator="equal">
      <formula>"Emergency"</formula>
    </cfRule>
    <cfRule type="cellIs" dxfId="474" priority="393" operator="equal">
      <formula>"NCNS"</formula>
    </cfRule>
    <cfRule type="cellIs" dxfId="473" priority="394" operator="equal">
      <formula>"Sick"</formula>
    </cfRule>
    <cfRule type="cellIs" dxfId="472" priority="395" operator="equal">
      <formula>"Annual"</formula>
    </cfRule>
    <cfRule type="cellIs" dxfId="471" priority="396" operator="equal">
      <formula>"Attended"</formula>
    </cfRule>
  </conditionalFormatting>
  <conditionalFormatting sqref="O79">
    <cfRule type="cellIs" dxfId="470" priority="385" operator="equal">
      <formula>"Off"</formula>
    </cfRule>
    <cfRule type="cellIs" dxfId="469" priority="386" operator="equal">
      <formula>"Emergency"</formula>
    </cfRule>
    <cfRule type="cellIs" dxfId="468" priority="387" operator="equal">
      <formula>"NCNS"</formula>
    </cfRule>
    <cfRule type="cellIs" dxfId="467" priority="388" operator="equal">
      <formula>"Sick"</formula>
    </cfRule>
    <cfRule type="cellIs" dxfId="466" priority="389" operator="equal">
      <formula>"Annual"</formula>
    </cfRule>
    <cfRule type="cellIs" dxfId="465" priority="390" operator="equal">
      <formula>"Attended"</formula>
    </cfRule>
  </conditionalFormatting>
  <conditionalFormatting sqref="O78">
    <cfRule type="cellIs" dxfId="464" priority="379" operator="equal">
      <formula>"Off"</formula>
    </cfRule>
    <cfRule type="cellIs" dxfId="463" priority="380" operator="equal">
      <formula>"Emergency"</formula>
    </cfRule>
    <cfRule type="cellIs" dxfId="462" priority="381" operator="equal">
      <formula>"NCNS"</formula>
    </cfRule>
    <cfRule type="cellIs" dxfId="461" priority="382" operator="equal">
      <formula>"Sick"</formula>
    </cfRule>
    <cfRule type="cellIs" dxfId="460" priority="383" operator="equal">
      <formula>"Annual"</formula>
    </cfRule>
    <cfRule type="cellIs" dxfId="459" priority="384" operator="equal">
      <formula>"Attended"</formula>
    </cfRule>
  </conditionalFormatting>
  <conditionalFormatting sqref="O77">
    <cfRule type="cellIs" dxfId="458" priority="373" operator="equal">
      <formula>"Off"</formula>
    </cfRule>
    <cfRule type="cellIs" dxfId="457" priority="374" operator="equal">
      <formula>"Emergency"</formula>
    </cfRule>
    <cfRule type="cellIs" dxfId="456" priority="375" operator="equal">
      <formula>"NCNS"</formula>
    </cfRule>
    <cfRule type="cellIs" dxfId="455" priority="376" operator="equal">
      <formula>"Sick"</formula>
    </cfRule>
    <cfRule type="cellIs" dxfId="454" priority="377" operator="equal">
      <formula>"Annual"</formula>
    </cfRule>
    <cfRule type="cellIs" dxfId="453" priority="378" operator="equal">
      <formula>"Attended"</formula>
    </cfRule>
  </conditionalFormatting>
  <conditionalFormatting sqref="O69">
    <cfRule type="cellIs" dxfId="452" priority="367" operator="equal">
      <formula>"Off"</formula>
    </cfRule>
    <cfRule type="cellIs" dxfId="451" priority="368" operator="equal">
      <formula>"Emergency"</formula>
    </cfRule>
    <cfRule type="cellIs" dxfId="450" priority="369" operator="equal">
      <formula>"NCNS"</formula>
    </cfRule>
    <cfRule type="cellIs" dxfId="449" priority="370" operator="equal">
      <formula>"Sick"</formula>
    </cfRule>
    <cfRule type="cellIs" dxfId="448" priority="371" operator="equal">
      <formula>"Annual"</formula>
    </cfRule>
    <cfRule type="cellIs" dxfId="447" priority="372" operator="equal">
      <formula>"Attended"</formula>
    </cfRule>
  </conditionalFormatting>
  <conditionalFormatting sqref="O70">
    <cfRule type="cellIs" dxfId="446" priority="361" operator="equal">
      <formula>"Off"</formula>
    </cfRule>
    <cfRule type="cellIs" dxfId="445" priority="362" operator="equal">
      <formula>"Emergency"</formula>
    </cfRule>
    <cfRule type="cellIs" dxfId="444" priority="363" operator="equal">
      <formula>"NCNS"</formula>
    </cfRule>
    <cfRule type="cellIs" dxfId="443" priority="364" operator="equal">
      <formula>"Sick"</formula>
    </cfRule>
    <cfRule type="cellIs" dxfId="442" priority="365" operator="equal">
      <formula>"Annual"</formula>
    </cfRule>
    <cfRule type="cellIs" dxfId="441" priority="366" operator="equal">
      <formula>"Attended"</formula>
    </cfRule>
  </conditionalFormatting>
  <conditionalFormatting sqref="O71:O72">
    <cfRule type="cellIs" dxfId="440" priority="355" operator="equal">
      <formula>"Off"</formula>
    </cfRule>
    <cfRule type="cellIs" dxfId="439" priority="356" operator="equal">
      <formula>"Emergency"</formula>
    </cfRule>
    <cfRule type="cellIs" dxfId="438" priority="357" operator="equal">
      <formula>"NCNS"</formula>
    </cfRule>
    <cfRule type="cellIs" dxfId="437" priority="358" operator="equal">
      <formula>"Sick"</formula>
    </cfRule>
    <cfRule type="cellIs" dxfId="436" priority="359" operator="equal">
      <formula>"Annual"</formula>
    </cfRule>
    <cfRule type="cellIs" dxfId="435" priority="360" operator="equal">
      <formula>"Attended"</formula>
    </cfRule>
  </conditionalFormatting>
  <conditionalFormatting sqref="O76">
    <cfRule type="cellIs" dxfId="434" priority="349" operator="equal">
      <formula>"Off"</formula>
    </cfRule>
    <cfRule type="cellIs" dxfId="433" priority="350" operator="equal">
      <formula>"Emergency"</formula>
    </cfRule>
    <cfRule type="cellIs" dxfId="432" priority="351" operator="equal">
      <formula>"NCNS"</formula>
    </cfRule>
    <cfRule type="cellIs" dxfId="431" priority="352" operator="equal">
      <formula>"Sick"</formula>
    </cfRule>
    <cfRule type="cellIs" dxfId="430" priority="353" operator="equal">
      <formula>"Annual"</formula>
    </cfRule>
    <cfRule type="cellIs" dxfId="429" priority="354" operator="equal">
      <formula>"Attended"</formula>
    </cfRule>
  </conditionalFormatting>
  <conditionalFormatting sqref="O42:O43">
    <cfRule type="cellIs" dxfId="428" priority="343" operator="equal">
      <formula>"Off"</formula>
    </cfRule>
    <cfRule type="cellIs" dxfId="427" priority="344" operator="equal">
      <formula>"Emergency"</formula>
    </cfRule>
    <cfRule type="cellIs" dxfId="426" priority="345" operator="equal">
      <formula>"NCNS"</formula>
    </cfRule>
    <cfRule type="cellIs" dxfId="425" priority="346" operator="equal">
      <formula>"Sick"</formula>
    </cfRule>
    <cfRule type="cellIs" dxfId="424" priority="347" operator="equal">
      <formula>"Annual"</formula>
    </cfRule>
    <cfRule type="cellIs" dxfId="423" priority="348" operator="equal">
      <formula>"Attended"</formula>
    </cfRule>
  </conditionalFormatting>
  <conditionalFormatting sqref="R48">
    <cfRule type="cellIs" dxfId="422" priority="337" operator="equal">
      <formula>"Off"</formula>
    </cfRule>
    <cfRule type="cellIs" dxfId="421" priority="338" operator="equal">
      <formula>"Emergency"</formula>
    </cfRule>
    <cfRule type="cellIs" dxfId="420" priority="339" operator="equal">
      <formula>"NCNS"</formula>
    </cfRule>
    <cfRule type="cellIs" dxfId="419" priority="340" operator="equal">
      <formula>"Sick"</formula>
    </cfRule>
    <cfRule type="cellIs" dxfId="418" priority="341" operator="equal">
      <formula>"Annual"</formula>
    </cfRule>
    <cfRule type="cellIs" dxfId="417" priority="342" operator="equal">
      <formula>"Attended"</formula>
    </cfRule>
  </conditionalFormatting>
  <conditionalFormatting sqref="R50">
    <cfRule type="cellIs" dxfId="416" priority="331" operator="equal">
      <formula>"Off"</formula>
    </cfRule>
    <cfRule type="cellIs" dxfId="415" priority="332" operator="equal">
      <formula>"Emergency"</formula>
    </cfRule>
    <cfRule type="cellIs" dxfId="414" priority="333" operator="equal">
      <formula>"NCNS"</formula>
    </cfRule>
    <cfRule type="cellIs" dxfId="413" priority="334" operator="equal">
      <formula>"Sick"</formula>
    </cfRule>
    <cfRule type="cellIs" dxfId="412" priority="335" operator="equal">
      <formula>"Annual"</formula>
    </cfRule>
    <cfRule type="cellIs" dxfId="411" priority="336" operator="equal">
      <formula>"Attended"</formula>
    </cfRule>
  </conditionalFormatting>
  <conditionalFormatting sqref="R52">
    <cfRule type="cellIs" dxfId="410" priority="325" operator="equal">
      <formula>"Off"</formula>
    </cfRule>
    <cfRule type="cellIs" dxfId="409" priority="326" operator="equal">
      <formula>"Emergency"</formula>
    </cfRule>
    <cfRule type="cellIs" dxfId="408" priority="327" operator="equal">
      <formula>"NCNS"</formula>
    </cfRule>
    <cfRule type="cellIs" dxfId="407" priority="328" operator="equal">
      <formula>"Sick"</formula>
    </cfRule>
    <cfRule type="cellIs" dxfId="406" priority="329" operator="equal">
      <formula>"Annual"</formula>
    </cfRule>
    <cfRule type="cellIs" dxfId="405" priority="330" operator="equal">
      <formula>"Attended"</formula>
    </cfRule>
  </conditionalFormatting>
  <conditionalFormatting sqref="R53">
    <cfRule type="cellIs" dxfId="404" priority="319" operator="equal">
      <formula>"Off"</formula>
    </cfRule>
    <cfRule type="cellIs" dxfId="403" priority="320" operator="equal">
      <formula>"Emergency"</formula>
    </cfRule>
    <cfRule type="cellIs" dxfId="402" priority="321" operator="equal">
      <formula>"NCNS"</formula>
    </cfRule>
    <cfRule type="cellIs" dxfId="401" priority="322" operator="equal">
      <formula>"Sick"</formula>
    </cfRule>
    <cfRule type="cellIs" dxfId="400" priority="323" operator="equal">
      <formula>"Annual"</formula>
    </cfRule>
    <cfRule type="cellIs" dxfId="399" priority="324" operator="equal">
      <formula>"Attended"</formula>
    </cfRule>
  </conditionalFormatting>
  <conditionalFormatting sqref="R55">
    <cfRule type="cellIs" dxfId="398" priority="313" operator="equal">
      <formula>"Off"</formula>
    </cfRule>
    <cfRule type="cellIs" dxfId="397" priority="314" operator="equal">
      <formula>"Emergency"</formula>
    </cfRule>
    <cfRule type="cellIs" dxfId="396" priority="315" operator="equal">
      <formula>"NCNS"</formula>
    </cfRule>
    <cfRule type="cellIs" dxfId="395" priority="316" operator="equal">
      <formula>"Sick"</formula>
    </cfRule>
    <cfRule type="cellIs" dxfId="394" priority="317" operator="equal">
      <formula>"Annual"</formula>
    </cfRule>
    <cfRule type="cellIs" dxfId="393" priority="318" operator="equal">
      <formula>"Attended"</formula>
    </cfRule>
  </conditionalFormatting>
  <conditionalFormatting sqref="R57">
    <cfRule type="cellIs" dxfId="392" priority="301" operator="equal">
      <formula>"Off"</formula>
    </cfRule>
    <cfRule type="cellIs" dxfId="391" priority="302" operator="equal">
      <formula>"Emergency"</formula>
    </cfRule>
    <cfRule type="cellIs" dxfId="390" priority="303" operator="equal">
      <formula>"NCNS"</formula>
    </cfRule>
    <cfRule type="cellIs" dxfId="389" priority="304" operator="equal">
      <formula>"Sick"</formula>
    </cfRule>
    <cfRule type="cellIs" dxfId="388" priority="305" operator="equal">
      <formula>"Annual"</formula>
    </cfRule>
    <cfRule type="cellIs" dxfId="387" priority="306" operator="equal">
      <formula>"Attended"</formula>
    </cfRule>
  </conditionalFormatting>
  <conditionalFormatting sqref="R58">
    <cfRule type="cellIs" dxfId="386" priority="295" operator="equal">
      <formula>"Off"</formula>
    </cfRule>
    <cfRule type="cellIs" dxfId="385" priority="296" operator="equal">
      <formula>"Emergency"</formula>
    </cfRule>
    <cfRule type="cellIs" dxfId="384" priority="297" operator="equal">
      <formula>"NCNS"</formula>
    </cfRule>
    <cfRule type="cellIs" dxfId="383" priority="298" operator="equal">
      <formula>"Sick"</formula>
    </cfRule>
    <cfRule type="cellIs" dxfId="382" priority="299" operator="equal">
      <formula>"Annual"</formula>
    </cfRule>
    <cfRule type="cellIs" dxfId="381" priority="300" operator="equal">
      <formula>"Attended"</formula>
    </cfRule>
  </conditionalFormatting>
  <conditionalFormatting sqref="R59">
    <cfRule type="cellIs" dxfId="380" priority="289" operator="equal">
      <formula>"Off"</formula>
    </cfRule>
    <cfRule type="cellIs" dxfId="379" priority="290" operator="equal">
      <formula>"Emergency"</formula>
    </cfRule>
    <cfRule type="cellIs" dxfId="378" priority="291" operator="equal">
      <formula>"NCNS"</formula>
    </cfRule>
    <cfRule type="cellIs" dxfId="377" priority="292" operator="equal">
      <formula>"Sick"</formula>
    </cfRule>
    <cfRule type="cellIs" dxfId="376" priority="293" operator="equal">
      <formula>"Annual"</formula>
    </cfRule>
    <cfRule type="cellIs" dxfId="375" priority="294" operator="equal">
      <formula>"Attended"</formula>
    </cfRule>
  </conditionalFormatting>
  <conditionalFormatting sqref="R60">
    <cfRule type="cellIs" dxfId="374" priority="283" operator="equal">
      <formula>"Off"</formula>
    </cfRule>
    <cfRule type="cellIs" dxfId="373" priority="284" operator="equal">
      <formula>"Emergency"</formula>
    </cfRule>
    <cfRule type="cellIs" dxfId="372" priority="285" operator="equal">
      <formula>"NCNS"</formula>
    </cfRule>
    <cfRule type="cellIs" dxfId="371" priority="286" operator="equal">
      <formula>"Sick"</formula>
    </cfRule>
    <cfRule type="cellIs" dxfId="370" priority="287" operator="equal">
      <formula>"Annual"</formula>
    </cfRule>
    <cfRule type="cellIs" dxfId="369" priority="288" operator="equal">
      <formula>"Attended"</formula>
    </cfRule>
  </conditionalFormatting>
  <conditionalFormatting sqref="R62">
    <cfRule type="cellIs" dxfId="368" priority="277" operator="equal">
      <formula>"Off"</formula>
    </cfRule>
    <cfRule type="cellIs" dxfId="367" priority="278" operator="equal">
      <formula>"Emergency"</formula>
    </cfRule>
    <cfRule type="cellIs" dxfId="366" priority="279" operator="equal">
      <formula>"NCNS"</formula>
    </cfRule>
    <cfRule type="cellIs" dxfId="365" priority="280" operator="equal">
      <formula>"Sick"</formula>
    </cfRule>
    <cfRule type="cellIs" dxfId="364" priority="281" operator="equal">
      <formula>"Annual"</formula>
    </cfRule>
    <cfRule type="cellIs" dxfId="363" priority="282" operator="equal">
      <formula>"Attended"</formula>
    </cfRule>
  </conditionalFormatting>
  <conditionalFormatting sqref="R63">
    <cfRule type="cellIs" dxfId="362" priority="271" operator="equal">
      <formula>"Off"</formula>
    </cfRule>
    <cfRule type="cellIs" dxfId="361" priority="272" operator="equal">
      <formula>"Emergency"</formula>
    </cfRule>
    <cfRule type="cellIs" dxfId="360" priority="273" operator="equal">
      <formula>"NCNS"</formula>
    </cfRule>
    <cfRule type="cellIs" dxfId="359" priority="274" operator="equal">
      <formula>"Sick"</formula>
    </cfRule>
    <cfRule type="cellIs" dxfId="358" priority="275" operator="equal">
      <formula>"Annual"</formula>
    </cfRule>
    <cfRule type="cellIs" dxfId="357" priority="276" operator="equal">
      <formula>"Attended"</formula>
    </cfRule>
  </conditionalFormatting>
  <conditionalFormatting sqref="R64">
    <cfRule type="cellIs" dxfId="356" priority="265" operator="equal">
      <formula>"Off"</formula>
    </cfRule>
    <cfRule type="cellIs" dxfId="355" priority="266" operator="equal">
      <formula>"Emergency"</formula>
    </cfRule>
    <cfRule type="cellIs" dxfId="354" priority="267" operator="equal">
      <formula>"NCNS"</formula>
    </cfRule>
    <cfRule type="cellIs" dxfId="353" priority="268" operator="equal">
      <formula>"Sick"</formula>
    </cfRule>
    <cfRule type="cellIs" dxfId="352" priority="269" operator="equal">
      <formula>"Annual"</formula>
    </cfRule>
    <cfRule type="cellIs" dxfId="351" priority="270" operator="equal">
      <formula>"Attended"</formula>
    </cfRule>
  </conditionalFormatting>
  <conditionalFormatting sqref="R65">
    <cfRule type="cellIs" dxfId="350" priority="259" operator="equal">
      <formula>"Off"</formula>
    </cfRule>
    <cfRule type="cellIs" dxfId="349" priority="260" operator="equal">
      <formula>"Emergency"</formula>
    </cfRule>
    <cfRule type="cellIs" dxfId="348" priority="261" operator="equal">
      <formula>"NCNS"</formula>
    </cfRule>
    <cfRule type="cellIs" dxfId="347" priority="262" operator="equal">
      <formula>"Sick"</formula>
    </cfRule>
    <cfRule type="cellIs" dxfId="346" priority="263" operator="equal">
      <formula>"Annual"</formula>
    </cfRule>
    <cfRule type="cellIs" dxfId="345" priority="264" operator="equal">
      <formula>"Attended"</formula>
    </cfRule>
  </conditionalFormatting>
  <conditionalFormatting sqref="R66">
    <cfRule type="cellIs" dxfId="344" priority="253" operator="equal">
      <formula>"Off"</formula>
    </cfRule>
    <cfRule type="cellIs" dxfId="343" priority="254" operator="equal">
      <formula>"Emergency"</formula>
    </cfRule>
    <cfRule type="cellIs" dxfId="342" priority="255" operator="equal">
      <formula>"NCNS"</formula>
    </cfRule>
    <cfRule type="cellIs" dxfId="341" priority="256" operator="equal">
      <formula>"Sick"</formula>
    </cfRule>
    <cfRule type="cellIs" dxfId="340" priority="257" operator="equal">
      <formula>"Annual"</formula>
    </cfRule>
    <cfRule type="cellIs" dxfId="339" priority="258" operator="equal">
      <formula>"Attended"</formula>
    </cfRule>
  </conditionalFormatting>
  <conditionalFormatting sqref="R67">
    <cfRule type="cellIs" dxfId="338" priority="247" operator="equal">
      <formula>"Off"</formula>
    </cfRule>
    <cfRule type="cellIs" dxfId="337" priority="248" operator="equal">
      <formula>"Emergency"</formula>
    </cfRule>
    <cfRule type="cellIs" dxfId="336" priority="249" operator="equal">
      <formula>"NCNS"</formula>
    </cfRule>
    <cfRule type="cellIs" dxfId="335" priority="250" operator="equal">
      <formula>"Sick"</formula>
    </cfRule>
    <cfRule type="cellIs" dxfId="334" priority="251" operator="equal">
      <formula>"Annual"</formula>
    </cfRule>
    <cfRule type="cellIs" dxfId="333" priority="252" operator="equal">
      <formula>"Attended"</formula>
    </cfRule>
  </conditionalFormatting>
  <conditionalFormatting sqref="R68">
    <cfRule type="cellIs" dxfId="332" priority="241" operator="equal">
      <formula>"Off"</formula>
    </cfRule>
    <cfRule type="cellIs" dxfId="331" priority="242" operator="equal">
      <formula>"Emergency"</formula>
    </cfRule>
    <cfRule type="cellIs" dxfId="330" priority="243" operator="equal">
      <formula>"NCNS"</formula>
    </cfRule>
    <cfRule type="cellIs" dxfId="329" priority="244" operator="equal">
      <formula>"Sick"</formula>
    </cfRule>
    <cfRule type="cellIs" dxfId="328" priority="245" operator="equal">
      <formula>"Annual"</formula>
    </cfRule>
    <cfRule type="cellIs" dxfId="327" priority="246" operator="equal">
      <formula>"Attended"</formula>
    </cfRule>
  </conditionalFormatting>
  <conditionalFormatting sqref="R69:R79">
    <cfRule type="cellIs" dxfId="326" priority="235" operator="equal">
      <formula>"Off"</formula>
    </cfRule>
    <cfRule type="cellIs" dxfId="325" priority="236" operator="equal">
      <formula>"Emergency"</formula>
    </cfRule>
    <cfRule type="cellIs" dxfId="324" priority="237" operator="equal">
      <formula>"NCNS"</formula>
    </cfRule>
    <cfRule type="cellIs" dxfId="323" priority="238" operator="equal">
      <formula>"Sick"</formula>
    </cfRule>
    <cfRule type="cellIs" dxfId="322" priority="239" operator="equal">
      <formula>"Annual"</formula>
    </cfRule>
    <cfRule type="cellIs" dxfId="321" priority="240" operator="equal">
      <formula>"Attended"</formula>
    </cfRule>
  </conditionalFormatting>
  <conditionalFormatting sqref="R82">
    <cfRule type="cellIs" dxfId="320" priority="229" operator="equal">
      <formula>"Off"</formula>
    </cfRule>
    <cfRule type="cellIs" dxfId="319" priority="230" operator="equal">
      <formula>"Emergency"</formula>
    </cfRule>
    <cfRule type="cellIs" dxfId="318" priority="231" operator="equal">
      <formula>"NCNS"</formula>
    </cfRule>
    <cfRule type="cellIs" dxfId="317" priority="232" operator="equal">
      <formula>"Sick"</formula>
    </cfRule>
    <cfRule type="cellIs" dxfId="316" priority="233" operator="equal">
      <formula>"Annual"</formula>
    </cfRule>
    <cfRule type="cellIs" dxfId="315" priority="234" operator="equal">
      <formula>"Attended"</formula>
    </cfRule>
  </conditionalFormatting>
  <conditionalFormatting sqref="R87:S87">
    <cfRule type="cellIs" dxfId="314" priority="223" operator="equal">
      <formula>"Off"</formula>
    </cfRule>
    <cfRule type="cellIs" dxfId="313" priority="224" operator="equal">
      <formula>"Emergency"</formula>
    </cfRule>
    <cfRule type="cellIs" dxfId="312" priority="225" operator="equal">
      <formula>"NCNS"</formula>
    </cfRule>
    <cfRule type="cellIs" dxfId="311" priority="226" operator="equal">
      <formula>"Sick"</formula>
    </cfRule>
    <cfRule type="cellIs" dxfId="310" priority="227" operator="equal">
      <formula>"Annual"</formula>
    </cfRule>
    <cfRule type="cellIs" dxfId="309" priority="228" operator="equal">
      <formula>"Attended"</formula>
    </cfRule>
  </conditionalFormatting>
  <conditionalFormatting sqref="R85:S85">
    <cfRule type="cellIs" dxfId="308" priority="217" operator="equal">
      <formula>"Off"</formula>
    </cfRule>
    <cfRule type="cellIs" dxfId="307" priority="218" operator="equal">
      <formula>"Emergency"</formula>
    </cfRule>
    <cfRule type="cellIs" dxfId="306" priority="219" operator="equal">
      <formula>"NCNS"</formula>
    </cfRule>
    <cfRule type="cellIs" dxfId="305" priority="220" operator="equal">
      <formula>"Sick"</formula>
    </cfRule>
    <cfRule type="cellIs" dxfId="304" priority="221" operator="equal">
      <formula>"Annual"</formula>
    </cfRule>
    <cfRule type="cellIs" dxfId="303" priority="222" operator="equal">
      <formula>"Attended"</formula>
    </cfRule>
  </conditionalFormatting>
  <conditionalFormatting sqref="R84">
    <cfRule type="cellIs" dxfId="302" priority="211" operator="equal">
      <formula>"Off"</formula>
    </cfRule>
    <cfRule type="cellIs" dxfId="301" priority="212" operator="equal">
      <formula>"Emergency"</formula>
    </cfRule>
    <cfRule type="cellIs" dxfId="300" priority="213" operator="equal">
      <formula>"NCNS"</formula>
    </cfRule>
    <cfRule type="cellIs" dxfId="299" priority="214" operator="equal">
      <formula>"Sick"</formula>
    </cfRule>
    <cfRule type="cellIs" dxfId="298" priority="215" operator="equal">
      <formula>"Annual"</formula>
    </cfRule>
    <cfRule type="cellIs" dxfId="297" priority="216" operator="equal">
      <formula>"Attended"</formula>
    </cfRule>
  </conditionalFormatting>
  <conditionalFormatting sqref="R83">
    <cfRule type="cellIs" dxfId="296" priority="205" operator="equal">
      <formula>"Off"</formula>
    </cfRule>
    <cfRule type="cellIs" dxfId="295" priority="206" operator="equal">
      <formula>"Emergency"</formula>
    </cfRule>
    <cfRule type="cellIs" dxfId="294" priority="207" operator="equal">
      <formula>"NCNS"</formula>
    </cfRule>
    <cfRule type="cellIs" dxfId="293" priority="208" operator="equal">
      <formula>"Sick"</formula>
    </cfRule>
    <cfRule type="cellIs" dxfId="292" priority="209" operator="equal">
      <formula>"Annual"</formula>
    </cfRule>
    <cfRule type="cellIs" dxfId="291" priority="210" operator="equal">
      <formula>"Attended"</formula>
    </cfRule>
  </conditionalFormatting>
  <conditionalFormatting sqref="R81">
    <cfRule type="cellIs" dxfId="290" priority="199" operator="equal">
      <formula>"Off"</formula>
    </cfRule>
    <cfRule type="cellIs" dxfId="289" priority="200" operator="equal">
      <formula>"Emergency"</formula>
    </cfRule>
    <cfRule type="cellIs" dxfId="288" priority="201" operator="equal">
      <formula>"NCNS"</formula>
    </cfRule>
    <cfRule type="cellIs" dxfId="287" priority="202" operator="equal">
      <formula>"Sick"</formula>
    </cfRule>
    <cfRule type="cellIs" dxfId="286" priority="203" operator="equal">
      <formula>"Annual"</formula>
    </cfRule>
    <cfRule type="cellIs" dxfId="285" priority="204" operator="equal">
      <formula>"Attended"</formula>
    </cfRule>
  </conditionalFormatting>
  <conditionalFormatting sqref="R80">
    <cfRule type="cellIs" dxfId="284" priority="193" operator="equal">
      <formula>"Off"</formula>
    </cfRule>
    <cfRule type="cellIs" dxfId="283" priority="194" operator="equal">
      <formula>"Emergency"</formula>
    </cfRule>
    <cfRule type="cellIs" dxfId="282" priority="195" operator="equal">
      <formula>"NCNS"</formula>
    </cfRule>
    <cfRule type="cellIs" dxfId="281" priority="196" operator="equal">
      <formula>"Sick"</formula>
    </cfRule>
    <cfRule type="cellIs" dxfId="280" priority="197" operator="equal">
      <formula>"Annual"</formula>
    </cfRule>
    <cfRule type="cellIs" dxfId="279" priority="198" operator="equal">
      <formula>"Attended"</formula>
    </cfRule>
  </conditionalFormatting>
  <conditionalFormatting sqref="S89">
    <cfRule type="cellIs" dxfId="278" priority="187" operator="equal">
      <formula>"Off"</formula>
    </cfRule>
    <cfRule type="cellIs" dxfId="277" priority="188" operator="equal">
      <formula>"Emergency"</formula>
    </cfRule>
    <cfRule type="cellIs" dxfId="276" priority="189" operator="equal">
      <formula>"NCNS"</formula>
    </cfRule>
    <cfRule type="cellIs" dxfId="275" priority="190" operator="equal">
      <formula>"Sick"</formula>
    </cfRule>
    <cfRule type="cellIs" dxfId="274" priority="191" operator="equal">
      <formula>"Annual"</formula>
    </cfRule>
    <cfRule type="cellIs" dxfId="273" priority="192" operator="equal">
      <formula>"Attended"</formula>
    </cfRule>
  </conditionalFormatting>
  <conditionalFormatting sqref="S84">
    <cfRule type="cellIs" dxfId="272" priority="181" operator="equal">
      <formula>"Off"</formula>
    </cfRule>
    <cfRule type="cellIs" dxfId="271" priority="182" operator="equal">
      <formula>"Emergency"</formula>
    </cfRule>
    <cfRule type="cellIs" dxfId="270" priority="183" operator="equal">
      <formula>"NCNS"</formula>
    </cfRule>
    <cfRule type="cellIs" dxfId="269" priority="184" operator="equal">
      <formula>"Sick"</formula>
    </cfRule>
    <cfRule type="cellIs" dxfId="268" priority="185" operator="equal">
      <formula>"Annual"</formula>
    </cfRule>
    <cfRule type="cellIs" dxfId="267" priority="186" operator="equal">
      <formula>"Attended"</formula>
    </cfRule>
  </conditionalFormatting>
  <conditionalFormatting sqref="S82">
    <cfRule type="cellIs" dxfId="266" priority="175" operator="equal">
      <formula>"Off"</formula>
    </cfRule>
    <cfRule type="cellIs" dxfId="265" priority="176" operator="equal">
      <formula>"Emergency"</formula>
    </cfRule>
    <cfRule type="cellIs" dxfId="264" priority="177" operator="equal">
      <formula>"NCNS"</formula>
    </cfRule>
    <cfRule type="cellIs" dxfId="263" priority="178" operator="equal">
      <formula>"Sick"</formula>
    </cfRule>
    <cfRule type="cellIs" dxfId="262" priority="179" operator="equal">
      <formula>"Annual"</formula>
    </cfRule>
    <cfRule type="cellIs" dxfId="261" priority="180" operator="equal">
      <formula>"Attended"</formula>
    </cfRule>
  </conditionalFormatting>
  <conditionalFormatting sqref="S81:T81">
    <cfRule type="cellIs" dxfId="260" priority="169" operator="equal">
      <formula>"Off"</formula>
    </cfRule>
    <cfRule type="cellIs" dxfId="259" priority="170" operator="equal">
      <formula>"Emergency"</formula>
    </cfRule>
    <cfRule type="cellIs" dxfId="258" priority="171" operator="equal">
      <formula>"NCNS"</formula>
    </cfRule>
    <cfRule type="cellIs" dxfId="257" priority="172" operator="equal">
      <formula>"Sick"</formula>
    </cfRule>
    <cfRule type="cellIs" dxfId="256" priority="173" operator="equal">
      <formula>"Annual"</formula>
    </cfRule>
    <cfRule type="cellIs" dxfId="255" priority="174" operator="equal">
      <formula>"Attended"</formula>
    </cfRule>
  </conditionalFormatting>
  <conditionalFormatting sqref="S83">
    <cfRule type="cellIs" dxfId="254" priority="157" operator="equal">
      <formula>"Off"</formula>
    </cfRule>
    <cfRule type="cellIs" dxfId="253" priority="158" operator="equal">
      <formula>"Emergency"</formula>
    </cfRule>
    <cfRule type="cellIs" dxfId="252" priority="159" operator="equal">
      <formula>"NCNS"</formula>
    </cfRule>
    <cfRule type="cellIs" dxfId="251" priority="160" operator="equal">
      <formula>"Sick"</formula>
    </cfRule>
    <cfRule type="cellIs" dxfId="250" priority="161" operator="equal">
      <formula>"Annual"</formula>
    </cfRule>
    <cfRule type="cellIs" dxfId="249" priority="162" operator="equal">
      <formula>"Attended"</formula>
    </cfRule>
  </conditionalFormatting>
  <conditionalFormatting sqref="S74">
    <cfRule type="cellIs" dxfId="248" priority="151" operator="equal">
      <formula>"Off"</formula>
    </cfRule>
    <cfRule type="cellIs" dxfId="247" priority="152" operator="equal">
      <formula>"Emergency"</formula>
    </cfRule>
    <cfRule type="cellIs" dxfId="246" priority="153" operator="equal">
      <formula>"NCNS"</formula>
    </cfRule>
    <cfRule type="cellIs" dxfId="245" priority="154" operator="equal">
      <formula>"Sick"</formula>
    </cfRule>
    <cfRule type="cellIs" dxfId="244" priority="155" operator="equal">
      <formula>"Annual"</formula>
    </cfRule>
    <cfRule type="cellIs" dxfId="243" priority="156" operator="equal">
      <formula>"Attended"</formula>
    </cfRule>
  </conditionalFormatting>
  <conditionalFormatting sqref="S73">
    <cfRule type="cellIs" dxfId="242" priority="145" operator="equal">
      <formula>"Off"</formula>
    </cfRule>
    <cfRule type="cellIs" dxfId="241" priority="146" operator="equal">
      <formula>"Emergency"</formula>
    </cfRule>
    <cfRule type="cellIs" dxfId="240" priority="147" operator="equal">
      <formula>"NCNS"</formula>
    </cfRule>
    <cfRule type="cellIs" dxfId="239" priority="148" operator="equal">
      <formula>"Sick"</formula>
    </cfRule>
    <cfRule type="cellIs" dxfId="238" priority="149" operator="equal">
      <formula>"Annual"</formula>
    </cfRule>
    <cfRule type="cellIs" dxfId="237" priority="150" operator="equal">
      <formula>"Attended"</formula>
    </cfRule>
  </conditionalFormatting>
  <conditionalFormatting sqref="S79:S80">
    <cfRule type="cellIs" dxfId="236" priority="139" operator="equal">
      <formula>"Off"</formula>
    </cfRule>
    <cfRule type="cellIs" dxfId="235" priority="140" operator="equal">
      <formula>"Emergency"</formula>
    </cfRule>
    <cfRule type="cellIs" dxfId="234" priority="141" operator="equal">
      <formula>"NCNS"</formula>
    </cfRule>
    <cfRule type="cellIs" dxfId="233" priority="142" operator="equal">
      <formula>"Sick"</formula>
    </cfRule>
    <cfRule type="cellIs" dxfId="232" priority="143" operator="equal">
      <formula>"Annual"</formula>
    </cfRule>
    <cfRule type="cellIs" dxfId="231" priority="144" operator="equal">
      <formula>"Attended"</formula>
    </cfRule>
  </conditionalFormatting>
  <conditionalFormatting sqref="S78">
    <cfRule type="cellIs" dxfId="230" priority="133" operator="equal">
      <formula>"Off"</formula>
    </cfRule>
    <cfRule type="cellIs" dxfId="229" priority="134" operator="equal">
      <formula>"Emergency"</formula>
    </cfRule>
    <cfRule type="cellIs" dxfId="228" priority="135" operator="equal">
      <formula>"NCNS"</formula>
    </cfRule>
    <cfRule type="cellIs" dxfId="227" priority="136" operator="equal">
      <formula>"Sick"</formula>
    </cfRule>
    <cfRule type="cellIs" dxfId="226" priority="137" operator="equal">
      <formula>"Annual"</formula>
    </cfRule>
    <cfRule type="cellIs" dxfId="225" priority="138" operator="equal">
      <formula>"Attended"</formula>
    </cfRule>
  </conditionalFormatting>
  <conditionalFormatting sqref="S76">
    <cfRule type="cellIs" dxfId="224" priority="127" operator="equal">
      <formula>"Off"</formula>
    </cfRule>
    <cfRule type="cellIs" dxfId="223" priority="128" operator="equal">
      <formula>"Emergency"</formula>
    </cfRule>
    <cfRule type="cellIs" dxfId="222" priority="129" operator="equal">
      <formula>"NCNS"</formula>
    </cfRule>
    <cfRule type="cellIs" dxfId="221" priority="130" operator="equal">
      <formula>"Sick"</formula>
    </cfRule>
    <cfRule type="cellIs" dxfId="220" priority="131" operator="equal">
      <formula>"Annual"</formula>
    </cfRule>
    <cfRule type="cellIs" dxfId="219" priority="132" operator="equal">
      <formula>"Attended"</formula>
    </cfRule>
  </conditionalFormatting>
  <conditionalFormatting sqref="S77">
    <cfRule type="cellIs" dxfId="218" priority="121" operator="equal">
      <formula>"Off"</formula>
    </cfRule>
    <cfRule type="cellIs" dxfId="217" priority="122" operator="equal">
      <formula>"Emergency"</formula>
    </cfRule>
    <cfRule type="cellIs" dxfId="216" priority="123" operator="equal">
      <formula>"NCNS"</formula>
    </cfRule>
    <cfRule type="cellIs" dxfId="215" priority="124" operator="equal">
      <formula>"Sick"</formula>
    </cfRule>
    <cfRule type="cellIs" dxfId="214" priority="125" operator="equal">
      <formula>"Annual"</formula>
    </cfRule>
    <cfRule type="cellIs" dxfId="213" priority="126" operator="equal">
      <formula>"Attended"</formula>
    </cfRule>
  </conditionalFormatting>
  <conditionalFormatting sqref="F91:F93 F95:F107">
    <cfRule type="cellIs" dxfId="212" priority="115" operator="equal">
      <formula>"Off"</formula>
    </cfRule>
    <cfRule type="cellIs" dxfId="211" priority="116" operator="equal">
      <formula>"Emergency"</formula>
    </cfRule>
    <cfRule type="cellIs" dxfId="210" priority="117" operator="equal">
      <formula>"NCNS"</formula>
    </cfRule>
    <cfRule type="cellIs" dxfId="209" priority="118" operator="equal">
      <formula>"Sick"</formula>
    </cfRule>
    <cfRule type="cellIs" dxfId="208" priority="119" operator="equal">
      <formula>"Annual"</formula>
    </cfRule>
    <cfRule type="cellIs" dxfId="207" priority="120" operator="equal">
      <formula>"Attended"</formula>
    </cfRule>
  </conditionalFormatting>
  <conditionalFormatting sqref="T100:AJ101 U99:AJ99 T103:AJ103 U102:AJ102 U104:AJ104 T97:AJ98 U90:AJ96">
    <cfRule type="cellIs" dxfId="206" priority="109" operator="equal">
      <formula>"Off"</formula>
    </cfRule>
    <cfRule type="cellIs" dxfId="205" priority="110" operator="equal">
      <formula>"Emergency"</formula>
    </cfRule>
    <cfRule type="cellIs" dxfId="204" priority="111" operator="equal">
      <formula>"NCNS"</formula>
    </cfRule>
    <cfRule type="cellIs" dxfId="203" priority="112" operator="equal">
      <formula>"Sick"</formula>
    </cfRule>
    <cfRule type="cellIs" dxfId="202" priority="113" operator="equal">
      <formula>"Annual"</formula>
    </cfRule>
    <cfRule type="cellIs" dxfId="201" priority="114" operator="equal">
      <formula>"Attended"</formula>
    </cfRule>
  </conditionalFormatting>
  <conditionalFormatting sqref="T82:T83">
    <cfRule type="cellIs" dxfId="200" priority="103" operator="equal">
      <formula>"Off"</formula>
    </cfRule>
    <cfRule type="cellIs" dxfId="199" priority="104" operator="equal">
      <formula>"Emergency"</formula>
    </cfRule>
    <cfRule type="cellIs" dxfId="198" priority="105" operator="equal">
      <formula>"NCNS"</formula>
    </cfRule>
    <cfRule type="cellIs" dxfId="197" priority="106" operator="equal">
      <formula>"Sick"</formula>
    </cfRule>
    <cfRule type="cellIs" dxfId="196" priority="107" operator="equal">
      <formula>"Annual"</formula>
    </cfRule>
    <cfRule type="cellIs" dxfId="195" priority="108" operator="equal">
      <formula>"Attended"</formula>
    </cfRule>
  </conditionalFormatting>
  <conditionalFormatting sqref="T85">
    <cfRule type="cellIs" dxfId="194" priority="97" operator="equal">
      <formula>"Off"</formula>
    </cfRule>
    <cfRule type="cellIs" dxfId="193" priority="98" operator="equal">
      <formula>"Emergency"</formula>
    </cfRule>
    <cfRule type="cellIs" dxfId="192" priority="99" operator="equal">
      <formula>"NCNS"</formula>
    </cfRule>
    <cfRule type="cellIs" dxfId="191" priority="100" operator="equal">
      <formula>"Sick"</formula>
    </cfRule>
    <cfRule type="cellIs" dxfId="190" priority="101" operator="equal">
      <formula>"Annual"</formula>
    </cfRule>
    <cfRule type="cellIs" dxfId="189" priority="102" operator="equal">
      <formula>"Attended"</formula>
    </cfRule>
  </conditionalFormatting>
  <conditionalFormatting sqref="T87">
    <cfRule type="cellIs" dxfId="188" priority="91" operator="equal">
      <formula>"Off"</formula>
    </cfRule>
    <cfRule type="cellIs" dxfId="187" priority="92" operator="equal">
      <formula>"Emergency"</formula>
    </cfRule>
    <cfRule type="cellIs" dxfId="186" priority="93" operator="equal">
      <formula>"NCNS"</formula>
    </cfRule>
    <cfRule type="cellIs" dxfId="185" priority="94" operator="equal">
      <formula>"Sick"</formula>
    </cfRule>
    <cfRule type="cellIs" dxfId="184" priority="95" operator="equal">
      <formula>"Annual"</formula>
    </cfRule>
    <cfRule type="cellIs" dxfId="183" priority="96" operator="equal">
      <formula>"Attended"</formula>
    </cfRule>
  </conditionalFormatting>
  <conditionalFormatting sqref="T77:T79">
    <cfRule type="cellIs" dxfId="182" priority="79" operator="equal">
      <formula>"Off"</formula>
    </cfRule>
    <cfRule type="cellIs" dxfId="181" priority="80" operator="equal">
      <formula>"Emergency"</formula>
    </cfRule>
    <cfRule type="cellIs" dxfId="180" priority="81" operator="equal">
      <formula>"NCNS"</formula>
    </cfRule>
    <cfRule type="cellIs" dxfId="179" priority="82" operator="equal">
      <formula>"Sick"</formula>
    </cfRule>
    <cfRule type="cellIs" dxfId="178" priority="83" operator="equal">
      <formula>"Annual"</formula>
    </cfRule>
    <cfRule type="cellIs" dxfId="177" priority="84" operator="equal">
      <formula>"Attended"</formula>
    </cfRule>
  </conditionalFormatting>
  <conditionalFormatting sqref="T58">
    <cfRule type="cellIs" dxfId="176" priority="73" operator="equal">
      <formula>"Off"</formula>
    </cfRule>
    <cfRule type="cellIs" dxfId="175" priority="74" operator="equal">
      <formula>"Emergency"</formula>
    </cfRule>
    <cfRule type="cellIs" dxfId="174" priority="75" operator="equal">
      <formula>"NCNS"</formula>
    </cfRule>
    <cfRule type="cellIs" dxfId="173" priority="76" operator="equal">
      <formula>"Sick"</formula>
    </cfRule>
    <cfRule type="cellIs" dxfId="172" priority="77" operator="equal">
      <formula>"Annual"</formula>
    </cfRule>
    <cfRule type="cellIs" dxfId="171" priority="78" operator="equal">
      <formula>"Attended"</formula>
    </cfRule>
  </conditionalFormatting>
  <conditionalFormatting sqref="T80">
    <cfRule type="cellIs" dxfId="170" priority="67" operator="equal">
      <formula>"Off"</formula>
    </cfRule>
    <cfRule type="cellIs" dxfId="169" priority="68" operator="equal">
      <formula>"Emergency"</formula>
    </cfRule>
    <cfRule type="cellIs" dxfId="168" priority="69" operator="equal">
      <formula>"NCNS"</formula>
    </cfRule>
    <cfRule type="cellIs" dxfId="167" priority="70" operator="equal">
      <formula>"Sick"</formula>
    </cfRule>
    <cfRule type="cellIs" dxfId="166" priority="71" operator="equal">
      <formula>"Annual"</formula>
    </cfRule>
    <cfRule type="cellIs" dxfId="165" priority="72" operator="equal">
      <formula>"Attended"</formula>
    </cfRule>
  </conditionalFormatting>
  <conditionalFormatting sqref="T51">
    <cfRule type="cellIs" dxfId="164" priority="61" operator="equal">
      <formula>"Off"</formula>
    </cfRule>
    <cfRule type="cellIs" dxfId="163" priority="62" operator="equal">
      <formula>"Emergency"</formula>
    </cfRule>
    <cfRule type="cellIs" dxfId="162" priority="63" operator="equal">
      <formula>"NCNS"</formula>
    </cfRule>
    <cfRule type="cellIs" dxfId="161" priority="64" operator="equal">
      <formula>"Sick"</formula>
    </cfRule>
    <cfRule type="cellIs" dxfId="160" priority="65" operator="equal">
      <formula>"Annual"</formula>
    </cfRule>
    <cfRule type="cellIs" dxfId="159" priority="66" operator="equal">
      <formula>"Attended"</formula>
    </cfRule>
  </conditionalFormatting>
  <conditionalFormatting sqref="T89">
    <cfRule type="cellIs" dxfId="158" priority="55" operator="equal">
      <formula>"Off"</formula>
    </cfRule>
    <cfRule type="cellIs" dxfId="157" priority="56" operator="equal">
      <formula>"Emergency"</formula>
    </cfRule>
    <cfRule type="cellIs" dxfId="156" priority="57" operator="equal">
      <formula>"NCNS"</formula>
    </cfRule>
    <cfRule type="cellIs" dxfId="155" priority="58" operator="equal">
      <formula>"Sick"</formula>
    </cfRule>
    <cfRule type="cellIs" dxfId="154" priority="59" operator="equal">
      <formula>"Annual"</formula>
    </cfRule>
    <cfRule type="cellIs" dxfId="153" priority="60" operator="equal">
      <formula>"Attended"</formula>
    </cfRule>
  </conditionalFormatting>
  <conditionalFormatting sqref="T90">
    <cfRule type="cellIs" dxfId="152" priority="49" operator="equal">
      <formula>"Off"</formula>
    </cfRule>
    <cfRule type="cellIs" dxfId="151" priority="50" operator="equal">
      <formula>"Emergency"</formula>
    </cfRule>
    <cfRule type="cellIs" dxfId="150" priority="51" operator="equal">
      <formula>"NCNS"</formula>
    </cfRule>
    <cfRule type="cellIs" dxfId="149" priority="52" operator="equal">
      <formula>"Sick"</formula>
    </cfRule>
    <cfRule type="cellIs" dxfId="148" priority="53" operator="equal">
      <formula>"Annual"</formula>
    </cfRule>
    <cfRule type="cellIs" dxfId="147" priority="54" operator="equal">
      <formula>"Attended"</formula>
    </cfRule>
  </conditionalFormatting>
  <conditionalFormatting sqref="T91">
    <cfRule type="cellIs" dxfId="146" priority="43" operator="equal">
      <formula>"Off"</formula>
    </cfRule>
    <cfRule type="cellIs" dxfId="145" priority="44" operator="equal">
      <formula>"Emergency"</formula>
    </cfRule>
    <cfRule type="cellIs" dxfId="144" priority="45" operator="equal">
      <formula>"NCNS"</formula>
    </cfRule>
    <cfRule type="cellIs" dxfId="143" priority="46" operator="equal">
      <formula>"Sick"</formula>
    </cfRule>
    <cfRule type="cellIs" dxfId="142" priority="47" operator="equal">
      <formula>"Annual"</formula>
    </cfRule>
    <cfRule type="cellIs" dxfId="141" priority="48" operator="equal">
      <formula>"Attended"</formula>
    </cfRule>
  </conditionalFormatting>
  <conditionalFormatting sqref="T92">
    <cfRule type="cellIs" dxfId="140" priority="37" operator="equal">
      <formula>"Off"</formula>
    </cfRule>
    <cfRule type="cellIs" dxfId="139" priority="38" operator="equal">
      <formula>"Emergency"</formula>
    </cfRule>
    <cfRule type="cellIs" dxfId="138" priority="39" operator="equal">
      <formula>"NCNS"</formula>
    </cfRule>
    <cfRule type="cellIs" dxfId="137" priority="40" operator="equal">
      <formula>"Sick"</formula>
    </cfRule>
    <cfRule type="cellIs" dxfId="136" priority="41" operator="equal">
      <formula>"Annual"</formula>
    </cfRule>
    <cfRule type="cellIs" dxfId="135" priority="42" operator="equal">
      <formula>"Attended"</formula>
    </cfRule>
  </conditionalFormatting>
  <conditionalFormatting sqref="T94">
    <cfRule type="cellIs" dxfId="134" priority="31" operator="equal">
      <formula>"Off"</formula>
    </cfRule>
    <cfRule type="cellIs" dxfId="133" priority="32" operator="equal">
      <formula>"Emergency"</formula>
    </cfRule>
    <cfRule type="cellIs" dxfId="132" priority="33" operator="equal">
      <formula>"NCNS"</formula>
    </cfRule>
    <cfRule type="cellIs" dxfId="131" priority="34" operator="equal">
      <formula>"Sick"</formula>
    </cfRule>
    <cfRule type="cellIs" dxfId="130" priority="35" operator="equal">
      <formula>"Annual"</formula>
    </cfRule>
    <cfRule type="cellIs" dxfId="129" priority="36" operator="equal">
      <formula>"Attended"</formula>
    </cfRule>
  </conditionalFormatting>
  <conditionalFormatting sqref="T95">
    <cfRule type="cellIs" dxfId="128" priority="25" operator="equal">
      <formula>"Off"</formula>
    </cfRule>
    <cfRule type="cellIs" dxfId="127" priority="26" operator="equal">
      <formula>"Emergency"</formula>
    </cfRule>
    <cfRule type="cellIs" dxfId="126" priority="27" operator="equal">
      <formula>"NCNS"</formula>
    </cfRule>
    <cfRule type="cellIs" dxfId="125" priority="28" operator="equal">
      <formula>"Sick"</formula>
    </cfRule>
    <cfRule type="cellIs" dxfId="124" priority="29" operator="equal">
      <formula>"Annual"</formula>
    </cfRule>
    <cfRule type="cellIs" dxfId="123" priority="30" operator="equal">
      <formula>"Attended"</formula>
    </cfRule>
  </conditionalFormatting>
  <conditionalFormatting sqref="T99">
    <cfRule type="cellIs" dxfId="122" priority="19" operator="equal">
      <formula>"Off"</formula>
    </cfRule>
    <cfRule type="cellIs" dxfId="121" priority="20" operator="equal">
      <formula>"Emergency"</formula>
    </cfRule>
    <cfRule type="cellIs" dxfId="120" priority="21" operator="equal">
      <formula>"NCNS"</formula>
    </cfRule>
    <cfRule type="cellIs" dxfId="119" priority="22" operator="equal">
      <formula>"Sick"</formula>
    </cfRule>
    <cfRule type="cellIs" dxfId="118" priority="23" operator="equal">
      <formula>"Annual"</formula>
    </cfRule>
    <cfRule type="cellIs" dxfId="117" priority="24" operator="equal">
      <formula>"Attended"</formula>
    </cfRule>
  </conditionalFormatting>
  <conditionalFormatting sqref="T102">
    <cfRule type="cellIs" dxfId="116" priority="13" operator="equal">
      <formula>"Off"</formula>
    </cfRule>
    <cfRule type="cellIs" dxfId="115" priority="14" operator="equal">
      <formula>"Emergency"</formula>
    </cfRule>
    <cfRule type="cellIs" dxfId="114" priority="15" operator="equal">
      <formula>"NCNS"</formula>
    </cfRule>
    <cfRule type="cellIs" dxfId="113" priority="16" operator="equal">
      <formula>"Sick"</formula>
    </cfRule>
    <cfRule type="cellIs" dxfId="112" priority="17" operator="equal">
      <formula>"Annual"</formula>
    </cfRule>
    <cfRule type="cellIs" dxfId="111" priority="18" operator="equal">
      <formula>"Attended"</formula>
    </cfRule>
  </conditionalFormatting>
  <conditionalFormatting sqref="T104">
    <cfRule type="cellIs" dxfId="110" priority="7" operator="equal">
      <formula>"Off"</formula>
    </cfRule>
    <cfRule type="cellIs" dxfId="109" priority="8" operator="equal">
      <formula>"Emergency"</formula>
    </cfRule>
    <cfRule type="cellIs" dxfId="108" priority="9" operator="equal">
      <formula>"NCNS"</formula>
    </cfRule>
    <cfRule type="cellIs" dxfId="107" priority="10" operator="equal">
      <formula>"Sick"</formula>
    </cfRule>
    <cfRule type="cellIs" dxfId="106" priority="11" operator="equal">
      <formula>"Annual"</formula>
    </cfRule>
    <cfRule type="cellIs" dxfId="105" priority="12" operator="equal">
      <formula>"Attended"</formula>
    </cfRule>
  </conditionalFormatting>
  <conditionalFormatting sqref="U105:AJ107">
    <cfRule type="cellIs" dxfId="104" priority="1" operator="equal">
      <formula>"Off"</formula>
    </cfRule>
    <cfRule type="cellIs" dxfId="103" priority="2" operator="equal">
      <formula>"Emergency"</formula>
    </cfRule>
    <cfRule type="cellIs" dxfId="102" priority="3" operator="equal">
      <formula>"NCNS"</formula>
    </cfRule>
    <cfRule type="cellIs" dxfId="101" priority="4" operator="equal">
      <formula>"Sick"</formula>
    </cfRule>
    <cfRule type="cellIs" dxfId="100" priority="5" operator="equal">
      <formula>"Annual"</formula>
    </cfRule>
    <cfRule type="cellIs" dxfId="99" priority="6" operator="equal">
      <formula>"Attended"</formula>
    </cfRule>
  </conditionalFormatting>
  <hyperlinks>
    <hyperlink ref="D5" r:id="rId1" xr:uid="{2D235FCF-D5C8-4DB7-8831-2B700F3B7F10}"/>
    <hyperlink ref="D3" r:id="rId2" xr:uid="{C35C4CAD-B45F-44EF-BA70-5B63DC65E699}"/>
    <hyperlink ref="D4" r:id="rId3" xr:uid="{150837F6-AE0E-43BD-8CA1-CEDDD941A43C}"/>
    <hyperlink ref="D6" r:id="rId4" xr:uid="{38B29014-4419-4247-984D-071EA8F2099C}"/>
    <hyperlink ref="D7" r:id="rId5" xr:uid="{01656F8C-7F23-432D-9A56-E3C6EE0635C3}"/>
    <hyperlink ref="D37" r:id="rId6" xr:uid="{68027D84-6271-4745-87F2-CFEDAF575179}"/>
    <hyperlink ref="D8" r:id="rId7" xr:uid="{8CD85723-3F81-473E-A64D-661029406698}"/>
    <hyperlink ref="D9" r:id="rId8" xr:uid="{C0239788-1968-4476-9A90-3C6D110FB89D}"/>
    <hyperlink ref="D10" r:id="rId9" xr:uid="{E7450473-C268-4F93-80CB-AA6EF43BD277}"/>
    <hyperlink ref="D11" r:id="rId10" xr:uid="{5E3F530E-8231-42A7-9397-895694F898A9}"/>
    <hyperlink ref="D16" r:id="rId11" xr:uid="{8CA9884E-4FD7-4781-9A7E-14D15EC7BA68}"/>
    <hyperlink ref="D14" r:id="rId12" xr:uid="{1AB0FE0F-22F9-4D22-9A4C-588B34C46778}"/>
    <hyperlink ref="A16" r:id="rId13" display="alaa.madkour@capgemini.com" xr:uid="{CD621190-2380-42D8-BAC0-46CA2C586B1F}"/>
    <hyperlink ref="A14" r:id="rId14" display="mohamed.abdelgawad@capgemini.com" xr:uid="{89BA39BE-1FF4-4BE5-960A-2D71E14E6BB8}"/>
    <hyperlink ref="D17" r:id="rId15" xr:uid="{78A10FCE-CC8C-4D65-82EF-9C26DEC2A58A}"/>
    <hyperlink ref="D19" r:id="rId16" xr:uid="{DA60F6E8-3A8F-439F-89A4-BFA2B42655A8}"/>
    <hyperlink ref="D20" r:id="rId17" xr:uid="{1E4C9772-1C89-4F0A-8367-6CAB4F2ACD5F}"/>
    <hyperlink ref="D23" r:id="rId18" xr:uid="{F79097F1-FECF-4CFC-B5AD-38219CBFC570}"/>
    <hyperlink ref="D25" r:id="rId19" xr:uid="{77C396AA-E602-4F06-8C27-B667E3578981}"/>
    <hyperlink ref="D26" r:id="rId20" xr:uid="{BF46EE57-215C-4D21-8DF3-955ACA215419}"/>
    <hyperlink ref="D28" r:id="rId21" xr:uid="{2D2C4EA9-5828-482F-8DC7-2030DD6C870D}"/>
    <hyperlink ref="D22" r:id="rId22" xr:uid="{C6B29B18-D318-4F2C-944B-356CF0FDEFD3}"/>
    <hyperlink ref="D29" r:id="rId23" xr:uid="{C8E22837-F1FA-45A7-A358-CA7E5FB59BAB}"/>
    <hyperlink ref="D27" r:id="rId24" xr:uid="{F034C3A7-0738-4DAC-9A40-6E1840319175}"/>
    <hyperlink ref="D18" r:id="rId25" xr:uid="{4522FCA6-65F4-4261-B5C9-B13B99CF62C3}"/>
    <hyperlink ref="D24" r:id="rId26" xr:uid="{8B6C38B3-CC1C-4301-992F-9C966852540A}"/>
    <hyperlink ref="D21" r:id="rId27" xr:uid="{EBEE041D-B4A5-4520-BFDC-E6A5DD100C50}"/>
    <hyperlink ref="D44" r:id="rId28" xr:uid="{CD397499-F8E7-467A-A74E-911BD36C6F12}"/>
    <hyperlink ref="D42" r:id="rId29" xr:uid="{552DEA85-28F8-4243-8F09-5DB01D6FA673}"/>
    <hyperlink ref="D43" r:id="rId30" xr:uid="{6D442D77-B63F-4EB8-9A8D-F8FAD3B27CE7}"/>
    <hyperlink ref="D45" r:id="rId31" xr:uid="{9E44BD3B-688D-4555-80AF-9DD760504857}"/>
    <hyperlink ref="D46" r:id="rId32" xr:uid="{80EE94E3-3A1A-4510-92B4-80958517BF68}"/>
    <hyperlink ref="D47" r:id="rId33" xr:uid="{45DD6A7F-43FA-4F9C-A7BE-78E881831DCC}"/>
    <hyperlink ref="D48" r:id="rId34" xr:uid="{613CB086-64B4-4E24-A367-9CF24CA93CAE}"/>
    <hyperlink ref="D49" r:id="rId35" xr:uid="{89E1611A-CD20-4F16-896C-6BBC5597A7B3}"/>
    <hyperlink ref="D50" r:id="rId36" xr:uid="{88C79862-B02C-4E9B-9E6C-5DC24396E204}"/>
    <hyperlink ref="D55" r:id="rId37" xr:uid="{E28C453D-2408-434C-9365-256007C72B43}"/>
    <hyperlink ref="D53" r:id="rId38" xr:uid="{9561F027-2A85-4269-9896-24B2E4F38805}"/>
    <hyperlink ref="A55" r:id="rId39" display="alaa.madkour@capgemini.com" xr:uid="{F2A3DB05-FF2D-4B0B-97EE-3A3354DB273B}"/>
    <hyperlink ref="A53" r:id="rId40" display="mohamed.abdelgawad@capgemini.com" xr:uid="{43E276DB-1EB4-4847-817D-EF98C3BFDC9A}"/>
    <hyperlink ref="D56" r:id="rId41" xr:uid="{5C1957D0-903D-4A00-8674-5BDBD8ED692B}"/>
    <hyperlink ref="D58" r:id="rId42" xr:uid="{3988E2F7-9C92-4BB2-AB44-2B50ABC423BF}"/>
    <hyperlink ref="D59" r:id="rId43" xr:uid="{290B0F4E-F387-40F8-B298-4653036DD7F8}"/>
    <hyperlink ref="D62" r:id="rId44" xr:uid="{A2EEDB41-7D4F-4BD3-807F-3C5AB7E61620}"/>
    <hyperlink ref="D64" r:id="rId45" xr:uid="{12D433B0-6E71-4253-86FF-0D75F09E7C56}"/>
    <hyperlink ref="D65" r:id="rId46" xr:uid="{C2456275-7895-4519-A754-0C563EA11405}"/>
    <hyperlink ref="D67" r:id="rId47" xr:uid="{34F06E87-DEF4-4F12-877C-A305E8685566}"/>
    <hyperlink ref="D61" r:id="rId48" xr:uid="{B8D1DFD0-E31C-420A-AE49-A9B47796528F}"/>
    <hyperlink ref="D68" r:id="rId49" xr:uid="{8A760174-54CA-42C0-8CE1-5789CDFF3FB1}"/>
    <hyperlink ref="D66" r:id="rId50" xr:uid="{E3FC4AB5-D221-461E-8DCD-C6413B950A70}"/>
    <hyperlink ref="D57" r:id="rId51" xr:uid="{1FFE679B-36E4-43C9-A5BC-A352256D34E6}"/>
    <hyperlink ref="D63" r:id="rId52" xr:uid="{F0CAEEE9-4F9C-4ABF-B62D-2D03F81A33AF}"/>
    <hyperlink ref="D60" r:id="rId53" xr:uid="{1EF6E5AC-DF2F-4F87-968C-BB05B778476A}"/>
    <hyperlink ref="D35" r:id="rId54" xr:uid="{E6B43DAB-C719-4C08-A659-1F9D61B2D966}"/>
    <hyperlink ref="D31" r:id="rId55" xr:uid="{2F32347C-0840-42CE-8983-2E2D7ED54665}"/>
    <hyperlink ref="D33" r:id="rId56" xr:uid="{DEEE8C69-1D45-4151-B44E-5AFB8AAD8F05}"/>
    <hyperlink ref="D30" r:id="rId57" xr:uid="{9E2BA8D6-257D-43AE-ADB1-329597B51966}"/>
    <hyperlink ref="D36" r:id="rId58" xr:uid="{F083DFA4-221B-45B4-89B9-C75ED40E132A}"/>
    <hyperlink ref="D32" r:id="rId59" xr:uid="{984F1F0A-A73B-42C0-8B1C-AD757B37E1E6}"/>
    <hyperlink ref="D76" r:id="rId60" xr:uid="{782E8849-9A03-408E-B531-E33CCBE472A4}"/>
    <hyperlink ref="D74" r:id="rId61" xr:uid="{FC6E6B67-B784-4253-B500-A9A04328DA7B}"/>
    <hyperlink ref="D70" r:id="rId62" xr:uid="{01CC16C7-A5D3-4B65-B54B-136BE1BE0A84}"/>
    <hyperlink ref="D72" r:id="rId63" xr:uid="{7613727E-2B97-4E8E-B9AD-9284EDC31CE3}"/>
    <hyperlink ref="D69" r:id="rId64" xr:uid="{8714C6AF-D915-49D7-8C5A-7E8AD793DCF5}"/>
    <hyperlink ref="D75" r:id="rId65" xr:uid="{8861D9E7-6912-4BAA-AD31-9E67FAF3B685}"/>
    <hyperlink ref="D71" r:id="rId66" xr:uid="{312C768B-3B6D-41EC-96CF-CF9C1999C47D}"/>
    <hyperlink ref="D73" r:id="rId67" xr:uid="{0C2F6FDE-E531-48F5-857F-E745C5AD5500}"/>
    <hyperlink ref="D78" r:id="rId68" xr:uid="{DD9AF607-7180-4D02-AE05-129645B744A0}"/>
    <hyperlink ref="D79" r:id="rId69" xr:uid="{43B28973-CFD6-4960-A517-9F793C1B7533}"/>
    <hyperlink ref="D77" r:id="rId70" xr:uid="{A0723C19-13A0-4353-B9AF-083457EBC2A2}"/>
    <hyperlink ref="D80" r:id="rId71" xr:uid="{7F79211B-63C1-4327-8BC0-EA2FFA3D4D6C}"/>
    <hyperlink ref="D82" r:id="rId72" xr:uid="{936EB0CE-D28C-42A3-BA0B-2DFB4F231772}"/>
    <hyperlink ref="D83" r:id="rId73" xr:uid="{13B5FF76-97BE-4A6D-AE36-F2209EB1EB41}"/>
    <hyperlink ref="D84" r:id="rId74" xr:uid="{6F540B4E-9966-49FE-B33F-6F499A998202}"/>
    <hyperlink ref="D85" r:id="rId75" xr:uid="{D390BCA3-FCC4-43D0-9072-7C5E1867C7BA}"/>
    <hyperlink ref="D86" r:id="rId76" xr:uid="{5117490A-E159-46CA-9FDF-AF8C5AE68DAD}"/>
    <hyperlink ref="D87" r:id="rId77" xr:uid="{A01657EF-BF67-47C8-94CA-08713CCB629B}"/>
    <hyperlink ref="D88" r:id="rId78" xr:uid="{0CC087E4-2E57-4EF7-A070-BE01542BAB04}"/>
    <hyperlink ref="D81" r:id="rId79" xr:uid="{D3FD00E1-E1DC-46D7-89B2-38E456DA3D6A}"/>
    <hyperlink ref="D89" r:id="rId80" xr:uid="{BDBC09F5-5F57-41DD-85A0-05EE2955AF5F}"/>
  </hyperlinks>
  <pageMargins left="0.7" right="0.7" top="0.75" bottom="0.75" header="0.3" footer="0.3"/>
  <legacyDrawing r:id="rId8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2D03-A050-4F3A-BC0F-5BAD05189EF4}">
  <dimension ref="A1:L68"/>
  <sheetViews>
    <sheetView workbookViewId="0">
      <pane xSplit="1" topLeftCell="F51" activePane="topRight" state="frozen"/>
      <selection pane="topRight" activeCell="A66" sqref="A66:F68"/>
    </sheetView>
  </sheetViews>
  <sheetFormatPr defaultRowHeight="14.45"/>
  <cols>
    <col min="1" max="1" width="22.7109375" bestFit="1" customWidth="1"/>
    <col min="2" max="2" width="17.85546875" customWidth="1"/>
    <col min="3" max="3" width="19.28515625" customWidth="1"/>
    <col min="4" max="4" width="47.28515625" bestFit="1" customWidth="1"/>
    <col min="5" max="5" width="15" customWidth="1"/>
    <col min="6" max="6" width="27.5703125" bestFit="1" customWidth="1"/>
    <col min="7" max="7" width="14" customWidth="1"/>
    <col min="9" max="9" width="23" customWidth="1"/>
    <col min="12" max="12" width="16.85546875" customWidth="1"/>
  </cols>
  <sheetData>
    <row r="1" spans="1:1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29" t="s">
        <v>167</v>
      </c>
    </row>
    <row r="2" spans="1:12">
      <c r="A2" s="3" t="s">
        <v>168</v>
      </c>
      <c r="B2" s="3" t="s">
        <v>169</v>
      </c>
      <c r="C2" s="3" t="s">
        <v>170</v>
      </c>
      <c r="D2" s="4" t="s">
        <v>171</v>
      </c>
      <c r="E2" s="81">
        <v>46223</v>
      </c>
      <c r="F2" s="7" t="s">
        <v>172</v>
      </c>
      <c r="G2" s="160" t="s">
        <v>173</v>
      </c>
    </row>
    <row r="3" spans="1:12">
      <c r="A3" s="3" t="s">
        <v>8</v>
      </c>
      <c r="B3" s="3" t="str">
        <f>PROPER(_xlfn.TEXTBEFORE(TRIM(A3), " ", 1))</f>
        <v>Mostafa</v>
      </c>
      <c r="C3" s="3" t="str">
        <f>_xlfn.TEXTAFTER(TRIM(A3), " ", -1)</f>
        <v>Mostafa</v>
      </c>
      <c r="D3" s="4" t="s">
        <v>9</v>
      </c>
      <c r="E3" s="81">
        <v>46235</v>
      </c>
      <c r="F3" s="7" t="s">
        <v>10</v>
      </c>
      <c r="G3" s="160" t="s">
        <v>173</v>
      </c>
    </row>
    <row r="4" spans="1:12">
      <c r="A4" s="3" t="s">
        <v>15</v>
      </c>
      <c r="B4" s="3" t="str">
        <f t="shared" ref="B4:B12" si="0">PROPER(_xlfn.TEXTBEFORE(TRIM(A4), " ", 1))</f>
        <v>Gamal</v>
      </c>
      <c r="C4" s="3" t="str">
        <f t="shared" ref="C4:C12" si="1">_xlfn.TEXTAFTER(TRIM(A4), " ", -1)</f>
        <v>Sayed</v>
      </c>
      <c r="D4" s="4" t="s">
        <v>16</v>
      </c>
      <c r="E4" s="81">
        <v>46251</v>
      </c>
      <c r="F4" s="7" t="s">
        <v>10</v>
      </c>
      <c r="G4" s="5" t="s">
        <v>173</v>
      </c>
      <c r="I4" s="222" t="s">
        <v>174</v>
      </c>
      <c r="J4" s="222"/>
      <c r="K4" s="222"/>
    </row>
    <row r="5" spans="1:12">
      <c r="A5" s="3" t="s">
        <v>18</v>
      </c>
      <c r="B5" s="3" t="str">
        <f t="shared" si="0"/>
        <v>Mennatallah</v>
      </c>
      <c r="C5" s="3" t="str">
        <f t="shared" si="1"/>
        <v>Said</v>
      </c>
      <c r="D5" s="4" t="s">
        <v>19</v>
      </c>
      <c r="E5" s="81">
        <v>46235</v>
      </c>
      <c r="F5" s="7" t="s">
        <v>10</v>
      </c>
      <c r="G5" s="160" t="s">
        <v>173</v>
      </c>
      <c r="I5" s="162" t="s">
        <v>175</v>
      </c>
      <c r="J5" s="162" t="s">
        <v>176</v>
      </c>
      <c r="K5" s="162" t="s">
        <v>177</v>
      </c>
    </row>
    <row r="6" spans="1:12">
      <c r="A6" s="3" t="s">
        <v>20</v>
      </c>
      <c r="B6" s="3" t="str">
        <f t="shared" si="0"/>
        <v>Hossam</v>
      </c>
      <c r="C6" s="3" t="str">
        <f t="shared" si="1"/>
        <v>Zeid</v>
      </c>
      <c r="D6" s="4" t="s">
        <v>21</v>
      </c>
      <c r="E6" s="81">
        <v>46272</v>
      </c>
      <c r="F6" s="7" t="s">
        <v>22</v>
      </c>
      <c r="G6" s="5" t="s">
        <v>173</v>
      </c>
      <c r="I6" s="5" t="s">
        <v>178</v>
      </c>
      <c r="J6" s="160" t="s">
        <v>179</v>
      </c>
      <c r="K6" s="5">
        <v>3</v>
      </c>
    </row>
    <row r="7" spans="1:12">
      <c r="A7" s="3" t="s">
        <v>118</v>
      </c>
      <c r="B7" s="3" t="str">
        <f t="shared" si="0"/>
        <v>Mohamed</v>
      </c>
      <c r="C7" s="3" t="str">
        <f t="shared" si="1"/>
        <v>Makram</v>
      </c>
      <c r="D7" s="4" t="s">
        <v>24</v>
      </c>
      <c r="E7" s="81">
        <v>46267</v>
      </c>
      <c r="F7" s="7" t="s">
        <v>22</v>
      </c>
      <c r="G7" s="5" t="s">
        <v>173</v>
      </c>
      <c r="I7" s="5" t="s">
        <v>180</v>
      </c>
      <c r="J7" s="5" t="s">
        <v>181</v>
      </c>
      <c r="K7" s="5">
        <v>18</v>
      </c>
    </row>
    <row r="8" spans="1:12">
      <c r="A8" s="3" t="s">
        <v>26</v>
      </c>
      <c r="B8" s="3" t="str">
        <f t="shared" si="0"/>
        <v>Marwan</v>
      </c>
      <c r="C8" s="3" t="str">
        <f t="shared" si="1"/>
        <v>Dahesh</v>
      </c>
      <c r="D8" s="4" t="s">
        <v>27</v>
      </c>
      <c r="E8" s="16">
        <v>46279</v>
      </c>
      <c r="F8" s="7" t="s">
        <v>22</v>
      </c>
      <c r="G8" s="5" t="s">
        <v>173</v>
      </c>
      <c r="I8" s="165" t="s">
        <v>182</v>
      </c>
      <c r="J8" s="166" t="s">
        <v>183</v>
      </c>
      <c r="K8" s="165">
        <v>8</v>
      </c>
    </row>
    <row r="9" spans="1:12">
      <c r="A9" s="3" t="s">
        <v>29</v>
      </c>
      <c r="B9" s="3" t="str">
        <f t="shared" si="0"/>
        <v>Shahd</v>
      </c>
      <c r="C9" s="3" t="str">
        <f t="shared" si="1"/>
        <v>Hassan</v>
      </c>
      <c r="D9" s="4" t="s">
        <v>30</v>
      </c>
      <c r="E9" s="16">
        <v>46279</v>
      </c>
      <c r="F9" s="7" t="s">
        <v>22</v>
      </c>
      <c r="G9" s="5" t="s">
        <v>173</v>
      </c>
      <c r="I9" s="164" t="s">
        <v>184</v>
      </c>
      <c r="J9" s="5"/>
      <c r="K9" s="5">
        <v>29</v>
      </c>
    </row>
    <row r="10" spans="1:12">
      <c r="A10" s="3" t="s">
        <v>32</v>
      </c>
      <c r="B10" s="3" t="str">
        <f t="shared" si="0"/>
        <v>Nourhan</v>
      </c>
      <c r="C10" s="3" t="str">
        <f t="shared" si="1"/>
        <v>Khafagy</v>
      </c>
      <c r="D10" s="4" t="s">
        <v>33</v>
      </c>
      <c r="E10" s="16">
        <v>46279</v>
      </c>
      <c r="F10" s="7" t="s">
        <v>22</v>
      </c>
      <c r="G10" s="5" t="s">
        <v>173</v>
      </c>
    </row>
    <row r="11" spans="1:12">
      <c r="A11" s="3" t="s">
        <v>35</v>
      </c>
      <c r="B11" s="3" t="str">
        <f t="shared" si="0"/>
        <v>Berta</v>
      </c>
      <c r="C11" s="3" t="str">
        <f t="shared" si="1"/>
        <v>Hanna</v>
      </c>
      <c r="D11" s="4" t="s">
        <v>36</v>
      </c>
      <c r="E11" s="16">
        <v>46279</v>
      </c>
      <c r="F11" s="7" t="s">
        <v>22</v>
      </c>
      <c r="G11" s="5" t="s">
        <v>173</v>
      </c>
    </row>
    <row r="12" spans="1:12">
      <c r="A12" s="3" t="s">
        <v>39</v>
      </c>
      <c r="B12" s="3" t="str">
        <f t="shared" si="0"/>
        <v>Mohamed</v>
      </c>
      <c r="C12" s="3" t="str">
        <f t="shared" si="1"/>
        <v xml:space="preserve">Elaidi
</v>
      </c>
      <c r="D12" s="4" t="s">
        <v>40</v>
      </c>
      <c r="E12" s="16">
        <v>46280</v>
      </c>
      <c r="F12" s="7" t="s">
        <v>22</v>
      </c>
      <c r="G12" s="5" t="s">
        <v>173</v>
      </c>
      <c r="I12" s="223" t="s">
        <v>185</v>
      </c>
      <c r="J12" s="223"/>
      <c r="K12" s="163" t="s">
        <v>186</v>
      </c>
      <c r="L12" s="163" t="s">
        <v>187</v>
      </c>
    </row>
    <row r="13" spans="1:12">
      <c r="A13" s="3" t="s">
        <v>42</v>
      </c>
      <c r="B13" s="3" t="s">
        <v>43</v>
      </c>
      <c r="C13" s="3" t="s">
        <v>44</v>
      </c>
      <c r="D13" s="4" t="s">
        <v>45</v>
      </c>
      <c r="E13" s="16">
        <v>46281</v>
      </c>
      <c r="F13" s="7" t="s">
        <v>22</v>
      </c>
      <c r="G13" s="5" t="s">
        <v>173</v>
      </c>
      <c r="I13" s="3" t="s">
        <v>188</v>
      </c>
      <c r="J13" s="3">
        <v>25</v>
      </c>
      <c r="K13" s="82" t="s">
        <v>189</v>
      </c>
      <c r="L13" s="82" t="s">
        <v>190</v>
      </c>
    </row>
    <row r="14" spans="1:12">
      <c r="A14" s="3" t="s">
        <v>47</v>
      </c>
      <c r="B14" s="3" t="s">
        <v>48</v>
      </c>
      <c r="C14" s="3" t="s">
        <v>49</v>
      </c>
      <c r="D14" s="4" t="s">
        <v>50</v>
      </c>
      <c r="E14" s="16">
        <v>46280</v>
      </c>
      <c r="F14" s="7" t="s">
        <v>22</v>
      </c>
      <c r="G14" s="5" t="s">
        <v>173</v>
      </c>
      <c r="I14" s="3" t="s">
        <v>191</v>
      </c>
      <c r="J14" s="3">
        <v>20</v>
      </c>
      <c r="K14" s="82" t="str">
        <f>+K13</f>
        <v>3rd Floor</v>
      </c>
      <c r="L14" s="82" t="s">
        <v>190</v>
      </c>
    </row>
    <row r="15" spans="1:12">
      <c r="A15" s="3" t="s">
        <v>52</v>
      </c>
      <c r="B15" s="3" t="s">
        <v>53</v>
      </c>
      <c r="C15" s="3" t="s">
        <v>54</v>
      </c>
      <c r="D15" s="83" t="s">
        <v>55</v>
      </c>
      <c r="E15" s="16">
        <v>46281</v>
      </c>
      <c r="F15" s="7" t="s">
        <v>22</v>
      </c>
      <c r="G15" s="5" t="s">
        <v>173</v>
      </c>
    </row>
    <row r="16" spans="1:12">
      <c r="A16" s="3" t="s">
        <v>56</v>
      </c>
      <c r="B16" s="3" t="s">
        <v>57</v>
      </c>
      <c r="C16" s="3" t="s">
        <v>58</v>
      </c>
      <c r="D16" s="4" t="s">
        <v>59</v>
      </c>
      <c r="E16" s="16">
        <v>46279</v>
      </c>
      <c r="F16" s="7" t="s">
        <v>60</v>
      </c>
      <c r="G16" s="5" t="s">
        <v>173</v>
      </c>
    </row>
    <row r="17" spans="1:7">
      <c r="A17" s="3" t="s">
        <v>61</v>
      </c>
      <c r="B17" s="3" t="str">
        <f t="shared" ref="B17:B29" si="2">PROPER(_xlfn.TEXTBEFORE(TRIM(A17), " ", 1))</f>
        <v>Hagar</v>
      </c>
      <c r="C17" s="3" t="s">
        <v>62</v>
      </c>
      <c r="D17" s="43" t="s">
        <v>63</v>
      </c>
      <c r="E17" s="16">
        <v>46286</v>
      </c>
      <c r="F17" s="7" t="s">
        <v>22</v>
      </c>
      <c r="G17" s="5"/>
    </row>
    <row r="18" spans="1:7">
      <c r="A18" s="3" t="s">
        <v>64</v>
      </c>
      <c r="B18" s="3" t="str">
        <f t="shared" si="2"/>
        <v>Mohamed</v>
      </c>
      <c r="C18" s="3" t="str">
        <f t="shared" ref="C18:C20" si="3">_xlfn.TEXTAFTER(TRIM(A18), " ", -1)</f>
        <v>Mosa</v>
      </c>
      <c r="D18" s="4" t="s">
        <v>65</v>
      </c>
      <c r="E18" s="16">
        <v>46286</v>
      </c>
      <c r="F18" s="7" t="s">
        <v>66</v>
      </c>
      <c r="G18" s="5"/>
    </row>
    <row r="19" spans="1:7">
      <c r="A19" s="3" t="s">
        <v>67</v>
      </c>
      <c r="B19" s="3" t="str">
        <f t="shared" si="2"/>
        <v>Nour</v>
      </c>
      <c r="C19" s="3" t="str">
        <f t="shared" si="3"/>
        <v>Mahmoud</v>
      </c>
      <c r="D19" s="43" t="s">
        <v>68</v>
      </c>
      <c r="E19" s="16">
        <v>46286</v>
      </c>
      <c r="F19" s="7" t="s">
        <v>69</v>
      </c>
      <c r="G19" s="5" t="s">
        <v>173</v>
      </c>
    </row>
    <row r="20" spans="1:7">
      <c r="A20" s="3" t="s">
        <v>70</v>
      </c>
      <c r="B20" s="3" t="str">
        <f t="shared" si="2"/>
        <v>Aya</v>
      </c>
      <c r="C20" s="3" t="str">
        <f t="shared" si="3"/>
        <v>Magd-el-din</v>
      </c>
      <c r="D20" s="43" t="s">
        <v>71</v>
      </c>
      <c r="E20" s="16">
        <v>46286</v>
      </c>
      <c r="F20" s="7" t="s">
        <v>60</v>
      </c>
      <c r="G20" s="159" t="s">
        <v>173</v>
      </c>
    </row>
    <row r="21" spans="1:7">
      <c r="A21" s="3" t="s">
        <v>72</v>
      </c>
      <c r="B21" s="3" t="str">
        <f t="shared" si="2"/>
        <v>Ahmed</v>
      </c>
      <c r="C21" s="3" t="s">
        <v>73</v>
      </c>
      <c r="D21" s="45" t="s">
        <v>74</v>
      </c>
      <c r="E21" s="16">
        <v>46287</v>
      </c>
      <c r="F21" s="7" t="s">
        <v>22</v>
      </c>
      <c r="G21" s="159" t="s">
        <v>173</v>
      </c>
    </row>
    <row r="22" spans="1:7">
      <c r="A22" s="3" t="s">
        <v>75</v>
      </c>
      <c r="B22" s="3" t="str">
        <f t="shared" si="2"/>
        <v>Mohamed</v>
      </c>
      <c r="C22" s="3" t="str">
        <f t="shared" ref="C22:C36" si="4">_xlfn.TEXTAFTER(TRIM(A22), " ", -1)</f>
        <v>Ibrahim</v>
      </c>
      <c r="D22" s="84" t="s">
        <v>76</v>
      </c>
      <c r="E22" s="16">
        <v>46286</v>
      </c>
      <c r="F22" s="7" t="s">
        <v>22</v>
      </c>
      <c r="G22" s="5" t="s">
        <v>173</v>
      </c>
    </row>
    <row r="23" spans="1:7">
      <c r="A23" s="3" t="s">
        <v>78</v>
      </c>
      <c r="B23" s="3" t="str">
        <f t="shared" si="2"/>
        <v>Banan</v>
      </c>
      <c r="C23" s="3" t="str">
        <f t="shared" si="4"/>
        <v>Elsayed</v>
      </c>
      <c r="D23" s="43" t="s">
        <v>79</v>
      </c>
      <c r="E23" s="16">
        <v>46286</v>
      </c>
      <c r="F23" s="7" t="s">
        <v>22</v>
      </c>
      <c r="G23" s="5" t="s">
        <v>173</v>
      </c>
    </row>
    <row r="24" spans="1:7">
      <c r="A24" s="3" t="s">
        <v>80</v>
      </c>
      <c r="B24" s="3" t="str">
        <f t="shared" si="2"/>
        <v>Ahmed</v>
      </c>
      <c r="C24" s="3" t="str">
        <f t="shared" si="4"/>
        <v>aboelfadl</v>
      </c>
      <c r="D24" s="45" t="s">
        <v>81</v>
      </c>
      <c r="E24" s="16">
        <v>46286</v>
      </c>
      <c r="F24" s="7" t="s">
        <v>22</v>
      </c>
      <c r="G24" s="159" t="s">
        <v>173</v>
      </c>
    </row>
    <row r="25" spans="1:7">
      <c r="A25" s="3" t="s">
        <v>82</v>
      </c>
      <c r="B25" s="3" t="str">
        <f t="shared" si="2"/>
        <v>Ahmed</v>
      </c>
      <c r="C25" s="3" t="str">
        <f t="shared" si="4"/>
        <v>Abdelgawad</v>
      </c>
      <c r="D25" s="43" t="s">
        <v>83</v>
      </c>
      <c r="E25" s="16">
        <v>46286</v>
      </c>
      <c r="F25" s="7" t="s">
        <v>22</v>
      </c>
      <c r="G25" s="159" t="s">
        <v>173</v>
      </c>
    </row>
    <row r="26" spans="1:7">
      <c r="A26" s="3" t="s">
        <v>84</v>
      </c>
      <c r="B26" s="3" t="str">
        <f t="shared" si="2"/>
        <v>Marwan</v>
      </c>
      <c r="C26" s="3" t="str">
        <f t="shared" si="4"/>
        <v>Mohamed</v>
      </c>
      <c r="D26" s="43" t="s">
        <v>85</v>
      </c>
      <c r="E26" s="16">
        <v>46286</v>
      </c>
      <c r="F26" s="7" t="s">
        <v>22</v>
      </c>
      <c r="G26" s="5" t="s">
        <v>173</v>
      </c>
    </row>
    <row r="27" spans="1:7">
      <c r="A27" s="3" t="s">
        <v>86</v>
      </c>
      <c r="B27" s="3" t="str">
        <f t="shared" si="2"/>
        <v>Mohamed</v>
      </c>
      <c r="C27" s="3" t="str">
        <f t="shared" si="4"/>
        <v>Mahmoud</v>
      </c>
      <c r="D27" s="4" t="s">
        <v>87</v>
      </c>
      <c r="E27" s="16">
        <v>46286</v>
      </c>
      <c r="F27" s="7" t="s">
        <v>22</v>
      </c>
      <c r="G27" s="159" t="s">
        <v>173</v>
      </c>
    </row>
    <row r="28" spans="1:7">
      <c r="A28" s="3" t="s">
        <v>88</v>
      </c>
      <c r="B28" s="3" t="str">
        <f t="shared" si="2"/>
        <v>Mariam</v>
      </c>
      <c r="C28" s="3" t="str">
        <f t="shared" si="4"/>
        <v>Elmallawany</v>
      </c>
      <c r="D28" s="43" t="s">
        <v>89</v>
      </c>
      <c r="E28" s="16">
        <v>46286</v>
      </c>
      <c r="F28" s="7" t="s">
        <v>22</v>
      </c>
      <c r="G28" s="5" t="s">
        <v>173</v>
      </c>
    </row>
    <row r="29" spans="1:7">
      <c r="A29" s="3" t="s">
        <v>90</v>
      </c>
      <c r="B29" s="3" t="str">
        <f t="shared" si="2"/>
        <v>Arwa</v>
      </c>
      <c r="C29" s="3" t="str">
        <f t="shared" si="4"/>
        <v>Ahmed</v>
      </c>
      <c r="D29" s="4" t="s">
        <v>91</v>
      </c>
      <c r="E29" s="16">
        <v>46286</v>
      </c>
      <c r="F29" s="7" t="s">
        <v>22</v>
      </c>
      <c r="G29" s="159" t="s">
        <v>173</v>
      </c>
    </row>
    <row r="30" spans="1:7">
      <c r="A30" s="3" t="s">
        <v>92</v>
      </c>
      <c r="B30" s="3" t="str">
        <f>PROPER(_xlfn.TEXTBEFORE(TRIM(A30), " ", 1))</f>
        <v>Amany</v>
      </c>
      <c r="C30" s="3" t="str">
        <f t="shared" si="4"/>
        <v>Abdelazim</v>
      </c>
      <c r="D30" s="45" t="s">
        <v>93</v>
      </c>
      <c r="E30" s="16">
        <v>46288</v>
      </c>
      <c r="F30" s="7" t="s">
        <v>22</v>
      </c>
      <c r="G30" s="5"/>
    </row>
    <row r="31" spans="1:7">
      <c r="A31" s="3" t="s">
        <v>94</v>
      </c>
      <c r="B31" s="3" t="str">
        <f t="shared" ref="B31:B36" si="5">PROPER(_xlfn.TEXTBEFORE(TRIM(A31), " ", 1))</f>
        <v>Sarah</v>
      </c>
      <c r="C31" s="3" t="str">
        <f t="shared" si="4"/>
        <v>Mohamed</v>
      </c>
      <c r="D31" s="45" t="s">
        <v>95</v>
      </c>
      <c r="E31" s="16">
        <v>46293</v>
      </c>
      <c r="F31" s="7" t="s">
        <v>22</v>
      </c>
      <c r="G31" s="5"/>
    </row>
    <row r="32" spans="1:7">
      <c r="A32" s="3" t="s">
        <v>96</v>
      </c>
      <c r="B32" s="3" t="str">
        <f t="shared" si="5"/>
        <v>Dalia</v>
      </c>
      <c r="C32" s="3" t="str">
        <f t="shared" si="4"/>
        <v>Elsabbagh</v>
      </c>
      <c r="D32" s="45" t="s">
        <v>97</v>
      </c>
      <c r="E32" s="16">
        <v>46293</v>
      </c>
      <c r="F32" s="7" t="s">
        <v>22</v>
      </c>
      <c r="G32" s="5"/>
    </row>
    <row r="33" spans="1:7">
      <c r="A33" s="3" t="s">
        <v>98</v>
      </c>
      <c r="B33" s="3" t="str">
        <f t="shared" si="5"/>
        <v>Salma</v>
      </c>
      <c r="C33" s="3" t="str">
        <f t="shared" si="4"/>
        <v>Dawaly</v>
      </c>
      <c r="D33" s="45" t="s">
        <v>99</v>
      </c>
      <c r="E33" s="16">
        <v>46293</v>
      </c>
      <c r="F33" s="7" t="s">
        <v>22</v>
      </c>
      <c r="G33" s="159" t="s">
        <v>173</v>
      </c>
    </row>
    <row r="34" spans="1:7">
      <c r="A34" s="3" t="s">
        <v>119</v>
      </c>
      <c r="B34" s="3" t="str">
        <f t="shared" si="5"/>
        <v>Ammar</v>
      </c>
      <c r="C34" s="3" t="str">
        <f t="shared" si="4"/>
        <v>Ali</v>
      </c>
      <c r="D34" s="119" t="s">
        <v>120</v>
      </c>
      <c r="E34" s="16">
        <v>46293</v>
      </c>
      <c r="F34" s="7" t="s">
        <v>22</v>
      </c>
      <c r="G34" s="5"/>
    </row>
    <row r="35" spans="1:7">
      <c r="A35" s="3" t="s">
        <v>102</v>
      </c>
      <c r="B35" s="3" t="str">
        <f t="shared" si="5"/>
        <v>Amr</v>
      </c>
      <c r="C35" s="3" t="str">
        <f t="shared" si="4"/>
        <v>Kotb</v>
      </c>
      <c r="D35" s="45" t="s">
        <v>103</v>
      </c>
      <c r="E35" s="16">
        <v>46293</v>
      </c>
      <c r="F35" s="7" t="s">
        <v>22</v>
      </c>
      <c r="G35" s="159" t="s">
        <v>173</v>
      </c>
    </row>
    <row r="36" spans="1:7">
      <c r="A36" s="3" t="s">
        <v>104</v>
      </c>
      <c r="B36" s="3" t="str">
        <f t="shared" si="5"/>
        <v>Khaled</v>
      </c>
      <c r="C36" s="3" t="str">
        <f t="shared" si="4"/>
        <v>Abdalgalil</v>
      </c>
      <c r="D36" s="45" t="s">
        <v>105</v>
      </c>
      <c r="E36" s="16">
        <v>46293</v>
      </c>
      <c r="F36" s="7" t="s">
        <v>22</v>
      </c>
      <c r="G36" s="5"/>
    </row>
    <row r="37" spans="1:7">
      <c r="A37" s="3" t="s">
        <v>106</v>
      </c>
      <c r="B37" s="3" t="str">
        <f>PROPER(_xlfn.TEXTBEFORE(TRIM(A37), " ", 1))</f>
        <v>Adham</v>
      </c>
      <c r="C37" s="3" t="str">
        <f>_xlfn.TEXTAFTER(TRIM(A37), " ", -1)</f>
        <v>Alzorkany</v>
      </c>
      <c r="D37" s="4" t="s">
        <v>107</v>
      </c>
      <c r="E37" s="16">
        <v>46293</v>
      </c>
      <c r="F37" s="7" t="s">
        <v>108</v>
      </c>
      <c r="G37" s="5" t="s">
        <v>173</v>
      </c>
    </row>
    <row r="38" spans="1:7">
      <c r="A38" s="3" t="s">
        <v>109</v>
      </c>
      <c r="B38" s="3" t="str">
        <f t="shared" ref="B38" si="6">PROPER(_xlfn.TEXTBEFORE(TRIM(A38), " ", 1))</f>
        <v>Hagar</v>
      </c>
      <c r="C38" s="3" t="str">
        <f t="shared" ref="C38" si="7">_xlfn.TEXTAFTER(TRIM(A38), " ", -1)</f>
        <v>Abdelhameed</v>
      </c>
      <c r="D38" s="45" t="s">
        <v>122</v>
      </c>
      <c r="E38" s="16">
        <v>46295</v>
      </c>
      <c r="F38" s="7" t="s">
        <v>22</v>
      </c>
      <c r="G38" s="5"/>
    </row>
    <row r="39" spans="1:7">
      <c r="A39" s="3" t="s">
        <v>123</v>
      </c>
      <c r="B39" s="3" t="str">
        <f t="shared" ref="B39:B50" si="8">PROPER(_xlfn.TEXTBEFORE(TRIM(A39), " ", 1))</f>
        <v>Bassel</v>
      </c>
      <c r="C39" s="3" t="str">
        <f t="shared" ref="C39:C50" si="9">_xlfn.TEXTAFTER(TRIM(A39), " ", -1)</f>
        <v>Shalaby</v>
      </c>
      <c r="D39" s="127" t="s">
        <v>124</v>
      </c>
      <c r="E39" s="16">
        <v>46295</v>
      </c>
      <c r="F39" s="7" t="s">
        <v>22</v>
      </c>
      <c r="G39" s="5"/>
    </row>
    <row r="40" spans="1:7">
      <c r="A40" s="3" t="s">
        <v>125</v>
      </c>
      <c r="B40" s="3" t="str">
        <f t="shared" si="8"/>
        <v>Hanin</v>
      </c>
      <c r="C40" s="3" t="str">
        <f t="shared" si="9"/>
        <v>Ahmed</v>
      </c>
      <c r="D40" s="127" t="s">
        <v>126</v>
      </c>
      <c r="E40" s="16">
        <v>46295</v>
      </c>
      <c r="F40" s="7" t="s">
        <v>22</v>
      </c>
      <c r="G40" s="5"/>
    </row>
    <row r="41" spans="1:7" ht="15">
      <c r="A41" s="140" t="s">
        <v>127</v>
      </c>
      <c r="B41" s="3" t="str">
        <f t="shared" si="8"/>
        <v>Mohamed</v>
      </c>
      <c r="C41" s="3" t="str">
        <f t="shared" si="9"/>
        <v>Safwat</v>
      </c>
      <c r="D41" s="173" t="s">
        <v>131</v>
      </c>
      <c r="E41" s="16">
        <v>46301</v>
      </c>
      <c r="F41" s="7" t="s">
        <v>129</v>
      </c>
      <c r="G41" s="5"/>
    </row>
    <row r="42" spans="1:7">
      <c r="A42" s="143" t="s">
        <v>130</v>
      </c>
      <c r="B42" s="3" t="str">
        <f t="shared" si="8"/>
        <v>Hesham</v>
      </c>
      <c r="C42" s="3" t="str">
        <f t="shared" si="9"/>
        <v>Mostafa</v>
      </c>
      <c r="D42" s="45" t="s">
        <v>131</v>
      </c>
      <c r="E42" s="16">
        <v>46301</v>
      </c>
      <c r="F42" s="144" t="s">
        <v>10</v>
      </c>
      <c r="G42" s="5"/>
    </row>
    <row r="43" spans="1:7">
      <c r="A43" s="143" t="s">
        <v>132</v>
      </c>
      <c r="B43" s="3" t="str">
        <f t="shared" si="8"/>
        <v>Mohamed</v>
      </c>
      <c r="C43" s="3" t="str">
        <f t="shared" si="9"/>
        <v>Badr</v>
      </c>
      <c r="D43" s="45" t="s">
        <v>133</v>
      </c>
      <c r="E43" s="16">
        <v>46301</v>
      </c>
      <c r="F43" s="7" t="s">
        <v>66</v>
      </c>
      <c r="G43" s="5"/>
    </row>
    <row r="44" spans="1:7">
      <c r="A44" s="143" t="s">
        <v>134</v>
      </c>
      <c r="B44" s="3" t="str">
        <f t="shared" si="8"/>
        <v>Merna</v>
      </c>
      <c r="C44" s="3" t="str">
        <f t="shared" si="9"/>
        <v>Ashraf</v>
      </c>
      <c r="D44" s="45" t="s">
        <v>135</v>
      </c>
      <c r="E44" s="16">
        <v>46301</v>
      </c>
      <c r="F44" s="7" t="s">
        <v>22</v>
      </c>
      <c r="G44" s="5"/>
    </row>
    <row r="45" spans="1:7">
      <c r="A45" s="143" t="s">
        <v>136</v>
      </c>
      <c r="B45" s="3" t="str">
        <f t="shared" si="8"/>
        <v>Ziad</v>
      </c>
      <c r="C45" s="3" t="str">
        <f t="shared" si="9"/>
        <v>Eid</v>
      </c>
      <c r="D45" s="45" t="s">
        <v>137</v>
      </c>
      <c r="E45" s="16">
        <v>46301</v>
      </c>
      <c r="F45" s="144" t="s">
        <v>138</v>
      </c>
      <c r="G45" s="5"/>
    </row>
    <row r="46" spans="1:7">
      <c r="A46" s="143" t="s">
        <v>139</v>
      </c>
      <c r="B46" s="3" t="str">
        <f t="shared" si="8"/>
        <v>Kyrillos</v>
      </c>
      <c r="C46" s="3" t="str">
        <f t="shared" si="9"/>
        <v>Wagdy</v>
      </c>
      <c r="D46" s="45" t="s">
        <v>140</v>
      </c>
      <c r="E46" s="16">
        <v>46301</v>
      </c>
      <c r="F46" s="7" t="s">
        <v>22</v>
      </c>
      <c r="G46" s="5"/>
    </row>
    <row r="47" spans="1:7">
      <c r="A47" s="143" t="s">
        <v>141</v>
      </c>
      <c r="B47" s="3" t="str">
        <f t="shared" si="8"/>
        <v>Mahmoud</v>
      </c>
      <c r="C47" s="3" t="str">
        <f t="shared" si="9"/>
        <v>Salah</v>
      </c>
      <c r="D47" s="45" t="s">
        <v>142</v>
      </c>
      <c r="E47" s="16">
        <v>46301</v>
      </c>
      <c r="F47" s="7" t="s">
        <v>22</v>
      </c>
      <c r="G47" s="5"/>
    </row>
    <row r="48" spans="1:7">
      <c r="A48" s="143" t="s">
        <v>143</v>
      </c>
      <c r="B48" s="3" t="str">
        <f t="shared" si="8"/>
        <v>Nada</v>
      </c>
      <c r="C48" s="3" t="str">
        <f t="shared" si="9"/>
        <v>Gamal</v>
      </c>
      <c r="D48" s="45" t="s">
        <v>144</v>
      </c>
      <c r="E48" s="16">
        <v>46301</v>
      </c>
      <c r="F48" s="7" t="s">
        <v>22</v>
      </c>
      <c r="G48" s="5"/>
    </row>
    <row r="49" spans="1:7">
      <c r="A49" s="143" t="s">
        <v>145</v>
      </c>
      <c r="B49" s="3" t="str">
        <f t="shared" si="8"/>
        <v>Ahmed</v>
      </c>
      <c r="C49" s="3" t="str">
        <f t="shared" si="9"/>
        <v>Mansour</v>
      </c>
      <c r="D49" s="168" t="s">
        <v>146</v>
      </c>
      <c r="E49" s="16">
        <v>46301</v>
      </c>
      <c r="F49" s="7" t="s">
        <v>22</v>
      </c>
      <c r="G49" s="5"/>
    </row>
    <row r="50" spans="1:7" ht="15">
      <c r="A50" s="169" t="s">
        <v>147</v>
      </c>
      <c r="B50" s="169" t="str">
        <f t="shared" si="8"/>
        <v>Nada</v>
      </c>
      <c r="C50" s="169" t="str">
        <f t="shared" si="9"/>
        <v>Amer</v>
      </c>
      <c r="D50" s="168" t="s">
        <v>148</v>
      </c>
      <c r="E50" s="19">
        <v>46302</v>
      </c>
      <c r="F50" s="13" t="s">
        <v>22</v>
      </c>
      <c r="G50" s="5"/>
    </row>
    <row r="51" spans="1:7" ht="15">
      <c r="A51" s="176" t="s">
        <v>149</v>
      </c>
      <c r="B51" s="3" t="str">
        <f>PROPER(_xlfn.TEXTBEFORE(TRIM(A51), " ", 1))</f>
        <v>Amira</v>
      </c>
      <c r="C51" s="3" t="str">
        <f>_xlfn.TEXTAFTER(TRIM(A51), " ", -1)</f>
        <v>Karim</v>
      </c>
      <c r="D51" s="16">
        <v>46308</v>
      </c>
      <c r="E51" s="16">
        <v>46308</v>
      </c>
      <c r="F51" s="5" t="s">
        <v>60</v>
      </c>
      <c r="G51" s="175"/>
    </row>
    <row r="52" spans="1:7" ht="15">
      <c r="A52" s="176" t="s">
        <v>150</v>
      </c>
      <c r="B52" s="3" t="str">
        <f>PROPER(_xlfn.TEXTBEFORE(TRIM(A52), " ", 1))</f>
        <v>Saleh</v>
      </c>
      <c r="C52" s="3" t="str">
        <f>_xlfn.TEXTAFTER(TRIM(A52), " ", -1)</f>
        <v>Essam</v>
      </c>
      <c r="D52" s="16">
        <v>46308</v>
      </c>
      <c r="E52" s="16">
        <v>46308</v>
      </c>
      <c r="F52" s="3" t="s">
        <v>22</v>
      </c>
      <c r="G52" s="175"/>
    </row>
    <row r="53" spans="1:7" ht="15">
      <c r="A53" s="176" t="s">
        <v>151</v>
      </c>
      <c r="B53" s="3" t="str">
        <f>PROPER(_xlfn.TEXTBEFORE(TRIM(A53), " ", 1))</f>
        <v>Doha</v>
      </c>
      <c r="C53" s="3" t="str">
        <f>_xlfn.TEXTAFTER(TRIM(A53), " ", -1)</f>
        <v>Abdelbary</v>
      </c>
      <c r="D53" s="16">
        <v>46308</v>
      </c>
      <c r="E53" s="16">
        <v>46308</v>
      </c>
      <c r="F53" s="3" t="s">
        <v>22</v>
      </c>
      <c r="G53" s="175"/>
    </row>
    <row r="54" spans="1:7" ht="15">
      <c r="A54" s="176" t="s">
        <v>152</v>
      </c>
      <c r="B54" s="3" t="str">
        <f>PROPER(_xlfn.TEXTBEFORE(TRIM(A54), " ", 1))</f>
        <v>Noran</v>
      </c>
      <c r="C54" s="3" t="str">
        <f>_xlfn.TEXTAFTER(TRIM(A54), " ", -1)</f>
        <v>Ashraf</v>
      </c>
      <c r="D54" s="16">
        <v>46308</v>
      </c>
      <c r="E54" s="16">
        <v>46308</v>
      </c>
      <c r="F54" s="3" t="s">
        <v>22</v>
      </c>
      <c r="G54" s="175"/>
    </row>
    <row r="55" spans="1:7">
      <c r="A55" s="176" t="s">
        <v>153</v>
      </c>
      <c r="B55" s="3" t="str">
        <f>PROPER(_xlfn.TEXTBEFORE(TRIM(A55), " ", 1))</f>
        <v>Eman</v>
      </c>
      <c r="C55" s="3" t="str">
        <f>_xlfn.TEXTAFTER(TRIM(A55), " ", -1)</f>
        <v>Mahmoud</v>
      </c>
      <c r="D55" s="16">
        <v>46308</v>
      </c>
      <c r="E55" s="16">
        <v>46308</v>
      </c>
      <c r="F55" s="5" t="s">
        <v>60</v>
      </c>
      <c r="G55" s="175"/>
    </row>
    <row r="56" spans="1:7">
      <c r="A56" s="176" t="s">
        <v>154</v>
      </c>
      <c r="B56" s="3" t="str">
        <f>PROPER(_xlfn.TEXTBEFORE(TRIM(A56), " ", 1))</f>
        <v>Rawan</v>
      </c>
      <c r="C56" s="3" t="str">
        <f>_xlfn.TEXTAFTER(TRIM(A56), " ", -1)</f>
        <v>Ehab</v>
      </c>
      <c r="D56" s="16">
        <v>46308</v>
      </c>
      <c r="E56" s="16">
        <v>46308</v>
      </c>
      <c r="F56" s="3" t="s">
        <v>22</v>
      </c>
      <c r="G56" s="175"/>
    </row>
    <row r="57" spans="1:7" ht="15" customHeight="1">
      <c r="A57" s="176" t="s">
        <v>155</v>
      </c>
      <c r="B57" s="3" t="str">
        <f>PROPER(_xlfn.TEXTBEFORE(TRIM(A57), " ", 1))</f>
        <v>Nancy</v>
      </c>
      <c r="C57" s="3" t="str">
        <f>_xlfn.TEXTAFTER(TRIM(A57), " ", -1)</f>
        <v>Elsharqawy</v>
      </c>
      <c r="D57" s="16">
        <v>46308</v>
      </c>
      <c r="E57" s="16">
        <v>46308</v>
      </c>
      <c r="F57" s="3" t="s">
        <v>22</v>
      </c>
      <c r="G57" s="175"/>
    </row>
    <row r="58" spans="1:7">
      <c r="A58" s="176" t="s">
        <v>156</v>
      </c>
      <c r="B58" s="3" t="str">
        <f>PROPER(_xlfn.TEXTBEFORE(TRIM(A58), " ", 1))</f>
        <v>Rokia</v>
      </c>
      <c r="C58" s="3" t="str">
        <f>_xlfn.TEXTAFTER(TRIM(A58), " ", -1)</f>
        <v>Sobhy</v>
      </c>
      <c r="D58" s="16">
        <v>46308</v>
      </c>
      <c r="E58" s="16">
        <v>46308</v>
      </c>
      <c r="F58" s="3" t="s">
        <v>22</v>
      </c>
      <c r="G58" s="175"/>
    </row>
    <row r="59" spans="1:7">
      <c r="A59" s="176" t="s">
        <v>157</v>
      </c>
      <c r="B59" s="3" t="str">
        <f>PROPER(_xlfn.TEXTBEFORE(TRIM(A59), " ", 1))</f>
        <v>Radwa</v>
      </c>
      <c r="C59" s="3" t="str">
        <f>_xlfn.TEXTAFTER(TRIM(A59), " ", -1)</f>
        <v>Tarek</v>
      </c>
      <c r="D59" s="16">
        <v>46308</v>
      </c>
      <c r="E59" s="16">
        <v>46308</v>
      </c>
      <c r="F59" s="3" t="s">
        <v>22</v>
      </c>
      <c r="G59" s="175"/>
    </row>
    <row r="60" spans="1:7">
      <c r="A60" s="176" t="s">
        <v>158</v>
      </c>
      <c r="B60" s="3" t="str">
        <f>PROPER(_xlfn.TEXTBEFORE(TRIM(A60), " ", 1))</f>
        <v>Mohamed</v>
      </c>
      <c r="C60" s="3" t="str">
        <f>_xlfn.TEXTAFTER(TRIM(A60), " ", -1)</f>
        <v>Taha</v>
      </c>
      <c r="D60" s="16">
        <v>46308</v>
      </c>
      <c r="E60" s="16">
        <v>46308</v>
      </c>
      <c r="F60" s="3" t="s">
        <v>22</v>
      </c>
      <c r="G60" s="175"/>
    </row>
    <row r="61" spans="1:7">
      <c r="A61" s="176" t="s">
        <v>159</v>
      </c>
      <c r="B61" s="3" t="str">
        <f>PROPER(_xlfn.TEXTBEFORE(TRIM(A61), " ", 1))</f>
        <v>Mawada</v>
      </c>
      <c r="C61" s="3" t="str">
        <f>_xlfn.TEXTAFTER(TRIM(A61), " ", -1)</f>
        <v>Mohamed</v>
      </c>
      <c r="D61" s="16">
        <v>46308</v>
      </c>
      <c r="E61" s="16">
        <v>46308</v>
      </c>
      <c r="F61" s="3" t="s">
        <v>22</v>
      </c>
      <c r="G61" s="175"/>
    </row>
    <row r="62" spans="1:7">
      <c r="A62" s="176" t="s">
        <v>160</v>
      </c>
      <c r="B62" s="3" t="str">
        <f>PROPER(_xlfn.TEXTBEFORE(TRIM(A62), " ", 1))</f>
        <v>Mohamed</v>
      </c>
      <c r="C62" s="3" t="str">
        <f>_xlfn.TEXTAFTER(TRIM(A62), " ", -1)</f>
        <v>Zidan</v>
      </c>
      <c r="D62" s="16">
        <v>46308</v>
      </c>
      <c r="E62" s="16">
        <v>46308</v>
      </c>
      <c r="F62" s="3" t="s">
        <v>22</v>
      </c>
      <c r="G62" s="175"/>
    </row>
    <row r="63" spans="1:7">
      <c r="A63" s="176" t="s">
        <v>161</v>
      </c>
      <c r="B63" s="3" t="str">
        <f>PROPER(_xlfn.TEXTBEFORE(TRIM(A63), " ", 1))</f>
        <v>Rana</v>
      </c>
      <c r="C63" s="3" t="str">
        <f>_xlfn.TEXTAFTER(TRIM(A63), " ", -1)</f>
        <v>Mohamed</v>
      </c>
      <c r="D63" s="16">
        <v>46308</v>
      </c>
      <c r="E63" s="16">
        <v>46308</v>
      </c>
      <c r="F63" s="3" t="s">
        <v>22</v>
      </c>
      <c r="G63" s="175"/>
    </row>
    <row r="64" spans="1:7">
      <c r="A64" s="176" t="s">
        <v>162</v>
      </c>
      <c r="B64" s="3" t="str">
        <f>PROPER(_xlfn.TEXTBEFORE(TRIM(A64), " ", 1))</f>
        <v>Belal</v>
      </c>
      <c r="C64" s="3" t="str">
        <f>_xlfn.TEXTAFTER(TRIM(A64), " ", -1)</f>
        <v>Hamdy</v>
      </c>
      <c r="D64" s="16">
        <v>46308</v>
      </c>
      <c r="E64" s="16">
        <v>46308</v>
      </c>
      <c r="F64" s="3" t="s">
        <v>22</v>
      </c>
      <c r="G64" s="175"/>
    </row>
    <row r="65" spans="1:7">
      <c r="A65" s="176" t="s">
        <v>163</v>
      </c>
      <c r="B65" s="3" t="str">
        <f>PROPER(_xlfn.TEXTBEFORE(TRIM(A65), " ", 1))</f>
        <v>Mahmoud</v>
      </c>
      <c r="C65" s="3" t="str">
        <f>_xlfn.TEXTAFTER(TRIM(A65), " ", -1)</f>
        <v>Tablawy</v>
      </c>
      <c r="D65" s="16">
        <v>46308</v>
      </c>
      <c r="E65" s="16">
        <v>46308</v>
      </c>
      <c r="F65" s="3" t="s">
        <v>22</v>
      </c>
      <c r="G65" s="175"/>
    </row>
    <row r="66" spans="1:7" ht="15">
      <c r="A66" s="5" t="s">
        <v>164</v>
      </c>
      <c r="B66" s="3" t="str">
        <f t="shared" ref="B66:B68" si="10">PROPER(_xlfn.TEXTBEFORE(TRIM(A66), " ", 1))</f>
        <v>Maryam</v>
      </c>
      <c r="C66" s="3" t="str">
        <f t="shared" ref="C66:C68" si="11">_xlfn.TEXTAFTER(TRIM(A66), " ", -1)</f>
        <v>Fayad</v>
      </c>
      <c r="D66" s="82"/>
      <c r="E66" s="16">
        <v>46309</v>
      </c>
      <c r="F66" s="3" t="s">
        <v>22</v>
      </c>
    </row>
    <row r="67" spans="1:7" ht="15">
      <c r="A67" s="5" t="s">
        <v>165</v>
      </c>
      <c r="B67" s="3" t="str">
        <f t="shared" si="10"/>
        <v>Zekra</v>
      </c>
      <c r="C67" s="3" t="str">
        <f t="shared" si="11"/>
        <v>Abdelhamid</v>
      </c>
      <c r="D67" s="82"/>
      <c r="E67" s="16">
        <v>46309</v>
      </c>
      <c r="F67" s="3" t="s">
        <v>22</v>
      </c>
    </row>
    <row r="68" spans="1:7" ht="15">
      <c r="A68" s="5" t="s">
        <v>166</v>
      </c>
      <c r="B68" s="3" t="str">
        <f t="shared" si="10"/>
        <v>Yasmine</v>
      </c>
      <c r="C68" s="3" t="str">
        <f t="shared" si="11"/>
        <v>Elsafty</v>
      </c>
      <c r="D68" s="82"/>
      <c r="E68" s="16">
        <v>46309</v>
      </c>
      <c r="F68" s="3" t="s">
        <v>22</v>
      </c>
    </row>
  </sheetData>
  <autoFilter ref="A1:G50" xr:uid="{D9572D03-A050-4F3A-BC0F-5BAD05189EF4}"/>
  <mergeCells count="2">
    <mergeCell ref="I4:K4"/>
    <mergeCell ref="I12:J12"/>
  </mergeCells>
  <conditionalFormatting sqref="E41:E65">
    <cfRule type="cellIs" dxfId="98" priority="31" operator="equal">
      <formula>"Off"</formula>
    </cfRule>
    <cfRule type="cellIs" dxfId="97" priority="32" operator="equal">
      <formula>"Emergency"</formula>
    </cfRule>
    <cfRule type="cellIs" dxfId="96" priority="33" operator="equal">
      <formula>"NCNS"</formula>
    </cfRule>
    <cfRule type="cellIs" dxfId="95" priority="34" operator="equal">
      <formula>"Sick"</formula>
    </cfRule>
    <cfRule type="cellIs" dxfId="94" priority="35" operator="equal">
      <formula>"Annual"</formula>
    </cfRule>
    <cfRule type="cellIs" dxfId="93" priority="36" operator="equal">
      <formula>"Attended"</formula>
    </cfRule>
  </conditionalFormatting>
  <conditionalFormatting sqref="E40:F40">
    <cfRule type="cellIs" dxfId="92" priority="67" operator="equal">
      <formula>"Off"</formula>
    </cfRule>
    <cfRule type="cellIs" dxfId="91" priority="68" operator="equal">
      <formula>"Emergency"</formula>
    </cfRule>
    <cfRule type="cellIs" dxfId="90" priority="69" operator="equal">
      <formula>"NCNS"</formula>
    </cfRule>
    <cfRule type="cellIs" dxfId="89" priority="70" operator="equal">
      <formula>"Sick"</formula>
    </cfRule>
    <cfRule type="cellIs" dxfId="88" priority="71" operator="equal">
      <formula>"Annual"</formula>
    </cfRule>
    <cfRule type="cellIs" dxfId="87" priority="72" operator="equal">
      <formula>"Attended"</formula>
    </cfRule>
  </conditionalFormatting>
  <conditionalFormatting sqref="F41">
    <cfRule type="cellIs" dxfId="86" priority="61" operator="equal">
      <formula>"Off"</formula>
    </cfRule>
    <cfRule type="cellIs" dxfId="85" priority="62" operator="equal">
      <formula>"Emergency"</formula>
    </cfRule>
    <cfRule type="cellIs" dxfId="84" priority="63" operator="equal">
      <formula>"NCNS"</formula>
    </cfRule>
    <cfRule type="cellIs" dxfId="83" priority="64" operator="equal">
      <formula>"Sick"</formula>
    </cfRule>
    <cfRule type="cellIs" dxfId="82" priority="65" operator="equal">
      <formula>"Annual"</formula>
    </cfRule>
    <cfRule type="cellIs" dxfId="81" priority="66" operator="equal">
      <formula>"Attended"</formula>
    </cfRule>
  </conditionalFormatting>
  <conditionalFormatting sqref="F44">
    <cfRule type="cellIs" dxfId="80" priority="55" operator="equal">
      <formula>"Off"</formula>
    </cfRule>
    <cfRule type="cellIs" dxfId="79" priority="56" operator="equal">
      <formula>"Emergency"</formula>
    </cfRule>
    <cfRule type="cellIs" dxfId="78" priority="57" operator="equal">
      <formula>"NCNS"</formula>
    </cfRule>
    <cfRule type="cellIs" dxfId="77" priority="58" operator="equal">
      <formula>"Sick"</formula>
    </cfRule>
    <cfRule type="cellIs" dxfId="76" priority="59" operator="equal">
      <formula>"Annual"</formula>
    </cfRule>
    <cfRule type="cellIs" dxfId="75" priority="60" operator="equal">
      <formula>"Attended"</formula>
    </cfRule>
  </conditionalFormatting>
  <conditionalFormatting sqref="F46:F50">
    <cfRule type="cellIs" dxfId="74" priority="37" operator="equal">
      <formula>"Off"</formula>
    </cfRule>
    <cfRule type="cellIs" dxfId="73" priority="38" operator="equal">
      <formula>"Emergency"</formula>
    </cfRule>
    <cfRule type="cellIs" dxfId="72" priority="39" operator="equal">
      <formula>"NCNS"</formula>
    </cfRule>
    <cfRule type="cellIs" dxfId="71" priority="40" operator="equal">
      <formula>"Sick"</formula>
    </cfRule>
    <cfRule type="cellIs" dxfId="70" priority="41" operator="equal">
      <formula>"Annual"</formula>
    </cfRule>
    <cfRule type="cellIs" dxfId="69" priority="42" operator="equal">
      <formula>"Attended"</formula>
    </cfRule>
  </conditionalFormatting>
  <conditionalFormatting sqref="F52:F54">
    <cfRule type="cellIs" dxfId="68" priority="25" operator="equal">
      <formula>"Off"</formula>
    </cfRule>
    <cfRule type="cellIs" dxfId="67" priority="26" operator="equal">
      <formula>"Emergency"</formula>
    </cfRule>
    <cfRule type="cellIs" dxfId="66" priority="27" operator="equal">
      <formula>"NCNS"</formula>
    </cfRule>
    <cfRule type="cellIs" dxfId="65" priority="28" operator="equal">
      <formula>"Sick"</formula>
    </cfRule>
    <cfRule type="cellIs" dxfId="64" priority="29" operator="equal">
      <formula>"Annual"</formula>
    </cfRule>
    <cfRule type="cellIs" dxfId="63" priority="30" operator="equal">
      <formula>"Attended"</formula>
    </cfRule>
  </conditionalFormatting>
  <conditionalFormatting sqref="F56:F65">
    <cfRule type="cellIs" dxfId="62" priority="19" operator="equal">
      <formula>"Off"</formula>
    </cfRule>
    <cfRule type="cellIs" dxfId="61" priority="20" operator="equal">
      <formula>"Emergency"</formula>
    </cfRule>
    <cfRule type="cellIs" dxfId="60" priority="21" operator="equal">
      <formula>"NCNS"</formula>
    </cfRule>
    <cfRule type="cellIs" dxfId="59" priority="22" operator="equal">
      <formula>"Sick"</formula>
    </cfRule>
    <cfRule type="cellIs" dxfId="58" priority="23" operator="equal">
      <formula>"Annual"</formula>
    </cfRule>
    <cfRule type="cellIs" dxfId="57" priority="24" operator="equal">
      <formula>"Attended"</formula>
    </cfRule>
  </conditionalFormatting>
  <conditionalFormatting sqref="D51:D65">
    <cfRule type="cellIs" dxfId="56" priority="7" operator="equal">
      <formula>"Off"</formula>
    </cfRule>
    <cfRule type="cellIs" dxfId="55" priority="8" operator="equal">
      <formula>"Emergency"</formula>
    </cfRule>
    <cfRule type="cellIs" dxfId="54" priority="9" operator="equal">
      <formula>"NCNS"</formula>
    </cfRule>
    <cfRule type="cellIs" dxfId="53" priority="10" operator="equal">
      <formula>"Sick"</formula>
    </cfRule>
    <cfRule type="cellIs" dxfId="52" priority="11" operator="equal">
      <formula>"Annual"</formula>
    </cfRule>
    <cfRule type="cellIs" dxfId="51" priority="12" operator="equal">
      <formula>"Attended"</formula>
    </cfRule>
  </conditionalFormatting>
  <conditionalFormatting sqref="F66:F68">
    <cfRule type="cellIs" dxfId="50" priority="1" operator="equal">
      <formula>"Off"</formula>
    </cfRule>
    <cfRule type="cellIs" dxfId="49" priority="2" operator="equal">
      <formula>"Emergency"</formula>
    </cfRule>
    <cfRule type="cellIs" dxfId="48" priority="3" operator="equal">
      <formula>"NCNS"</formula>
    </cfRule>
    <cfRule type="cellIs" dxfId="47" priority="4" operator="equal">
      <formula>"Sick"</formula>
    </cfRule>
    <cfRule type="cellIs" dxfId="46" priority="5" operator="equal">
      <formula>"Annual"</formula>
    </cfRule>
    <cfRule type="cellIs" dxfId="45" priority="6" operator="equal">
      <formula>"Attended"</formula>
    </cfRule>
  </conditionalFormatting>
  <hyperlinks>
    <hyperlink ref="D5" r:id="rId1" xr:uid="{53211630-F97A-49E2-BFB6-53B7C96DB822}"/>
    <hyperlink ref="D3" r:id="rId2" xr:uid="{2AFA3CAF-FF93-463E-A7DC-8CB74E0D514A}"/>
    <hyperlink ref="D4" r:id="rId3" xr:uid="{43BFE111-66E2-42CE-AA59-444670ADB5DA}"/>
    <hyperlink ref="D6" r:id="rId4" xr:uid="{F37C2A75-65FC-44C1-B3E4-1AE46FAB9D81}"/>
    <hyperlink ref="D7" r:id="rId5" xr:uid="{A911C2B1-6B98-4153-960E-E123DBB64186}"/>
    <hyperlink ref="D8" r:id="rId6" xr:uid="{E6177F01-DD35-4F21-9926-9C0F53901E5D}"/>
    <hyperlink ref="D9" r:id="rId7" xr:uid="{C25FBC2E-CBF4-4C8D-9CC9-D875E784C131}"/>
    <hyperlink ref="D10" r:id="rId8" xr:uid="{E94E4A01-CE07-4BCA-B4B2-8E7C817008A8}"/>
    <hyperlink ref="D11" r:id="rId9" xr:uid="{2CC664FC-92F9-4792-98E1-71C778C42EBB}"/>
    <hyperlink ref="D16" r:id="rId10" xr:uid="{DDCFA18A-C32F-442A-941F-D2EFBBA8BD1A}"/>
    <hyperlink ref="D14" r:id="rId11" xr:uid="{7E648A6B-8C42-430C-9289-65FDAE08B610}"/>
    <hyperlink ref="A16" r:id="rId12" display="alaa.madkour@capgemini.com" xr:uid="{44EA3A80-23F4-4480-BF56-797F58EAD529}"/>
    <hyperlink ref="A14" r:id="rId13" display="mohamed.abdelgawad@capgemini.com" xr:uid="{40637828-A93D-4B09-AE7C-C9A1A498C939}"/>
    <hyperlink ref="D17" r:id="rId14" xr:uid="{C93F1CBB-92A3-4800-A3D7-A223382877E3}"/>
    <hyperlink ref="D19" r:id="rId15" xr:uid="{473BCB49-C09E-41FC-8A2B-521AE1FE62FD}"/>
    <hyperlink ref="D20" r:id="rId16" xr:uid="{0E512B70-32AF-4F16-BE7F-E34087C2C89A}"/>
    <hyperlink ref="D23" r:id="rId17" xr:uid="{6A7692E2-4EB4-4B40-972E-3943D78E5DE9}"/>
    <hyperlink ref="D25" r:id="rId18" xr:uid="{703FC1CD-4E85-4283-B111-B1477436EDA3}"/>
    <hyperlink ref="D26" r:id="rId19" xr:uid="{0526697B-25E4-4762-A90D-378F1DC8C493}"/>
    <hyperlink ref="D22" r:id="rId20" xr:uid="{8824840C-C9E3-43E0-A4C2-7E4182FFC900}"/>
    <hyperlink ref="D29" r:id="rId21" xr:uid="{0B8C8D9C-6231-47F5-AE94-193FB2E1818D}"/>
    <hyperlink ref="D27" r:id="rId22" xr:uid="{15F66C64-55DD-4A7C-B5F9-7158A6610AC7}"/>
    <hyperlink ref="D18" r:id="rId23" xr:uid="{EC398AB5-F999-4A55-8814-6CC3F5C6EF87}"/>
    <hyperlink ref="D24" r:id="rId24" xr:uid="{DB62E8B0-95F5-4096-879D-4494E3851F60}"/>
    <hyperlink ref="D21" r:id="rId25" xr:uid="{4FAC07C4-AC5F-4DB7-A904-D1AE945D190A}"/>
    <hyperlink ref="D37" r:id="rId26" xr:uid="{A07DF9A3-18BF-463F-89CD-499492837880}"/>
    <hyperlink ref="D35" r:id="rId27" xr:uid="{A8C32072-257D-40A8-8FCF-6AC13D45C7BA}"/>
    <hyperlink ref="D31" r:id="rId28" xr:uid="{85A07C2C-3580-41F1-BF8A-D72310B1DDDC}"/>
    <hyperlink ref="D33" r:id="rId29" xr:uid="{A23FC92B-1A7F-4270-8A10-5E4E2E11D6EF}"/>
    <hyperlink ref="D30" r:id="rId30" xr:uid="{7E3418C8-FF14-4394-A62C-FE0196DB2CDD}"/>
    <hyperlink ref="D36" r:id="rId31" xr:uid="{6B07C60B-B27C-4D87-9793-2A6E5178E51D}"/>
    <hyperlink ref="D32" r:id="rId32" xr:uid="{EC2AA6A3-1E0B-4A18-ABBD-A8E59BAC4366}"/>
    <hyperlink ref="D34" r:id="rId33" xr:uid="{DB4E8A47-AC5C-42CA-A371-623D60891303}"/>
    <hyperlink ref="D39" r:id="rId34" xr:uid="{9D4B3202-E1E0-4F78-A573-F24509646DF3}"/>
    <hyperlink ref="D40" r:id="rId35" xr:uid="{9E9816B1-0449-4837-BA07-01118B3F8D61}"/>
    <hyperlink ref="D38" r:id="rId36" xr:uid="{2846037C-96EA-46F0-BDAD-1462BA06629F}"/>
    <hyperlink ref="D2" r:id="rId37" xr:uid="{23EA109E-9B3B-43B4-A3CE-46454EFFB470}"/>
    <hyperlink ref="D42" r:id="rId38" xr:uid="{5EFA3CDF-7BDF-4BB3-A4D0-DE2E5557824C}"/>
    <hyperlink ref="D48" r:id="rId39" xr:uid="{20EA25ED-0EDE-4B88-AE6B-ACD57619C5AD}"/>
    <hyperlink ref="D49" r:id="rId40" xr:uid="{93ECBE71-CAFA-45A1-8CB4-F83985DEB14F}"/>
    <hyperlink ref="D43" r:id="rId41" xr:uid="{F8711099-5043-4369-9DA2-4FD98F4BA779}"/>
    <hyperlink ref="D44" r:id="rId42" xr:uid="{AACFBCB2-D56C-4C99-8706-8A51FB7E2282}"/>
    <hyperlink ref="D45" r:id="rId43" xr:uid="{AF3E8FCF-703C-4B24-AB74-988E7C4F77F7}"/>
    <hyperlink ref="D46" r:id="rId44" xr:uid="{5AFB5C0A-4E42-404D-BA2F-626647A0A8D8}"/>
    <hyperlink ref="D47" r:id="rId45" xr:uid="{C6541DC0-20B3-4DA5-9959-C812A21EEF7C}"/>
    <hyperlink ref="D41" r:id="rId46" xr:uid="{56E836E5-B796-4446-B524-2B2E44572947}"/>
    <hyperlink ref="D28" r:id="rId47" xr:uid="{31B21CDC-2990-48F4-B104-BF6C14566D69}"/>
    <hyperlink ref="D50" r:id="rId48" xr:uid="{A1E8046F-C3EB-4498-8A0C-D880303CD7AD}"/>
  </hyperlinks>
  <pageMargins left="0.7" right="0.7" top="0.75" bottom="0.75" header="0.3" footer="0.3"/>
  <legacyDrawing r:id="rId4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D9633-B0C6-423F-AD95-1B1E218F7E6A}">
  <dimension ref="A1:C37"/>
  <sheetViews>
    <sheetView topLeftCell="A15" workbookViewId="0">
      <selection activeCell="B40" sqref="B40"/>
    </sheetView>
  </sheetViews>
  <sheetFormatPr defaultRowHeight="14.45"/>
  <cols>
    <col min="1" max="1" width="10.28515625" bestFit="1" customWidth="1"/>
    <col min="2" max="2" width="22.42578125" bestFit="1" customWidth="1"/>
    <col min="3" max="3" width="22.28515625" bestFit="1" customWidth="1"/>
  </cols>
  <sheetData>
    <row r="1" spans="1:3">
      <c r="A1" s="90" t="s">
        <v>192</v>
      </c>
      <c r="B1" s="90" t="s">
        <v>193</v>
      </c>
      <c r="C1" s="90" t="s">
        <v>194</v>
      </c>
    </row>
    <row r="2" spans="1:3">
      <c r="A2" s="3" t="s">
        <v>195</v>
      </c>
      <c r="B2" s="3" t="s">
        <v>196</v>
      </c>
      <c r="C2" s="3" t="s">
        <v>196</v>
      </c>
    </row>
    <row r="3" spans="1:3">
      <c r="A3" s="3" t="s">
        <v>197</v>
      </c>
      <c r="B3" s="3" t="s">
        <v>198</v>
      </c>
      <c r="C3" s="3" t="s">
        <v>199</v>
      </c>
    </row>
    <row r="4" spans="1:3">
      <c r="A4" s="3" t="s">
        <v>200</v>
      </c>
      <c r="B4" s="3" t="s">
        <v>201</v>
      </c>
      <c r="C4" s="3" t="s">
        <v>202</v>
      </c>
    </row>
    <row r="5" spans="1:3">
      <c r="A5" s="3" t="s">
        <v>203</v>
      </c>
      <c r="B5" s="3" t="s">
        <v>204</v>
      </c>
      <c r="C5" s="3" t="s">
        <v>205</v>
      </c>
    </row>
    <row r="6" spans="1:3">
      <c r="A6" s="3" t="s">
        <v>206</v>
      </c>
      <c r="B6" s="3" t="s">
        <v>207</v>
      </c>
      <c r="C6" s="3" t="s">
        <v>208</v>
      </c>
    </row>
    <row r="7" spans="1:3">
      <c r="A7" s="3" t="s">
        <v>209</v>
      </c>
      <c r="B7" s="3" t="s">
        <v>210</v>
      </c>
      <c r="C7" s="3" t="s">
        <v>211</v>
      </c>
    </row>
    <row r="8" spans="1:3">
      <c r="A8" s="3" t="s">
        <v>212</v>
      </c>
      <c r="B8" s="3" t="s">
        <v>110</v>
      </c>
      <c r="C8" s="3" t="s">
        <v>213</v>
      </c>
    </row>
    <row r="9" spans="1:3">
      <c r="A9" s="3" t="s">
        <v>214</v>
      </c>
      <c r="B9" s="3" t="s">
        <v>215</v>
      </c>
      <c r="C9" s="3" t="s">
        <v>216</v>
      </c>
    </row>
    <row r="10" spans="1:3">
      <c r="A10" s="3" t="s">
        <v>217</v>
      </c>
      <c r="B10" s="3" t="s">
        <v>169</v>
      </c>
      <c r="C10" s="3" t="s">
        <v>170</v>
      </c>
    </row>
    <row r="11" spans="1:3">
      <c r="A11" s="3" t="s">
        <v>218</v>
      </c>
      <c r="B11" s="3" t="s">
        <v>219</v>
      </c>
      <c r="C11" s="3" t="s">
        <v>220</v>
      </c>
    </row>
    <row r="12" spans="1:3">
      <c r="A12" s="3" t="s">
        <v>221</v>
      </c>
      <c r="B12" s="3" t="s">
        <v>222</v>
      </c>
      <c r="C12" s="3" t="s">
        <v>48</v>
      </c>
    </row>
    <row r="13" spans="1:3">
      <c r="A13" s="3" t="s">
        <v>223</v>
      </c>
      <c r="B13" s="3" t="s">
        <v>222</v>
      </c>
      <c r="C13" s="3" t="s">
        <v>224</v>
      </c>
    </row>
    <row r="14" spans="1:3">
      <c r="A14" s="3" t="s">
        <v>225</v>
      </c>
      <c r="B14" s="3" t="s">
        <v>226</v>
      </c>
      <c r="C14" s="3" t="s">
        <v>227</v>
      </c>
    </row>
    <row r="15" spans="1:3">
      <c r="A15" s="3" t="s">
        <v>228</v>
      </c>
      <c r="B15" s="3" t="s">
        <v>226</v>
      </c>
      <c r="C15" s="3" t="s">
        <v>229</v>
      </c>
    </row>
    <row r="16" spans="1:3">
      <c r="A16" s="3" t="s">
        <v>230</v>
      </c>
      <c r="B16" s="3" t="s">
        <v>231</v>
      </c>
      <c r="C16" s="3" t="s">
        <v>232</v>
      </c>
    </row>
    <row r="17" spans="1:3">
      <c r="A17" s="3" t="s">
        <v>233</v>
      </c>
      <c r="B17" s="3" t="s">
        <v>234</v>
      </c>
      <c r="C17" s="3" t="s">
        <v>235</v>
      </c>
    </row>
    <row r="18" spans="1:3">
      <c r="A18" s="3" t="s">
        <v>236</v>
      </c>
      <c r="B18" s="3" t="s">
        <v>48</v>
      </c>
      <c r="C18" s="3" t="s">
        <v>49</v>
      </c>
    </row>
    <row r="19" spans="1:3">
      <c r="A19" s="3" t="s">
        <v>237</v>
      </c>
      <c r="B19" s="3" t="s">
        <v>48</v>
      </c>
      <c r="C19" s="3" t="s">
        <v>238</v>
      </c>
    </row>
    <row r="20" spans="1:3">
      <c r="A20" s="3" t="s">
        <v>239</v>
      </c>
      <c r="B20" s="3" t="s">
        <v>48</v>
      </c>
      <c r="C20" s="3" t="s">
        <v>240</v>
      </c>
    </row>
    <row r="21" spans="1:3">
      <c r="A21" s="3" t="s">
        <v>241</v>
      </c>
      <c r="B21" s="3" t="s">
        <v>48</v>
      </c>
      <c r="C21" s="3" t="s">
        <v>169</v>
      </c>
    </row>
    <row r="22" spans="1:3">
      <c r="A22" s="3" t="s">
        <v>242</v>
      </c>
      <c r="B22" s="3" t="s">
        <v>243</v>
      </c>
      <c r="C22" s="3" t="s">
        <v>227</v>
      </c>
    </row>
    <row r="23" spans="1:3">
      <c r="A23" s="3" t="s">
        <v>244</v>
      </c>
      <c r="B23" s="3" t="s">
        <v>245</v>
      </c>
      <c r="C23" s="3" t="s">
        <v>246</v>
      </c>
    </row>
    <row r="24" spans="1:3">
      <c r="A24" s="3" t="s">
        <v>247</v>
      </c>
      <c r="B24" s="3" t="s">
        <v>43</v>
      </c>
      <c r="C24" s="3" t="s">
        <v>248</v>
      </c>
    </row>
    <row r="25" spans="1:3">
      <c r="A25" s="3" t="s">
        <v>249</v>
      </c>
      <c r="B25" s="3" t="s">
        <v>43</v>
      </c>
      <c r="C25" s="3" t="s">
        <v>49</v>
      </c>
    </row>
    <row r="26" spans="1:3">
      <c r="A26" s="3" t="s">
        <v>250</v>
      </c>
      <c r="B26" s="3" t="s">
        <v>43</v>
      </c>
      <c r="C26" s="3" t="s">
        <v>251</v>
      </c>
    </row>
    <row r="27" spans="1:3">
      <c r="A27" s="3" t="s">
        <v>252</v>
      </c>
      <c r="B27" s="3" t="s">
        <v>43</v>
      </c>
      <c r="C27" s="3" t="s">
        <v>44</v>
      </c>
    </row>
    <row r="28" spans="1:3">
      <c r="A28" s="3" t="s">
        <v>253</v>
      </c>
      <c r="B28" s="3" t="s">
        <v>57</v>
      </c>
      <c r="C28" s="3" t="s">
        <v>58</v>
      </c>
    </row>
    <row r="29" spans="1:3">
      <c r="A29" s="3" t="s">
        <v>254</v>
      </c>
      <c r="B29" s="3" t="s">
        <v>255</v>
      </c>
      <c r="C29" s="3" t="s">
        <v>256</v>
      </c>
    </row>
    <row r="30" spans="1:3">
      <c r="A30" s="3" t="s">
        <v>257</v>
      </c>
      <c r="B30" s="3" t="s">
        <v>258</v>
      </c>
      <c r="C30" s="3" t="s">
        <v>259</v>
      </c>
    </row>
    <row r="31" spans="1:3">
      <c r="A31" s="3" t="s">
        <v>260</v>
      </c>
      <c r="B31" s="3" t="s">
        <v>261</v>
      </c>
      <c r="C31" s="3" t="s">
        <v>262</v>
      </c>
    </row>
    <row r="32" spans="1:3">
      <c r="A32" s="3" t="s">
        <v>263</v>
      </c>
      <c r="B32" s="3" t="s">
        <v>264</v>
      </c>
      <c r="C32" s="3" t="s">
        <v>43</v>
      </c>
    </row>
    <row r="33" spans="1:3">
      <c r="A33" s="3" t="s">
        <v>265</v>
      </c>
      <c r="B33" s="3" t="s">
        <v>266</v>
      </c>
      <c r="C33" s="3" t="s">
        <v>267</v>
      </c>
    </row>
    <row r="34" spans="1:3">
      <c r="A34" s="3" t="s">
        <v>268</v>
      </c>
      <c r="B34" s="3" t="s">
        <v>53</v>
      </c>
      <c r="C34" s="3" t="s">
        <v>54</v>
      </c>
    </row>
    <row r="35" spans="1:3">
      <c r="A35" s="3" t="s">
        <v>269</v>
      </c>
      <c r="B35" s="3" t="s">
        <v>270</v>
      </c>
      <c r="C35" s="3" t="s">
        <v>271</v>
      </c>
    </row>
    <row r="36" spans="1:3">
      <c r="A36" s="3" t="s">
        <v>272</v>
      </c>
      <c r="B36" s="3" t="s">
        <v>273</v>
      </c>
      <c r="C36" s="3" t="s">
        <v>48</v>
      </c>
    </row>
    <row r="37" spans="1:3">
      <c r="A37" s="3" t="s">
        <v>274</v>
      </c>
      <c r="B37" s="3" t="s">
        <v>275</v>
      </c>
      <c r="C37" s="3" t="s">
        <v>276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1F553-43B5-4A3A-80FB-A59179826C90}">
  <dimension ref="A2:B7"/>
  <sheetViews>
    <sheetView workbookViewId="0">
      <selection activeCell="B7" sqref="B7"/>
    </sheetView>
  </sheetViews>
  <sheetFormatPr defaultRowHeight="14.45"/>
  <cols>
    <col min="2" max="2" width="70.5703125" customWidth="1"/>
  </cols>
  <sheetData>
    <row r="2" spans="1:2">
      <c r="A2" s="89" t="s">
        <v>277</v>
      </c>
      <c r="B2" s="9" t="s">
        <v>278</v>
      </c>
    </row>
    <row r="7" spans="1:2" ht="15" customHeight="1">
      <c r="A7" s="117" t="s">
        <v>279</v>
      </c>
      <c r="B7" s="118" t="s">
        <v>280</v>
      </c>
    </row>
  </sheetData>
  <hyperlinks>
    <hyperlink ref="B2" r:id="rId1" xr:uid="{2B0DE215-7AA0-445B-AF18-C1F6612D3C2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EE878-C573-4D49-8777-CBB577ADBB29}">
  <sheetPr filterMode="1"/>
  <dimension ref="A1:O168"/>
  <sheetViews>
    <sheetView workbookViewId="0">
      <pane ySplit="120" topLeftCell="A151" activePane="bottomLeft" state="frozen"/>
      <selection pane="bottomLeft" activeCell="A173" sqref="A173"/>
    </sheetView>
  </sheetViews>
  <sheetFormatPr defaultRowHeight="15" customHeight="1"/>
  <cols>
    <col min="1" max="1" width="20.85546875" bestFit="1" customWidth="1"/>
    <col min="2" max="2" width="6" bestFit="1" customWidth="1"/>
    <col min="3" max="7" width="10.42578125" bestFit="1" customWidth="1"/>
    <col min="8" max="8" width="8.42578125" bestFit="1" customWidth="1"/>
    <col min="9" max="9" width="9" bestFit="1" customWidth="1"/>
    <col min="10" max="10" width="17.7109375" customWidth="1"/>
    <col min="12" max="12" width="7.140625" bestFit="1" customWidth="1"/>
    <col min="13" max="13" width="15.28515625" bestFit="1" customWidth="1"/>
    <col min="15" max="15" width="15.28515625" bestFit="1" customWidth="1"/>
  </cols>
  <sheetData>
    <row r="1" spans="1:15" ht="14.45">
      <c r="B1" s="53"/>
      <c r="C1" s="53"/>
      <c r="D1" s="53"/>
      <c r="E1" s="53"/>
      <c r="F1" s="53"/>
      <c r="G1" s="53"/>
      <c r="H1" s="53"/>
      <c r="I1" s="53"/>
      <c r="J1" s="53"/>
      <c r="K1" s="55" t="s">
        <v>281</v>
      </c>
    </row>
    <row r="2" spans="1:15" ht="14.45" hidden="1">
      <c r="A2" s="1" t="s">
        <v>1</v>
      </c>
      <c r="B2" s="1" t="s">
        <v>282</v>
      </c>
      <c r="C2" s="1" t="s">
        <v>283</v>
      </c>
      <c r="D2" s="1" t="s">
        <v>284</v>
      </c>
      <c r="E2" s="1" t="s">
        <v>285</v>
      </c>
      <c r="F2" s="1" t="s">
        <v>286</v>
      </c>
      <c r="G2" s="1" t="s">
        <v>287</v>
      </c>
      <c r="H2" s="1" t="s">
        <v>288</v>
      </c>
      <c r="I2" s="1" t="s">
        <v>289</v>
      </c>
      <c r="J2" s="1"/>
      <c r="K2" s="52">
        <v>39</v>
      </c>
    </row>
    <row r="3" spans="1:15" ht="14.45" hidden="1">
      <c r="A3" s="3" t="s">
        <v>8</v>
      </c>
      <c r="B3" s="5">
        <v>1</v>
      </c>
      <c r="C3" s="10" t="s">
        <v>290</v>
      </c>
      <c r="D3" s="10" t="s">
        <v>290</v>
      </c>
      <c r="E3" s="10" t="s">
        <v>290</v>
      </c>
      <c r="F3" s="31" t="s">
        <v>290</v>
      </c>
      <c r="G3" s="31" t="s">
        <v>290</v>
      </c>
      <c r="H3" s="11"/>
      <c r="I3" s="48"/>
      <c r="J3" s="48"/>
      <c r="K3" s="52">
        <v>39</v>
      </c>
    </row>
    <row r="4" spans="1:15" ht="14.45" hidden="1">
      <c r="A4" s="3" t="s">
        <v>15</v>
      </c>
      <c r="B4" s="5">
        <v>1</v>
      </c>
      <c r="C4" s="10" t="s">
        <v>290</v>
      </c>
      <c r="D4" s="10" t="s">
        <v>290</v>
      </c>
      <c r="E4" s="10" t="s">
        <v>290</v>
      </c>
      <c r="F4" s="31" t="s">
        <v>290</v>
      </c>
      <c r="G4" s="10" t="s">
        <v>290</v>
      </c>
      <c r="H4" s="11"/>
      <c r="I4" s="48"/>
      <c r="J4" s="48"/>
      <c r="K4" s="52">
        <v>39</v>
      </c>
      <c r="N4" s="49" t="s">
        <v>291</v>
      </c>
      <c r="O4" s="14" t="s">
        <v>292</v>
      </c>
    </row>
    <row r="5" spans="1:15" ht="14.45" hidden="1">
      <c r="A5" s="3" t="s">
        <v>18</v>
      </c>
      <c r="B5" s="5">
        <v>1</v>
      </c>
      <c r="C5" s="10" t="s">
        <v>290</v>
      </c>
      <c r="D5" s="10" t="s">
        <v>290</v>
      </c>
      <c r="E5" s="10" t="s">
        <v>290</v>
      </c>
      <c r="F5" s="10" t="s">
        <v>290</v>
      </c>
      <c r="G5" s="31" t="s">
        <v>290</v>
      </c>
      <c r="H5" s="11"/>
      <c r="I5" s="48"/>
      <c r="J5" s="48"/>
      <c r="K5" s="52">
        <v>39</v>
      </c>
      <c r="N5" s="50" t="s">
        <v>293</v>
      </c>
      <c r="O5" s="20" t="s">
        <v>294</v>
      </c>
    </row>
    <row r="6" spans="1:15" ht="14.45" hidden="1">
      <c r="A6" s="3" t="s">
        <v>20</v>
      </c>
      <c r="B6" s="5">
        <v>1</v>
      </c>
      <c r="C6" s="10" t="s">
        <v>290</v>
      </c>
      <c r="D6" s="10" t="s">
        <v>290</v>
      </c>
      <c r="E6" s="10" t="s">
        <v>290</v>
      </c>
      <c r="F6" s="31" t="s">
        <v>290</v>
      </c>
      <c r="G6" s="31" t="s">
        <v>290</v>
      </c>
      <c r="H6" s="11"/>
      <c r="I6" s="48"/>
      <c r="J6" s="48"/>
      <c r="K6" s="52">
        <v>39</v>
      </c>
      <c r="N6" s="51" t="s">
        <v>183</v>
      </c>
      <c r="O6" s="21" t="s">
        <v>295</v>
      </c>
    </row>
    <row r="7" spans="1:15" ht="14.45" hidden="1">
      <c r="A7" s="3" t="s">
        <v>23</v>
      </c>
      <c r="B7" s="5">
        <v>1</v>
      </c>
      <c r="C7" s="10" t="s">
        <v>290</v>
      </c>
      <c r="D7" s="10" t="s">
        <v>290</v>
      </c>
      <c r="E7" s="10" t="s">
        <v>290</v>
      </c>
      <c r="F7" s="31" t="s">
        <v>290</v>
      </c>
      <c r="G7" s="31" t="s">
        <v>290</v>
      </c>
      <c r="H7" s="11"/>
      <c r="I7" s="48"/>
      <c r="J7" s="48"/>
      <c r="K7" s="52">
        <v>39</v>
      </c>
    </row>
    <row r="8" spans="1:15" ht="14.45" hidden="1">
      <c r="A8" s="3" t="s">
        <v>26</v>
      </c>
      <c r="B8" s="5">
        <v>1</v>
      </c>
      <c r="C8" s="10" t="s">
        <v>290</v>
      </c>
      <c r="D8" s="10" t="s">
        <v>290</v>
      </c>
      <c r="E8" s="10" t="s">
        <v>290</v>
      </c>
      <c r="F8" s="31" t="s">
        <v>290</v>
      </c>
      <c r="G8" s="31" t="s">
        <v>290</v>
      </c>
      <c r="H8" s="11"/>
      <c r="I8" s="48"/>
      <c r="J8" s="48"/>
      <c r="K8" s="52">
        <v>39</v>
      </c>
    </row>
    <row r="9" spans="1:15" ht="14.45" hidden="1">
      <c r="A9" s="3" t="s">
        <v>29</v>
      </c>
      <c r="B9" s="5">
        <v>1</v>
      </c>
      <c r="C9" s="10" t="s">
        <v>290</v>
      </c>
      <c r="D9" s="10" t="s">
        <v>290</v>
      </c>
      <c r="E9" s="10" t="s">
        <v>290</v>
      </c>
      <c r="F9" s="31" t="s">
        <v>290</v>
      </c>
      <c r="G9" s="31" t="s">
        <v>290</v>
      </c>
      <c r="H9" s="11"/>
      <c r="I9" s="48"/>
      <c r="J9" s="48"/>
      <c r="K9" s="52">
        <v>39</v>
      </c>
    </row>
    <row r="10" spans="1:15" ht="14.45" hidden="1">
      <c r="A10" s="3" t="s">
        <v>32</v>
      </c>
      <c r="B10" s="5">
        <v>1</v>
      </c>
      <c r="C10" s="10" t="s">
        <v>290</v>
      </c>
      <c r="D10" s="10" t="s">
        <v>290</v>
      </c>
      <c r="E10" s="10" t="s">
        <v>290</v>
      </c>
      <c r="F10" s="31" t="s">
        <v>290</v>
      </c>
      <c r="G10" s="31" t="s">
        <v>290</v>
      </c>
      <c r="H10" s="11"/>
      <c r="I10" s="48"/>
      <c r="J10" s="48"/>
      <c r="K10" s="52">
        <v>39</v>
      </c>
    </row>
    <row r="11" spans="1:15" ht="14.45" hidden="1">
      <c r="A11" s="3" t="s">
        <v>35</v>
      </c>
      <c r="B11" s="5">
        <v>1</v>
      </c>
      <c r="C11" s="10" t="s">
        <v>290</v>
      </c>
      <c r="D11" s="10" t="s">
        <v>290</v>
      </c>
      <c r="E11" s="10" t="s">
        <v>290</v>
      </c>
      <c r="F11" s="31" t="s">
        <v>290</v>
      </c>
      <c r="G11" s="31" t="s">
        <v>290</v>
      </c>
      <c r="H11" s="11"/>
      <c r="I11" s="48"/>
      <c r="J11" s="48"/>
      <c r="K11" s="52">
        <v>39</v>
      </c>
    </row>
    <row r="12" spans="1:15" ht="14.45" hidden="1">
      <c r="A12" s="3" t="s">
        <v>39</v>
      </c>
      <c r="B12" s="5">
        <v>1</v>
      </c>
      <c r="C12" s="10" t="s">
        <v>290</v>
      </c>
      <c r="D12" s="10" t="s">
        <v>290</v>
      </c>
      <c r="E12" s="10" t="s">
        <v>290</v>
      </c>
      <c r="F12" s="31" t="s">
        <v>290</v>
      </c>
      <c r="G12" s="31" t="s">
        <v>290</v>
      </c>
      <c r="H12" s="11"/>
      <c r="I12" s="48"/>
      <c r="J12" s="48"/>
      <c r="K12" s="52">
        <v>39</v>
      </c>
    </row>
    <row r="13" spans="1:15" ht="14.45" hidden="1">
      <c r="A13" s="3" t="s">
        <v>42</v>
      </c>
      <c r="B13" s="5">
        <v>1</v>
      </c>
      <c r="C13" s="10" t="s">
        <v>290</v>
      </c>
      <c r="D13" s="10" t="s">
        <v>290</v>
      </c>
      <c r="E13" s="10" t="s">
        <v>290</v>
      </c>
      <c r="F13" s="31" t="s">
        <v>290</v>
      </c>
      <c r="G13" s="31" t="s">
        <v>290</v>
      </c>
      <c r="H13" s="11"/>
      <c r="I13" s="48"/>
      <c r="J13" s="48"/>
      <c r="K13" s="52">
        <v>39</v>
      </c>
    </row>
    <row r="14" spans="1:15" ht="14.45" hidden="1">
      <c r="A14" s="3" t="s">
        <v>47</v>
      </c>
      <c r="B14" s="5">
        <v>1</v>
      </c>
      <c r="C14" s="10" t="s">
        <v>290</v>
      </c>
      <c r="D14" s="10" t="s">
        <v>290</v>
      </c>
      <c r="E14" s="10" t="s">
        <v>290</v>
      </c>
      <c r="F14" s="31" t="s">
        <v>290</v>
      </c>
      <c r="G14" s="31" t="s">
        <v>290</v>
      </c>
      <c r="H14" s="11"/>
      <c r="I14" s="48"/>
      <c r="J14" s="48"/>
      <c r="K14" s="52">
        <v>39</v>
      </c>
    </row>
    <row r="15" spans="1:15" ht="14.45" hidden="1">
      <c r="A15" s="3" t="s">
        <v>52</v>
      </c>
      <c r="B15" s="5">
        <v>1</v>
      </c>
      <c r="C15" s="10" t="s">
        <v>290</v>
      </c>
      <c r="D15" s="10" t="s">
        <v>290</v>
      </c>
      <c r="E15" s="10" t="s">
        <v>290</v>
      </c>
      <c r="F15" s="31" t="s">
        <v>290</v>
      </c>
      <c r="G15" s="31" t="s">
        <v>290</v>
      </c>
      <c r="H15" s="11"/>
      <c r="I15" s="48"/>
      <c r="J15" s="48"/>
      <c r="K15" s="52">
        <v>39</v>
      </c>
    </row>
    <row r="16" spans="1:15" ht="14.45" hidden="1">
      <c r="A16" s="3" t="s">
        <v>56</v>
      </c>
      <c r="B16" s="5">
        <v>1</v>
      </c>
      <c r="C16" s="10" t="s">
        <v>290</v>
      </c>
      <c r="D16" s="54" t="s">
        <v>290</v>
      </c>
      <c r="E16" s="10" t="s">
        <v>290</v>
      </c>
      <c r="F16" s="31" t="s">
        <v>290</v>
      </c>
      <c r="G16" s="31" t="s">
        <v>290</v>
      </c>
      <c r="H16" s="11"/>
      <c r="I16" s="48"/>
      <c r="J16" s="48"/>
      <c r="K16" s="52">
        <v>39</v>
      </c>
    </row>
    <row r="17" spans="1:11" ht="14.45" hidden="1">
      <c r="A17" s="3" t="s">
        <v>61</v>
      </c>
      <c r="B17" s="5">
        <v>1</v>
      </c>
      <c r="C17" s="10" t="s">
        <v>290</v>
      </c>
      <c r="D17" s="10" t="s">
        <v>290</v>
      </c>
      <c r="E17" s="10" t="s">
        <v>290</v>
      </c>
      <c r="F17" s="31" t="s">
        <v>290</v>
      </c>
      <c r="G17" s="31" t="s">
        <v>290</v>
      </c>
      <c r="H17" s="11"/>
      <c r="I17" s="48"/>
      <c r="J17" s="48"/>
      <c r="K17" s="52">
        <v>39</v>
      </c>
    </row>
    <row r="18" spans="1:11" ht="14.45" hidden="1">
      <c r="A18" s="3" t="s">
        <v>64</v>
      </c>
      <c r="B18" s="5">
        <v>1</v>
      </c>
      <c r="C18" s="10" t="s">
        <v>290</v>
      </c>
      <c r="D18" s="10" t="s">
        <v>290</v>
      </c>
      <c r="E18" s="10" t="s">
        <v>290</v>
      </c>
      <c r="F18" s="10" t="s">
        <v>290</v>
      </c>
      <c r="G18" s="31" t="s">
        <v>290</v>
      </c>
      <c r="H18" s="11"/>
      <c r="I18" s="48"/>
      <c r="J18" s="48"/>
      <c r="K18" s="52">
        <v>39</v>
      </c>
    </row>
    <row r="19" spans="1:11" ht="14.45" hidden="1">
      <c r="A19" s="3" t="s">
        <v>67</v>
      </c>
      <c r="B19" s="5">
        <v>1</v>
      </c>
      <c r="C19" s="10" t="s">
        <v>290</v>
      </c>
      <c r="D19" s="10" t="s">
        <v>290</v>
      </c>
      <c r="E19" s="10" t="s">
        <v>290</v>
      </c>
      <c r="F19" s="31" t="s">
        <v>290</v>
      </c>
      <c r="G19" s="31" t="s">
        <v>290</v>
      </c>
      <c r="H19" s="11"/>
      <c r="I19" s="48"/>
      <c r="J19" s="48"/>
      <c r="K19" s="52">
        <v>39</v>
      </c>
    </row>
    <row r="20" spans="1:11" ht="14.45" hidden="1">
      <c r="A20" s="3" t="s">
        <v>70</v>
      </c>
      <c r="B20" s="5">
        <v>1</v>
      </c>
      <c r="C20" s="10" t="s">
        <v>290</v>
      </c>
      <c r="D20" s="10" t="s">
        <v>290</v>
      </c>
      <c r="E20" s="10" t="s">
        <v>290</v>
      </c>
      <c r="F20" s="31" t="s">
        <v>290</v>
      </c>
      <c r="G20" s="31" t="s">
        <v>290</v>
      </c>
      <c r="H20" s="11"/>
      <c r="I20" s="48"/>
      <c r="J20" s="48"/>
      <c r="K20" s="52">
        <v>39</v>
      </c>
    </row>
    <row r="21" spans="1:11" ht="14.45" hidden="1">
      <c r="A21" s="3" t="s">
        <v>72</v>
      </c>
      <c r="B21" s="5">
        <v>1</v>
      </c>
      <c r="D21" s="10" t="s">
        <v>290</v>
      </c>
      <c r="E21" s="10" t="s">
        <v>290</v>
      </c>
      <c r="F21" s="10" t="s">
        <v>290</v>
      </c>
      <c r="G21" s="31" t="s">
        <v>290</v>
      </c>
      <c r="H21" s="11"/>
      <c r="I21" s="48"/>
      <c r="J21" s="48"/>
      <c r="K21" s="52">
        <v>39</v>
      </c>
    </row>
    <row r="22" spans="1:11" ht="14.45" hidden="1">
      <c r="A22" s="3" t="s">
        <v>75</v>
      </c>
      <c r="B22" s="5">
        <v>1</v>
      </c>
      <c r="C22" s="10" t="s">
        <v>290</v>
      </c>
      <c r="D22" s="10" t="s">
        <v>290</v>
      </c>
      <c r="E22" s="10" t="s">
        <v>290</v>
      </c>
      <c r="F22" s="31" t="s">
        <v>290</v>
      </c>
      <c r="G22" s="31" t="s">
        <v>290</v>
      </c>
      <c r="H22" s="11"/>
      <c r="I22" s="48"/>
      <c r="J22" s="48"/>
      <c r="K22" s="52">
        <v>39</v>
      </c>
    </row>
    <row r="23" spans="1:11" ht="14.45" hidden="1">
      <c r="A23" s="3" t="s">
        <v>78</v>
      </c>
      <c r="B23" s="5">
        <v>1</v>
      </c>
      <c r="C23" s="10" t="s">
        <v>290</v>
      </c>
      <c r="D23" s="10" t="s">
        <v>290</v>
      </c>
      <c r="E23" s="10" t="s">
        <v>290</v>
      </c>
      <c r="F23" s="31" t="s">
        <v>290</v>
      </c>
      <c r="G23" s="31" t="s">
        <v>290</v>
      </c>
      <c r="H23" s="11"/>
      <c r="I23" s="48"/>
      <c r="J23" s="48"/>
      <c r="K23" s="52">
        <v>39</v>
      </c>
    </row>
    <row r="24" spans="1:11" ht="14.45" hidden="1">
      <c r="A24" s="3" t="s">
        <v>80</v>
      </c>
      <c r="B24" s="5">
        <v>1</v>
      </c>
      <c r="D24" s="10" t="s">
        <v>290</v>
      </c>
      <c r="E24" s="10" t="s">
        <v>290</v>
      </c>
      <c r="F24" s="10" t="s">
        <v>290</v>
      </c>
      <c r="G24" s="31" t="s">
        <v>290</v>
      </c>
      <c r="H24" s="11"/>
      <c r="I24" s="48"/>
      <c r="J24" s="48"/>
      <c r="K24" s="52">
        <v>39</v>
      </c>
    </row>
    <row r="25" spans="1:11" ht="14.45" hidden="1">
      <c r="A25" s="3" t="s">
        <v>82</v>
      </c>
      <c r="B25" s="5">
        <v>1</v>
      </c>
      <c r="C25" s="10" t="s">
        <v>290</v>
      </c>
      <c r="D25" s="10" t="s">
        <v>290</v>
      </c>
      <c r="E25" s="10" t="s">
        <v>290</v>
      </c>
      <c r="F25" s="31" t="s">
        <v>290</v>
      </c>
      <c r="G25" s="31" t="s">
        <v>290</v>
      </c>
      <c r="H25" s="11"/>
      <c r="I25" s="48"/>
      <c r="J25" s="48"/>
      <c r="K25" s="52">
        <v>39</v>
      </c>
    </row>
    <row r="26" spans="1:11" ht="14.45" hidden="1">
      <c r="A26" s="3" t="s">
        <v>84</v>
      </c>
      <c r="B26" s="5">
        <v>1</v>
      </c>
      <c r="C26" s="10" t="s">
        <v>290</v>
      </c>
      <c r="D26" s="10" t="s">
        <v>290</v>
      </c>
      <c r="E26" s="10" t="s">
        <v>290</v>
      </c>
      <c r="F26" s="31" t="s">
        <v>290</v>
      </c>
      <c r="G26" s="31" t="s">
        <v>290</v>
      </c>
      <c r="H26" s="11"/>
      <c r="I26" s="48"/>
      <c r="J26" s="48"/>
      <c r="K26" s="52">
        <v>39</v>
      </c>
    </row>
    <row r="27" spans="1:11" ht="14.45" hidden="1">
      <c r="A27" s="3" t="s">
        <v>86</v>
      </c>
      <c r="B27" s="5">
        <v>1</v>
      </c>
      <c r="C27" s="10" t="s">
        <v>290</v>
      </c>
      <c r="D27" s="10" t="s">
        <v>290</v>
      </c>
      <c r="E27" s="10" t="s">
        <v>290</v>
      </c>
      <c r="F27" s="10" t="s">
        <v>290</v>
      </c>
      <c r="G27" s="31" t="s">
        <v>290</v>
      </c>
      <c r="H27" s="11"/>
      <c r="I27" s="48"/>
      <c r="J27" s="48"/>
      <c r="K27" s="52">
        <v>39</v>
      </c>
    </row>
    <row r="28" spans="1:11" ht="14.45" hidden="1">
      <c r="A28" s="3" t="s">
        <v>88</v>
      </c>
      <c r="B28" s="5">
        <v>1</v>
      </c>
      <c r="C28" s="10" t="s">
        <v>290</v>
      </c>
      <c r="D28" s="10" t="s">
        <v>290</v>
      </c>
      <c r="E28" s="10" t="s">
        <v>290</v>
      </c>
      <c r="F28" s="31" t="s">
        <v>290</v>
      </c>
      <c r="G28" s="31" t="s">
        <v>290</v>
      </c>
      <c r="H28" s="11"/>
      <c r="I28" s="48"/>
      <c r="J28" s="48"/>
      <c r="K28" s="52">
        <v>39</v>
      </c>
    </row>
    <row r="29" spans="1:11" ht="14.45" hidden="1">
      <c r="A29" s="30" t="s">
        <v>90</v>
      </c>
      <c r="B29" s="5">
        <v>1</v>
      </c>
      <c r="C29" s="10" t="s">
        <v>290</v>
      </c>
      <c r="D29" s="10" t="s">
        <v>290</v>
      </c>
      <c r="E29" s="10" t="s">
        <v>290</v>
      </c>
      <c r="F29" s="31" t="s">
        <v>290</v>
      </c>
      <c r="G29" s="31" t="s">
        <v>290</v>
      </c>
      <c r="H29" s="11"/>
      <c r="I29" s="48"/>
      <c r="J29" s="48"/>
      <c r="K29" s="52">
        <v>39</v>
      </c>
    </row>
    <row r="30" spans="1:11" ht="14.45" hidden="1">
      <c r="A30" s="3" t="s">
        <v>255</v>
      </c>
      <c r="B30" s="5">
        <v>1</v>
      </c>
      <c r="E30" s="10" t="s">
        <v>290</v>
      </c>
      <c r="F30" s="10" t="s">
        <v>290</v>
      </c>
      <c r="G30" s="10" t="s">
        <v>290</v>
      </c>
      <c r="H30" s="11"/>
      <c r="I30" s="48"/>
      <c r="J30" s="48"/>
      <c r="K30" s="52">
        <v>39</v>
      </c>
    </row>
    <row r="31" spans="1:11" ht="14.45" hidden="1">
      <c r="A31" s="1" t="s">
        <v>1</v>
      </c>
      <c r="B31" s="1" t="s">
        <v>282</v>
      </c>
      <c r="C31" s="2">
        <v>46279</v>
      </c>
      <c r="D31" s="2">
        <v>46280</v>
      </c>
      <c r="E31" s="2">
        <v>46281</v>
      </c>
      <c r="F31" s="2">
        <v>46282</v>
      </c>
      <c r="G31" s="2">
        <v>46283</v>
      </c>
      <c r="H31" s="2">
        <v>46284</v>
      </c>
      <c r="I31" s="2">
        <v>46285</v>
      </c>
      <c r="J31" s="2"/>
      <c r="K31" s="52">
        <v>38</v>
      </c>
    </row>
    <row r="32" spans="1:11" ht="14.45" hidden="1">
      <c r="A32" s="46" t="s">
        <v>8</v>
      </c>
      <c r="B32" s="5">
        <v>1</v>
      </c>
      <c r="C32" s="10" t="s">
        <v>290</v>
      </c>
      <c r="D32" s="10" t="s">
        <v>290</v>
      </c>
      <c r="E32" s="10" t="s">
        <v>290</v>
      </c>
      <c r="F32" s="31" t="s">
        <v>290</v>
      </c>
      <c r="G32" s="3" t="s">
        <v>13</v>
      </c>
      <c r="H32" s="11"/>
      <c r="I32" s="11"/>
      <c r="J32" s="11"/>
      <c r="K32" s="52">
        <v>38</v>
      </c>
    </row>
    <row r="33" spans="1:15" ht="14.45" hidden="1">
      <c r="A33" s="46" t="s">
        <v>15</v>
      </c>
      <c r="B33" s="5">
        <v>1</v>
      </c>
      <c r="C33" s="10" t="s">
        <v>290</v>
      </c>
      <c r="D33" s="10" t="s">
        <v>290</v>
      </c>
      <c r="E33" s="10" t="s">
        <v>290</v>
      </c>
      <c r="F33" s="31" t="s">
        <v>290</v>
      </c>
      <c r="G33" s="31" t="s">
        <v>290</v>
      </c>
      <c r="H33" s="11"/>
      <c r="I33" s="11"/>
      <c r="J33" s="11"/>
      <c r="K33" s="52">
        <v>38</v>
      </c>
    </row>
    <row r="34" spans="1:15" ht="14.45" hidden="1">
      <c r="A34" s="46" t="s">
        <v>18</v>
      </c>
      <c r="B34" s="5">
        <v>1</v>
      </c>
      <c r="C34" s="10" t="s">
        <v>290</v>
      </c>
      <c r="D34" s="10" t="s">
        <v>290</v>
      </c>
      <c r="E34" s="10" t="s">
        <v>290</v>
      </c>
      <c r="F34" s="31" t="s">
        <v>290</v>
      </c>
      <c r="G34" s="31" t="s">
        <v>290</v>
      </c>
      <c r="H34" s="11"/>
      <c r="I34" s="11"/>
      <c r="J34" s="11"/>
      <c r="K34" s="52">
        <v>38</v>
      </c>
    </row>
    <row r="35" spans="1:15" ht="14.45" hidden="1">
      <c r="A35" s="3" t="s">
        <v>20</v>
      </c>
      <c r="B35" s="5">
        <v>1</v>
      </c>
      <c r="C35" s="10" t="s">
        <v>290</v>
      </c>
      <c r="D35" s="10" t="s">
        <v>290</v>
      </c>
      <c r="E35" s="54" t="s">
        <v>290</v>
      </c>
      <c r="F35" s="31" t="s">
        <v>290</v>
      </c>
      <c r="G35" s="31" t="s">
        <v>290</v>
      </c>
      <c r="H35" s="11"/>
      <c r="I35" s="11"/>
      <c r="J35" s="11"/>
      <c r="K35" s="52">
        <v>38</v>
      </c>
      <c r="N35" s="58" t="s">
        <v>291</v>
      </c>
      <c r="O35" s="14" t="s">
        <v>292</v>
      </c>
    </row>
    <row r="36" spans="1:15" ht="14.45" hidden="1">
      <c r="A36" s="13" t="s">
        <v>23</v>
      </c>
      <c r="B36" s="5">
        <v>1</v>
      </c>
      <c r="C36" s="10" t="s">
        <v>290</v>
      </c>
      <c r="D36" s="10" t="s">
        <v>290</v>
      </c>
      <c r="E36" s="10" t="s">
        <v>290</v>
      </c>
      <c r="F36" s="31" t="s">
        <v>290</v>
      </c>
      <c r="G36" s="31" t="s">
        <v>290</v>
      </c>
      <c r="H36" s="11"/>
      <c r="I36" s="11"/>
      <c r="J36" s="11"/>
      <c r="K36" s="52">
        <v>38</v>
      </c>
      <c r="N36" s="59" t="s">
        <v>293</v>
      </c>
      <c r="O36" s="20" t="s">
        <v>294</v>
      </c>
    </row>
    <row r="37" spans="1:15" ht="14.45" hidden="1">
      <c r="A37" s="13" t="s">
        <v>26</v>
      </c>
      <c r="B37" s="5">
        <v>1</v>
      </c>
      <c r="C37" s="10" t="s">
        <v>290</v>
      </c>
      <c r="D37" s="10" t="s">
        <v>290</v>
      </c>
      <c r="E37" s="10" t="s">
        <v>290</v>
      </c>
      <c r="F37" s="31" t="s">
        <v>290</v>
      </c>
      <c r="G37" s="31" t="s">
        <v>290</v>
      </c>
      <c r="H37" s="11"/>
      <c r="I37" s="11"/>
      <c r="J37" s="11"/>
      <c r="K37" s="52">
        <v>38</v>
      </c>
      <c r="N37" s="60" t="s">
        <v>183</v>
      </c>
      <c r="O37" s="21" t="s">
        <v>295</v>
      </c>
    </row>
    <row r="38" spans="1:15" ht="14.45" hidden="1">
      <c r="A38" s="3" t="s">
        <v>29</v>
      </c>
      <c r="B38" s="5">
        <v>1</v>
      </c>
      <c r="C38" s="10" t="s">
        <v>290</v>
      </c>
      <c r="D38" s="10" t="s">
        <v>290</v>
      </c>
      <c r="E38" s="10" t="s">
        <v>290</v>
      </c>
      <c r="F38" s="31" t="s">
        <v>290</v>
      </c>
      <c r="G38" s="31" t="s">
        <v>290</v>
      </c>
      <c r="H38" s="11"/>
      <c r="I38" s="11"/>
      <c r="J38" s="11"/>
      <c r="K38" s="52">
        <v>38</v>
      </c>
    </row>
    <row r="39" spans="1:15" ht="14.45" hidden="1">
      <c r="A39" s="3" t="s">
        <v>32</v>
      </c>
      <c r="B39" s="5">
        <v>1</v>
      </c>
      <c r="C39" s="10" t="s">
        <v>290</v>
      </c>
      <c r="D39" s="10" t="s">
        <v>290</v>
      </c>
      <c r="E39" s="10" t="s">
        <v>290</v>
      </c>
      <c r="F39" s="31" t="s">
        <v>290</v>
      </c>
      <c r="G39" s="31" t="s">
        <v>290</v>
      </c>
      <c r="H39" s="11"/>
      <c r="I39" s="11"/>
      <c r="J39" s="11"/>
      <c r="K39" s="52">
        <v>38</v>
      </c>
    </row>
    <row r="40" spans="1:15" ht="14.45" hidden="1">
      <c r="A40" s="3" t="s">
        <v>35</v>
      </c>
      <c r="B40" s="5">
        <v>1</v>
      </c>
      <c r="C40" s="10" t="s">
        <v>290</v>
      </c>
      <c r="D40" s="10" t="s">
        <v>290</v>
      </c>
      <c r="E40" s="10" t="s">
        <v>290</v>
      </c>
      <c r="F40" s="31" t="s">
        <v>290</v>
      </c>
      <c r="G40" s="31" t="s">
        <v>290</v>
      </c>
      <c r="H40" s="11"/>
      <c r="I40" s="11"/>
      <c r="J40" s="11"/>
      <c r="K40" s="52">
        <v>38</v>
      </c>
    </row>
    <row r="41" spans="1:15" ht="14.45" hidden="1">
      <c r="A41" s="3" t="s">
        <v>39</v>
      </c>
      <c r="B41" s="5">
        <v>1</v>
      </c>
      <c r="D41" s="10" t="s">
        <v>290</v>
      </c>
      <c r="E41" s="10" t="s">
        <v>290</v>
      </c>
      <c r="F41" s="31" t="s">
        <v>290</v>
      </c>
      <c r="G41" s="31" t="s">
        <v>290</v>
      </c>
      <c r="H41" s="11"/>
      <c r="I41" s="11"/>
      <c r="J41" s="11"/>
      <c r="K41" s="52">
        <v>38</v>
      </c>
    </row>
    <row r="42" spans="1:15" ht="14.45" hidden="1">
      <c r="A42" s="3" t="s">
        <v>42</v>
      </c>
      <c r="B42" s="5">
        <v>1</v>
      </c>
      <c r="E42" s="10" t="s">
        <v>290</v>
      </c>
      <c r="F42" s="31" t="s">
        <v>290</v>
      </c>
      <c r="G42" s="31" t="s">
        <v>290</v>
      </c>
      <c r="H42" s="11"/>
      <c r="I42" s="11"/>
      <c r="J42" s="11"/>
      <c r="K42" s="52">
        <v>38</v>
      </c>
    </row>
    <row r="43" spans="1:15" ht="14.45" hidden="1">
      <c r="A43" s="3" t="s">
        <v>47</v>
      </c>
      <c r="B43" s="5">
        <v>1</v>
      </c>
      <c r="D43" s="10" t="s">
        <v>290</v>
      </c>
      <c r="E43" s="10" t="s">
        <v>290</v>
      </c>
      <c r="F43" s="31" t="s">
        <v>290</v>
      </c>
      <c r="G43" s="31" t="s">
        <v>290</v>
      </c>
      <c r="H43" s="11"/>
      <c r="I43" s="11"/>
      <c r="J43" s="11"/>
      <c r="K43" s="52">
        <v>38</v>
      </c>
    </row>
    <row r="44" spans="1:15" ht="14.45" hidden="1">
      <c r="A44" s="41" t="s">
        <v>52</v>
      </c>
      <c r="B44" s="5">
        <v>1</v>
      </c>
      <c r="E44" s="10" t="s">
        <v>290</v>
      </c>
      <c r="F44" s="31" t="s">
        <v>290</v>
      </c>
      <c r="G44" s="31" t="s">
        <v>290</v>
      </c>
      <c r="H44" s="11"/>
      <c r="I44" s="11"/>
      <c r="J44" s="11"/>
      <c r="K44" s="52">
        <v>38</v>
      </c>
    </row>
    <row r="45" spans="1:15" ht="14.45" hidden="1">
      <c r="A45" s="47" t="s">
        <v>56</v>
      </c>
      <c r="B45" s="5">
        <v>1</v>
      </c>
      <c r="C45" s="10" t="s">
        <v>290</v>
      </c>
      <c r="D45" s="10" t="s">
        <v>290</v>
      </c>
      <c r="E45" s="10" t="s">
        <v>290</v>
      </c>
      <c r="F45" s="31" t="s">
        <v>290</v>
      </c>
      <c r="G45" s="31" t="s">
        <v>290</v>
      </c>
      <c r="H45" s="11"/>
      <c r="I45" s="11"/>
      <c r="J45" s="11"/>
      <c r="K45" s="52">
        <v>38</v>
      </c>
    </row>
    <row r="46" spans="1:15" ht="14.45" hidden="1">
      <c r="A46" s="1" t="s">
        <v>1</v>
      </c>
      <c r="B46" s="1" t="s">
        <v>282</v>
      </c>
      <c r="C46" s="1" t="s">
        <v>296</v>
      </c>
      <c r="D46" s="1" t="s">
        <v>297</v>
      </c>
      <c r="E46" s="1" t="s">
        <v>298</v>
      </c>
      <c r="F46" s="1" t="s">
        <v>299</v>
      </c>
      <c r="G46" s="1" t="s">
        <v>300</v>
      </c>
      <c r="H46" s="1" t="s">
        <v>301</v>
      </c>
      <c r="I46" s="1" t="s">
        <v>302</v>
      </c>
      <c r="J46" s="1"/>
      <c r="K46" s="52">
        <v>40</v>
      </c>
    </row>
    <row r="47" spans="1:15" ht="14.45" hidden="1">
      <c r="A47" s="3" t="s">
        <v>8</v>
      </c>
      <c r="B47" s="5">
        <v>1</v>
      </c>
      <c r="C47" s="10" t="s">
        <v>290</v>
      </c>
      <c r="D47" s="10" t="s">
        <v>290</v>
      </c>
      <c r="E47" s="54" t="s">
        <v>290</v>
      </c>
      <c r="F47" s="31" t="s">
        <v>290</v>
      </c>
      <c r="G47" s="31" t="s">
        <v>290</v>
      </c>
      <c r="H47" s="11"/>
      <c r="I47" s="48"/>
      <c r="J47" s="48"/>
      <c r="K47" s="52">
        <v>40</v>
      </c>
    </row>
    <row r="48" spans="1:15" ht="14.45" hidden="1">
      <c r="A48" s="3" t="s">
        <v>15</v>
      </c>
      <c r="B48" s="5">
        <v>1</v>
      </c>
      <c r="C48" s="10" t="s">
        <v>290</v>
      </c>
      <c r="D48" s="54" t="s">
        <v>290</v>
      </c>
      <c r="E48" s="31" t="s">
        <v>290</v>
      </c>
      <c r="F48" s="10" t="s">
        <v>290</v>
      </c>
      <c r="G48" s="31" t="s">
        <v>290</v>
      </c>
      <c r="H48" s="11"/>
      <c r="I48" s="48"/>
      <c r="J48" s="48"/>
      <c r="K48" s="52">
        <v>40</v>
      </c>
    </row>
    <row r="49" spans="1:15" ht="14.45" hidden="1">
      <c r="A49" s="3" t="s">
        <v>18</v>
      </c>
      <c r="B49" s="5">
        <v>1</v>
      </c>
      <c r="C49" s="31" t="s">
        <v>290</v>
      </c>
      <c r="D49" s="54" t="s">
        <v>290</v>
      </c>
      <c r="E49" s="10" t="s">
        <v>290</v>
      </c>
      <c r="F49" s="31" t="s">
        <v>290</v>
      </c>
      <c r="G49" s="31" t="s">
        <v>290</v>
      </c>
      <c r="H49" s="11"/>
      <c r="I49" s="48"/>
      <c r="J49" s="48"/>
      <c r="K49" s="52">
        <v>40</v>
      </c>
    </row>
    <row r="50" spans="1:15" ht="14.45" hidden="1">
      <c r="A50" s="3" t="s">
        <v>20</v>
      </c>
      <c r="B50" s="5">
        <v>1</v>
      </c>
      <c r="C50" s="10" t="s">
        <v>290</v>
      </c>
      <c r="D50" s="54" t="s">
        <v>290</v>
      </c>
      <c r="E50" s="54" t="s">
        <v>290</v>
      </c>
      <c r="F50" s="31" t="s">
        <v>290</v>
      </c>
      <c r="G50" s="31" t="s">
        <v>290</v>
      </c>
      <c r="H50" s="11"/>
      <c r="I50" s="48"/>
      <c r="J50" s="48"/>
      <c r="K50" s="52">
        <v>40</v>
      </c>
    </row>
    <row r="51" spans="1:15" ht="14.45" hidden="1">
      <c r="A51" s="3" t="s">
        <v>23</v>
      </c>
      <c r="B51" s="5">
        <v>1</v>
      </c>
      <c r="C51" s="10" t="s">
        <v>290</v>
      </c>
      <c r="D51" s="54" t="s">
        <v>290</v>
      </c>
      <c r="E51" s="54" t="s">
        <v>290</v>
      </c>
      <c r="F51" s="31" t="s">
        <v>290</v>
      </c>
      <c r="G51" s="31" t="s">
        <v>290</v>
      </c>
      <c r="H51" s="11"/>
      <c r="I51" s="48"/>
      <c r="J51" s="48"/>
      <c r="K51" s="52">
        <v>40</v>
      </c>
    </row>
    <row r="52" spans="1:15" ht="14.45" hidden="1">
      <c r="A52" s="3" t="s">
        <v>26</v>
      </c>
      <c r="B52" s="5">
        <v>1</v>
      </c>
      <c r="C52" s="10" t="s">
        <v>290</v>
      </c>
      <c r="D52" s="54" t="s">
        <v>290</v>
      </c>
      <c r="E52" s="54" t="s">
        <v>290</v>
      </c>
      <c r="F52" s="31" t="s">
        <v>290</v>
      </c>
      <c r="G52" s="31" t="s">
        <v>290</v>
      </c>
      <c r="H52" s="11"/>
      <c r="I52" s="48"/>
      <c r="J52" s="48"/>
      <c r="K52" s="52">
        <v>40</v>
      </c>
    </row>
    <row r="53" spans="1:15" ht="14.45" hidden="1">
      <c r="A53" s="3" t="s">
        <v>29</v>
      </c>
      <c r="B53" s="5">
        <v>1</v>
      </c>
      <c r="C53" s="10" t="s">
        <v>290</v>
      </c>
      <c r="D53" s="54" t="s">
        <v>290</v>
      </c>
      <c r="E53" s="54" t="s">
        <v>290</v>
      </c>
      <c r="F53" s="31" t="s">
        <v>290</v>
      </c>
      <c r="G53" s="31" t="s">
        <v>290</v>
      </c>
      <c r="H53" s="11"/>
      <c r="I53" s="48"/>
      <c r="J53" s="48"/>
      <c r="K53" s="52">
        <v>40</v>
      </c>
      <c r="N53" s="58" t="s">
        <v>291</v>
      </c>
      <c r="O53" s="14" t="s">
        <v>292</v>
      </c>
    </row>
    <row r="54" spans="1:15" ht="14.45" hidden="1">
      <c r="A54" s="3" t="s">
        <v>32</v>
      </c>
      <c r="B54" s="5">
        <v>1</v>
      </c>
      <c r="C54" s="10" t="s">
        <v>290</v>
      </c>
      <c r="D54" s="54" t="s">
        <v>290</v>
      </c>
      <c r="E54" s="54" t="s">
        <v>290</v>
      </c>
      <c r="F54" s="31" t="s">
        <v>290</v>
      </c>
      <c r="G54" s="31" t="s">
        <v>290</v>
      </c>
      <c r="H54" s="11"/>
      <c r="I54" s="48"/>
      <c r="J54" s="48"/>
      <c r="K54" s="52">
        <v>40</v>
      </c>
      <c r="N54" s="59" t="s">
        <v>293</v>
      </c>
      <c r="O54" s="20" t="s">
        <v>294</v>
      </c>
    </row>
    <row r="55" spans="1:15" ht="14.45" hidden="1">
      <c r="A55" s="3" t="s">
        <v>35</v>
      </c>
      <c r="B55" s="5">
        <v>1</v>
      </c>
      <c r="C55" s="10" t="s">
        <v>290</v>
      </c>
      <c r="D55" s="54" t="s">
        <v>290</v>
      </c>
      <c r="E55" s="54" t="s">
        <v>290</v>
      </c>
      <c r="F55" s="31" t="s">
        <v>290</v>
      </c>
      <c r="G55" s="31" t="s">
        <v>290</v>
      </c>
      <c r="H55" s="11"/>
      <c r="I55" s="48"/>
      <c r="J55" s="48"/>
      <c r="K55" s="52">
        <v>40</v>
      </c>
      <c r="N55" s="60" t="s">
        <v>183</v>
      </c>
      <c r="O55" s="21" t="s">
        <v>295</v>
      </c>
    </row>
    <row r="56" spans="1:15" ht="14.45" hidden="1">
      <c r="A56" s="3" t="s">
        <v>39</v>
      </c>
      <c r="B56" s="5">
        <v>1</v>
      </c>
      <c r="C56" s="10" t="s">
        <v>290</v>
      </c>
      <c r="D56" s="54" t="s">
        <v>290</v>
      </c>
      <c r="E56" s="54" t="s">
        <v>290</v>
      </c>
      <c r="F56" s="31" t="s">
        <v>290</v>
      </c>
      <c r="G56" s="31" t="s">
        <v>290</v>
      </c>
      <c r="H56" s="11"/>
      <c r="I56" s="48"/>
      <c r="J56" s="48"/>
      <c r="K56" s="52">
        <v>40</v>
      </c>
    </row>
    <row r="57" spans="1:15" ht="14.45" hidden="1">
      <c r="A57" s="3" t="s">
        <v>42</v>
      </c>
      <c r="B57" s="5">
        <v>1</v>
      </c>
      <c r="C57" s="10" t="s">
        <v>290</v>
      </c>
      <c r="D57" s="54" t="s">
        <v>290</v>
      </c>
      <c r="E57" s="54" t="s">
        <v>290</v>
      </c>
      <c r="F57" s="31" t="s">
        <v>290</v>
      </c>
      <c r="G57" s="31" t="s">
        <v>290</v>
      </c>
      <c r="H57" s="11"/>
      <c r="I57" s="48"/>
      <c r="J57" s="48"/>
      <c r="K57" s="52">
        <v>40</v>
      </c>
    </row>
    <row r="58" spans="1:15" ht="14.45" hidden="1">
      <c r="A58" s="3" t="s">
        <v>47</v>
      </c>
      <c r="B58" s="5">
        <v>1</v>
      </c>
      <c r="C58" s="10" t="s">
        <v>290</v>
      </c>
      <c r="D58" s="54" t="s">
        <v>290</v>
      </c>
      <c r="E58" s="54" t="s">
        <v>290</v>
      </c>
      <c r="F58" s="31" t="s">
        <v>290</v>
      </c>
      <c r="G58" s="31" t="s">
        <v>290</v>
      </c>
      <c r="H58" s="11"/>
      <c r="I58" s="48"/>
      <c r="J58" s="48"/>
      <c r="K58" s="52">
        <v>40</v>
      </c>
    </row>
    <row r="59" spans="1:15" ht="14.45" hidden="1">
      <c r="A59" s="3" t="s">
        <v>52</v>
      </c>
      <c r="B59" s="5">
        <v>1</v>
      </c>
      <c r="C59" s="10" t="s">
        <v>290</v>
      </c>
      <c r="D59" s="54" t="s">
        <v>290</v>
      </c>
      <c r="E59" s="54" t="s">
        <v>290</v>
      </c>
      <c r="F59" s="31" t="s">
        <v>290</v>
      </c>
      <c r="G59" s="31" t="s">
        <v>290</v>
      </c>
      <c r="H59" s="11"/>
      <c r="I59" s="48"/>
      <c r="J59" s="48"/>
      <c r="K59" s="52">
        <v>40</v>
      </c>
    </row>
    <row r="60" spans="1:15" ht="14.45" hidden="1">
      <c r="A60" s="3" t="s">
        <v>56</v>
      </c>
      <c r="B60" s="5">
        <v>1</v>
      </c>
      <c r="C60" s="10" t="s">
        <v>290</v>
      </c>
      <c r="D60" s="54" t="s">
        <v>290</v>
      </c>
      <c r="E60" s="54" t="s">
        <v>290</v>
      </c>
      <c r="F60" s="31" t="s">
        <v>290</v>
      </c>
      <c r="G60" s="31" t="s">
        <v>290</v>
      </c>
      <c r="H60" s="11"/>
      <c r="I60" s="48"/>
      <c r="J60" s="48"/>
      <c r="K60" s="52">
        <v>40</v>
      </c>
    </row>
    <row r="61" spans="1:15" ht="14.45" hidden="1">
      <c r="A61" s="3" t="s">
        <v>61</v>
      </c>
      <c r="B61" s="5">
        <v>1</v>
      </c>
      <c r="C61" s="54" t="s">
        <v>290</v>
      </c>
      <c r="D61" s="54" t="s">
        <v>290</v>
      </c>
      <c r="E61" s="54" t="s">
        <v>290</v>
      </c>
      <c r="F61" s="31" t="s">
        <v>290</v>
      </c>
      <c r="G61" s="31" t="s">
        <v>290</v>
      </c>
      <c r="H61" s="11"/>
      <c r="I61" s="48"/>
      <c r="J61" s="48"/>
      <c r="K61" s="52">
        <v>40</v>
      </c>
    </row>
    <row r="62" spans="1:15" ht="14.45" hidden="1">
      <c r="A62" s="3" t="s">
        <v>64</v>
      </c>
      <c r="B62" s="5">
        <v>1</v>
      </c>
      <c r="C62" s="10" t="s">
        <v>290</v>
      </c>
      <c r="D62" s="54" t="s">
        <v>290</v>
      </c>
      <c r="E62" s="31" t="s">
        <v>290</v>
      </c>
      <c r="F62" s="31" t="s">
        <v>290</v>
      </c>
      <c r="G62" s="10" t="s">
        <v>290</v>
      </c>
      <c r="H62" s="11"/>
      <c r="I62" s="48"/>
      <c r="J62" s="48"/>
      <c r="K62" s="52">
        <v>40</v>
      </c>
    </row>
    <row r="63" spans="1:15" ht="14.45" hidden="1">
      <c r="A63" s="3" t="s">
        <v>67</v>
      </c>
      <c r="B63" s="5">
        <v>1</v>
      </c>
      <c r="C63" s="10" t="s">
        <v>290</v>
      </c>
      <c r="D63" s="54" t="s">
        <v>290</v>
      </c>
      <c r="E63" s="54" t="s">
        <v>290</v>
      </c>
      <c r="F63" s="31" t="s">
        <v>290</v>
      </c>
      <c r="G63" s="31" t="s">
        <v>290</v>
      </c>
      <c r="H63" s="11"/>
      <c r="I63" s="48"/>
      <c r="J63" s="48"/>
      <c r="K63" s="52">
        <v>40</v>
      </c>
    </row>
    <row r="64" spans="1:15" ht="14.45" hidden="1">
      <c r="A64" s="3" t="s">
        <v>70</v>
      </c>
      <c r="B64" s="5">
        <v>1</v>
      </c>
      <c r="C64" s="10" t="s">
        <v>290</v>
      </c>
      <c r="D64" s="54" t="s">
        <v>290</v>
      </c>
      <c r="E64" s="54" t="s">
        <v>290</v>
      </c>
      <c r="F64" s="31" t="s">
        <v>290</v>
      </c>
      <c r="G64" s="31" t="s">
        <v>290</v>
      </c>
      <c r="H64" s="11"/>
      <c r="I64" s="48"/>
      <c r="J64" s="48"/>
      <c r="K64" s="52">
        <v>40</v>
      </c>
    </row>
    <row r="65" spans="1:11" ht="14.45" hidden="1">
      <c r="A65" s="3" t="s">
        <v>72</v>
      </c>
      <c r="B65" s="5">
        <v>1</v>
      </c>
      <c r="C65" s="10" t="s">
        <v>290</v>
      </c>
      <c r="D65" s="54" t="s">
        <v>290</v>
      </c>
      <c r="E65" s="54" t="s">
        <v>290</v>
      </c>
      <c r="F65" s="31" t="s">
        <v>290</v>
      </c>
      <c r="G65" s="31" t="s">
        <v>290</v>
      </c>
      <c r="H65" s="11"/>
      <c r="I65" s="48"/>
      <c r="J65" s="48"/>
      <c r="K65" s="52">
        <v>40</v>
      </c>
    </row>
    <row r="66" spans="1:11" ht="14.45" hidden="1">
      <c r="A66" s="3" t="s">
        <v>75</v>
      </c>
      <c r="B66" s="5">
        <v>1</v>
      </c>
      <c r="C66" s="10" t="s">
        <v>290</v>
      </c>
      <c r="D66" s="54" t="s">
        <v>290</v>
      </c>
      <c r="E66" s="54" t="s">
        <v>290</v>
      </c>
      <c r="F66" s="31" t="s">
        <v>290</v>
      </c>
      <c r="G66" s="31" t="s">
        <v>290</v>
      </c>
      <c r="H66" s="11"/>
      <c r="I66" s="48"/>
      <c r="J66" s="48"/>
      <c r="K66" s="52">
        <v>40</v>
      </c>
    </row>
    <row r="67" spans="1:11" ht="14.45" hidden="1">
      <c r="A67" s="3" t="s">
        <v>78</v>
      </c>
      <c r="B67" s="5">
        <v>1</v>
      </c>
      <c r="C67" s="10" t="s">
        <v>290</v>
      </c>
      <c r="D67" s="54" t="s">
        <v>290</v>
      </c>
      <c r="E67" s="54" t="s">
        <v>290</v>
      </c>
      <c r="F67" s="31" t="s">
        <v>290</v>
      </c>
      <c r="G67" s="31" t="s">
        <v>290</v>
      </c>
      <c r="H67" s="11"/>
      <c r="I67" s="48"/>
      <c r="J67" s="48"/>
      <c r="K67" s="52">
        <v>40</v>
      </c>
    </row>
    <row r="68" spans="1:11" ht="14.45" hidden="1">
      <c r="A68" s="3" t="s">
        <v>80</v>
      </c>
      <c r="B68" s="5">
        <v>1</v>
      </c>
      <c r="C68" s="10" t="s">
        <v>290</v>
      </c>
      <c r="D68" s="54" t="s">
        <v>290</v>
      </c>
      <c r="E68" s="54" t="s">
        <v>290</v>
      </c>
      <c r="F68" s="31" t="s">
        <v>290</v>
      </c>
      <c r="G68" s="31" t="s">
        <v>290</v>
      </c>
      <c r="H68" s="11"/>
      <c r="I68" s="48"/>
      <c r="J68" s="48"/>
      <c r="K68" s="52">
        <v>40</v>
      </c>
    </row>
    <row r="69" spans="1:11" ht="14.45" hidden="1">
      <c r="A69" s="3" t="s">
        <v>82</v>
      </c>
      <c r="B69" s="5">
        <v>1</v>
      </c>
      <c r="C69" s="10" t="s">
        <v>290</v>
      </c>
      <c r="D69" s="54" t="s">
        <v>290</v>
      </c>
      <c r="E69" s="54" t="s">
        <v>290</v>
      </c>
      <c r="F69" s="31" t="s">
        <v>290</v>
      </c>
      <c r="G69" s="31" t="s">
        <v>290</v>
      </c>
      <c r="H69" s="11"/>
      <c r="I69" s="48"/>
      <c r="J69" s="48"/>
      <c r="K69" s="52">
        <v>40</v>
      </c>
    </row>
    <row r="70" spans="1:11" ht="14.45" hidden="1">
      <c r="A70" s="3" t="s">
        <v>84</v>
      </c>
      <c r="B70" s="5">
        <v>1</v>
      </c>
      <c r="C70" s="10" t="s">
        <v>290</v>
      </c>
      <c r="D70" s="54" t="s">
        <v>290</v>
      </c>
      <c r="E70" s="54" t="s">
        <v>290</v>
      </c>
      <c r="F70" s="31" t="s">
        <v>290</v>
      </c>
      <c r="G70" s="31" t="s">
        <v>290</v>
      </c>
      <c r="H70" s="11"/>
      <c r="I70" s="48"/>
      <c r="J70" s="48"/>
      <c r="K70" s="52">
        <v>40</v>
      </c>
    </row>
    <row r="71" spans="1:11" ht="14.45" hidden="1">
      <c r="A71" s="3" t="s">
        <v>86</v>
      </c>
      <c r="B71" s="5">
        <v>1</v>
      </c>
      <c r="C71" s="31" t="s">
        <v>290</v>
      </c>
      <c r="D71" s="54" t="s">
        <v>290</v>
      </c>
      <c r="E71" s="54" t="s">
        <v>290</v>
      </c>
      <c r="F71" s="31" t="s">
        <v>290</v>
      </c>
      <c r="G71" s="31" t="s">
        <v>290</v>
      </c>
      <c r="H71" s="11"/>
      <c r="I71" s="48"/>
      <c r="J71" s="48"/>
      <c r="K71" s="52">
        <v>40</v>
      </c>
    </row>
    <row r="72" spans="1:11" ht="14.45" hidden="1">
      <c r="A72" s="3" t="s">
        <v>88</v>
      </c>
      <c r="B72" s="5">
        <v>1</v>
      </c>
      <c r="C72" s="10" t="s">
        <v>290</v>
      </c>
      <c r="D72" s="54" t="s">
        <v>290</v>
      </c>
      <c r="E72" s="54" t="s">
        <v>290</v>
      </c>
      <c r="F72" s="31" t="s">
        <v>290</v>
      </c>
      <c r="G72" s="31" t="s">
        <v>290</v>
      </c>
      <c r="H72" s="11"/>
      <c r="I72" s="48"/>
      <c r="J72" s="48"/>
      <c r="K72" s="52">
        <v>40</v>
      </c>
    </row>
    <row r="73" spans="1:11" ht="14.45" hidden="1">
      <c r="A73" s="30" t="s">
        <v>90</v>
      </c>
      <c r="B73" s="5">
        <v>1</v>
      </c>
      <c r="C73" s="10" t="s">
        <v>290</v>
      </c>
      <c r="D73" s="54" t="s">
        <v>290</v>
      </c>
      <c r="E73" s="54" t="s">
        <v>290</v>
      </c>
      <c r="F73" s="31" t="s">
        <v>290</v>
      </c>
      <c r="G73" s="31" t="s">
        <v>290</v>
      </c>
      <c r="H73" s="11"/>
      <c r="I73" s="48"/>
      <c r="J73" s="48"/>
      <c r="K73" s="52">
        <v>40</v>
      </c>
    </row>
    <row r="74" spans="1:11" ht="14.45" hidden="1">
      <c r="A74" s="3" t="s">
        <v>303</v>
      </c>
      <c r="B74" s="5">
        <v>1</v>
      </c>
      <c r="C74" s="10" t="s">
        <v>290</v>
      </c>
      <c r="D74" s="10" t="s">
        <v>290</v>
      </c>
      <c r="E74" s="10" t="s">
        <v>290</v>
      </c>
      <c r="F74" s="31" t="s">
        <v>290</v>
      </c>
      <c r="G74" s="31" t="s">
        <v>290</v>
      </c>
      <c r="H74" s="11"/>
      <c r="I74" s="48"/>
      <c r="J74" s="48"/>
      <c r="K74" s="52">
        <v>40</v>
      </c>
    </row>
    <row r="75" spans="1:11" ht="14.45" hidden="1">
      <c r="A75" s="3" t="s">
        <v>304</v>
      </c>
      <c r="B75" s="5">
        <v>1</v>
      </c>
      <c r="C75" s="10" t="s">
        <v>290</v>
      </c>
      <c r="D75" s="10" t="s">
        <v>290</v>
      </c>
      <c r="E75" s="54" t="s">
        <v>290</v>
      </c>
      <c r="F75" s="31" t="s">
        <v>290</v>
      </c>
      <c r="G75" s="31" t="s">
        <v>290</v>
      </c>
      <c r="H75" s="11"/>
      <c r="I75" s="48"/>
      <c r="J75" s="48"/>
      <c r="K75" s="52">
        <v>40</v>
      </c>
    </row>
    <row r="76" spans="1:11" ht="14.45" hidden="1">
      <c r="A76" s="3" t="s">
        <v>96</v>
      </c>
      <c r="B76" s="5">
        <v>1</v>
      </c>
      <c r="C76" s="10" t="s">
        <v>290</v>
      </c>
      <c r="D76" s="10" t="s">
        <v>290</v>
      </c>
      <c r="E76" s="10" t="s">
        <v>290</v>
      </c>
      <c r="F76" s="31" t="s">
        <v>290</v>
      </c>
      <c r="G76" s="31" t="s">
        <v>290</v>
      </c>
      <c r="H76" s="11"/>
      <c r="I76" s="48"/>
      <c r="J76" s="48"/>
      <c r="K76" s="52">
        <v>40</v>
      </c>
    </row>
    <row r="77" spans="1:11" ht="14.45" hidden="1">
      <c r="A77" s="3" t="s">
        <v>98</v>
      </c>
      <c r="B77" s="5">
        <v>1</v>
      </c>
      <c r="C77" s="10" t="s">
        <v>290</v>
      </c>
      <c r="D77" s="10" t="s">
        <v>290</v>
      </c>
      <c r="E77" s="54" t="s">
        <v>290</v>
      </c>
      <c r="F77" s="31" t="s">
        <v>290</v>
      </c>
      <c r="G77" s="31" t="s">
        <v>290</v>
      </c>
      <c r="H77" s="11"/>
      <c r="I77" s="48"/>
      <c r="J77" s="48"/>
      <c r="K77" s="52">
        <v>40</v>
      </c>
    </row>
    <row r="78" spans="1:11" ht="14.45" hidden="1">
      <c r="A78" s="3" t="s">
        <v>119</v>
      </c>
      <c r="B78" s="5">
        <v>1</v>
      </c>
      <c r="C78" s="10" t="s">
        <v>290</v>
      </c>
      <c r="D78" s="10" t="s">
        <v>290</v>
      </c>
      <c r="E78" s="10" t="s">
        <v>290</v>
      </c>
      <c r="F78" s="31" t="s">
        <v>290</v>
      </c>
      <c r="G78" s="31" t="s">
        <v>290</v>
      </c>
      <c r="H78" s="11"/>
      <c r="I78" s="48"/>
      <c r="J78" s="48"/>
      <c r="K78" s="52">
        <v>40</v>
      </c>
    </row>
    <row r="79" spans="1:11" ht="14.45" hidden="1">
      <c r="A79" s="3" t="s">
        <v>102</v>
      </c>
      <c r="B79" s="5">
        <v>1</v>
      </c>
      <c r="C79" s="10" t="s">
        <v>290</v>
      </c>
      <c r="D79" s="10" t="s">
        <v>290</v>
      </c>
      <c r="E79" s="54" t="s">
        <v>290</v>
      </c>
      <c r="F79" s="31" t="s">
        <v>290</v>
      </c>
      <c r="G79" s="31" t="s">
        <v>290</v>
      </c>
      <c r="H79" s="11"/>
      <c r="I79" s="48"/>
      <c r="J79" s="48"/>
      <c r="K79" s="52">
        <v>40</v>
      </c>
    </row>
    <row r="80" spans="1:11" ht="14.45" hidden="1">
      <c r="A80" s="3" t="s">
        <v>104</v>
      </c>
      <c r="B80" s="5">
        <v>1</v>
      </c>
      <c r="C80" s="10" t="s">
        <v>290</v>
      </c>
      <c r="D80" s="10" t="s">
        <v>290</v>
      </c>
      <c r="E80" s="10" t="s">
        <v>290</v>
      </c>
      <c r="F80" s="31" t="s">
        <v>290</v>
      </c>
      <c r="G80" s="31" t="s">
        <v>290</v>
      </c>
      <c r="H80" s="11"/>
      <c r="I80" s="48"/>
      <c r="J80" s="48"/>
      <c r="K80" s="52">
        <v>40</v>
      </c>
    </row>
    <row r="81" spans="1:15" ht="14.45" hidden="1">
      <c r="A81" s="1" t="s">
        <v>1</v>
      </c>
      <c r="B81" s="1" t="s">
        <v>282</v>
      </c>
      <c r="C81" s="1" t="s">
        <v>305</v>
      </c>
      <c r="D81" s="1" t="s">
        <v>306</v>
      </c>
      <c r="E81" s="1" t="s">
        <v>307</v>
      </c>
      <c r="F81" s="1" t="s">
        <v>308</v>
      </c>
      <c r="G81" s="1" t="s">
        <v>309</v>
      </c>
      <c r="H81" s="1" t="s">
        <v>310</v>
      </c>
      <c r="I81" s="1" t="s">
        <v>311</v>
      </c>
      <c r="J81" s="1" t="s">
        <v>312</v>
      </c>
      <c r="K81" s="52">
        <v>41</v>
      </c>
    </row>
    <row r="82" spans="1:15" ht="14.45" hidden="1">
      <c r="A82" s="122" t="s">
        <v>15</v>
      </c>
      <c r="B82" s="5">
        <v>1</v>
      </c>
      <c r="C82" s="10" t="s">
        <v>290</v>
      </c>
      <c r="D82" s="10" t="s">
        <v>290</v>
      </c>
      <c r="E82" s="10" t="s">
        <v>290</v>
      </c>
      <c r="F82" s="31" t="s">
        <v>290</v>
      </c>
      <c r="G82" s="31" t="s">
        <v>290</v>
      </c>
      <c r="H82" s="11"/>
      <c r="I82" s="48"/>
      <c r="J82" s="120" t="s">
        <v>313</v>
      </c>
      <c r="K82" s="52">
        <v>41</v>
      </c>
    </row>
    <row r="83" spans="1:15" ht="14.45" hidden="1">
      <c r="A83" s="122" t="s">
        <v>18</v>
      </c>
      <c r="B83" s="5">
        <v>1</v>
      </c>
      <c r="C83" s="10" t="s">
        <v>290</v>
      </c>
      <c r="D83" s="10" t="s">
        <v>290</v>
      </c>
      <c r="E83" s="10" t="s">
        <v>290</v>
      </c>
      <c r="F83" s="31" t="s">
        <v>290</v>
      </c>
      <c r="G83" s="31" t="s">
        <v>290</v>
      </c>
      <c r="H83" s="11"/>
      <c r="I83" s="48"/>
      <c r="J83" s="120" t="s">
        <v>313</v>
      </c>
      <c r="K83" s="52">
        <v>41</v>
      </c>
    </row>
    <row r="84" spans="1:15" ht="14.45" hidden="1">
      <c r="A84" s="123" t="s">
        <v>20</v>
      </c>
      <c r="B84" s="5">
        <v>1</v>
      </c>
      <c r="C84" s="10" t="s">
        <v>290</v>
      </c>
      <c r="D84" s="10" t="s">
        <v>290</v>
      </c>
      <c r="E84" s="10" t="s">
        <v>290</v>
      </c>
      <c r="F84" s="31" t="s">
        <v>290</v>
      </c>
      <c r="G84" s="31" t="s">
        <v>290</v>
      </c>
      <c r="H84" s="11"/>
      <c r="I84" s="48"/>
      <c r="J84" s="120" t="s">
        <v>313</v>
      </c>
      <c r="K84" s="52">
        <v>41</v>
      </c>
    </row>
    <row r="85" spans="1:15" ht="14.45" hidden="1">
      <c r="A85" s="123" t="s">
        <v>23</v>
      </c>
      <c r="B85" s="5">
        <v>1</v>
      </c>
      <c r="C85" s="10" t="s">
        <v>290</v>
      </c>
      <c r="D85" s="10" t="s">
        <v>290</v>
      </c>
      <c r="E85" s="10" t="s">
        <v>290</v>
      </c>
      <c r="F85" s="31" t="s">
        <v>290</v>
      </c>
      <c r="G85" s="31" t="s">
        <v>290</v>
      </c>
      <c r="H85" s="11"/>
      <c r="I85" s="48"/>
      <c r="J85" s="120" t="s">
        <v>313</v>
      </c>
      <c r="K85" s="52">
        <v>41</v>
      </c>
    </row>
    <row r="86" spans="1:15" ht="14.45" hidden="1">
      <c r="A86" s="123" t="s">
        <v>26</v>
      </c>
      <c r="B86" s="5">
        <v>1</v>
      </c>
      <c r="C86" s="10" t="s">
        <v>290</v>
      </c>
      <c r="D86" s="10" t="s">
        <v>290</v>
      </c>
      <c r="E86" s="10" t="s">
        <v>290</v>
      </c>
      <c r="F86" s="31" t="s">
        <v>290</v>
      </c>
      <c r="G86" s="31" t="s">
        <v>290</v>
      </c>
      <c r="H86" s="11"/>
      <c r="I86" s="48"/>
      <c r="J86" s="120" t="s">
        <v>313</v>
      </c>
      <c r="K86" s="52">
        <v>41</v>
      </c>
    </row>
    <row r="87" spans="1:15" ht="14.45" hidden="1">
      <c r="A87" s="123" t="s">
        <v>29</v>
      </c>
      <c r="B87" s="5">
        <v>1</v>
      </c>
      <c r="C87" s="10" t="s">
        <v>290</v>
      </c>
      <c r="D87" s="10" t="s">
        <v>290</v>
      </c>
      <c r="E87" s="10" t="s">
        <v>290</v>
      </c>
      <c r="F87" s="31" t="s">
        <v>290</v>
      </c>
      <c r="G87" s="31" t="s">
        <v>290</v>
      </c>
      <c r="H87" s="11"/>
      <c r="I87" s="48"/>
      <c r="J87" s="120" t="s">
        <v>313</v>
      </c>
      <c r="K87" s="52">
        <v>41</v>
      </c>
    </row>
    <row r="88" spans="1:15" ht="14.45" hidden="1">
      <c r="A88" s="123" t="s">
        <v>32</v>
      </c>
      <c r="B88" s="5">
        <v>1</v>
      </c>
      <c r="C88" s="10" t="s">
        <v>290</v>
      </c>
      <c r="D88" s="10" t="s">
        <v>290</v>
      </c>
      <c r="E88" s="10" t="s">
        <v>290</v>
      </c>
      <c r="F88" s="31" t="s">
        <v>290</v>
      </c>
      <c r="G88" s="31" t="s">
        <v>290</v>
      </c>
      <c r="H88" s="11"/>
      <c r="I88" s="48"/>
      <c r="J88" s="120" t="s">
        <v>313</v>
      </c>
      <c r="K88" s="52">
        <v>41</v>
      </c>
      <c r="N88" s="58" t="s">
        <v>291</v>
      </c>
      <c r="O88" s="14" t="s">
        <v>292</v>
      </c>
    </row>
    <row r="89" spans="1:15" ht="14.45" hidden="1">
      <c r="A89" s="123" t="s">
        <v>35</v>
      </c>
      <c r="B89" s="5">
        <v>1</v>
      </c>
      <c r="C89" s="10" t="s">
        <v>290</v>
      </c>
      <c r="D89" s="10" t="s">
        <v>290</v>
      </c>
      <c r="E89" s="10" t="s">
        <v>290</v>
      </c>
      <c r="F89" s="31" t="s">
        <v>290</v>
      </c>
      <c r="G89" s="31" t="s">
        <v>290</v>
      </c>
      <c r="H89" s="11"/>
      <c r="I89" s="48"/>
      <c r="J89" s="120" t="s">
        <v>313</v>
      </c>
      <c r="K89" s="52">
        <v>41</v>
      </c>
      <c r="N89" s="59" t="s">
        <v>293</v>
      </c>
      <c r="O89" s="20" t="s">
        <v>294</v>
      </c>
    </row>
    <row r="90" spans="1:15" ht="14.45" hidden="1">
      <c r="A90" s="123" t="s">
        <v>39</v>
      </c>
      <c r="B90" s="5">
        <v>1</v>
      </c>
      <c r="C90" s="10" t="s">
        <v>290</v>
      </c>
      <c r="D90" s="10" t="s">
        <v>290</v>
      </c>
      <c r="E90" s="10" t="s">
        <v>290</v>
      </c>
      <c r="F90" s="31" t="s">
        <v>290</v>
      </c>
      <c r="G90" s="31" t="s">
        <v>290</v>
      </c>
      <c r="H90" s="11"/>
      <c r="I90" s="48"/>
      <c r="J90" s="120" t="s">
        <v>313</v>
      </c>
      <c r="K90" s="52">
        <v>41</v>
      </c>
      <c r="N90" s="60" t="s">
        <v>183</v>
      </c>
      <c r="O90" s="21" t="s">
        <v>295</v>
      </c>
    </row>
    <row r="91" spans="1:15" ht="14.45" hidden="1">
      <c r="A91" s="123" t="s">
        <v>42</v>
      </c>
      <c r="B91" s="5">
        <v>1</v>
      </c>
      <c r="C91" s="10" t="s">
        <v>290</v>
      </c>
      <c r="D91" s="10" t="s">
        <v>290</v>
      </c>
      <c r="E91" s="10" t="s">
        <v>290</v>
      </c>
      <c r="F91" s="31" t="s">
        <v>290</v>
      </c>
      <c r="G91" s="31" t="s">
        <v>290</v>
      </c>
      <c r="H91" s="11"/>
      <c r="I91" s="48"/>
      <c r="J91" s="120" t="s">
        <v>313</v>
      </c>
      <c r="K91" s="52">
        <v>41</v>
      </c>
    </row>
    <row r="92" spans="1:15" ht="14.45" hidden="1">
      <c r="A92" s="123" t="s">
        <v>47</v>
      </c>
      <c r="B92" s="5">
        <v>1</v>
      </c>
      <c r="C92" s="10" t="s">
        <v>290</v>
      </c>
      <c r="D92" s="10" t="s">
        <v>290</v>
      </c>
      <c r="E92" s="10" t="s">
        <v>290</v>
      </c>
      <c r="F92" s="31" t="s">
        <v>290</v>
      </c>
      <c r="G92" s="31" t="s">
        <v>290</v>
      </c>
      <c r="H92" s="11"/>
      <c r="I92" s="48"/>
      <c r="J92" s="120" t="s">
        <v>313</v>
      </c>
      <c r="K92" s="52">
        <v>41</v>
      </c>
    </row>
    <row r="93" spans="1:15" ht="14.45" hidden="1">
      <c r="A93" s="123" t="s">
        <v>52</v>
      </c>
      <c r="B93" s="5">
        <v>1</v>
      </c>
      <c r="C93" s="10" t="s">
        <v>290</v>
      </c>
      <c r="D93" s="10" t="s">
        <v>290</v>
      </c>
      <c r="E93" s="10" t="s">
        <v>290</v>
      </c>
      <c r="F93" s="31" t="s">
        <v>290</v>
      </c>
      <c r="G93" s="31" t="s">
        <v>290</v>
      </c>
      <c r="H93" s="11"/>
      <c r="I93" s="48"/>
      <c r="J93" s="120" t="s">
        <v>313</v>
      </c>
      <c r="K93" s="52">
        <v>41</v>
      </c>
    </row>
    <row r="94" spans="1:15" ht="14.45" hidden="1">
      <c r="A94" s="123" t="s">
        <v>56</v>
      </c>
      <c r="B94" s="5">
        <v>1</v>
      </c>
      <c r="C94" s="10" t="s">
        <v>290</v>
      </c>
      <c r="D94" s="10" t="s">
        <v>290</v>
      </c>
      <c r="E94" s="10" t="s">
        <v>290</v>
      </c>
      <c r="F94" s="31" t="s">
        <v>290</v>
      </c>
      <c r="G94" s="31" t="s">
        <v>290</v>
      </c>
      <c r="H94" s="11"/>
      <c r="I94" s="48"/>
      <c r="J94" s="120" t="s">
        <v>313</v>
      </c>
      <c r="K94" s="52">
        <v>41</v>
      </c>
    </row>
    <row r="95" spans="1:15" ht="14.45" hidden="1">
      <c r="A95" s="123" t="s">
        <v>61</v>
      </c>
      <c r="B95" s="5">
        <v>1</v>
      </c>
      <c r="C95" s="10" t="s">
        <v>290</v>
      </c>
      <c r="D95" s="10" t="s">
        <v>290</v>
      </c>
      <c r="E95" s="10" t="s">
        <v>290</v>
      </c>
      <c r="F95" s="31" t="s">
        <v>290</v>
      </c>
      <c r="G95" s="31" t="s">
        <v>290</v>
      </c>
      <c r="H95" s="11"/>
      <c r="I95" s="48"/>
      <c r="J95" s="120" t="s">
        <v>313</v>
      </c>
      <c r="K95" s="52">
        <v>41</v>
      </c>
    </row>
    <row r="96" spans="1:15" ht="14.45" hidden="1">
      <c r="A96" s="123" t="s">
        <v>64</v>
      </c>
      <c r="B96" s="5">
        <v>1</v>
      </c>
      <c r="C96" s="10" t="s">
        <v>290</v>
      </c>
      <c r="D96" s="10" t="s">
        <v>290</v>
      </c>
      <c r="E96" s="10" t="s">
        <v>290</v>
      </c>
      <c r="F96" s="31" t="s">
        <v>290</v>
      </c>
      <c r="G96" s="31" t="s">
        <v>290</v>
      </c>
      <c r="H96" s="11"/>
      <c r="I96" s="48"/>
      <c r="J96" s="120" t="s">
        <v>313</v>
      </c>
      <c r="K96" s="52">
        <v>41</v>
      </c>
    </row>
    <row r="97" spans="1:11" ht="14.45" hidden="1">
      <c r="A97" s="123" t="s">
        <v>67</v>
      </c>
      <c r="B97" s="5">
        <v>1</v>
      </c>
      <c r="C97" s="10" t="s">
        <v>290</v>
      </c>
      <c r="D97" s="10" t="s">
        <v>290</v>
      </c>
      <c r="E97" s="10" t="s">
        <v>290</v>
      </c>
      <c r="F97" s="31" t="s">
        <v>290</v>
      </c>
      <c r="G97" s="31" t="s">
        <v>290</v>
      </c>
      <c r="H97" s="11"/>
      <c r="I97" s="48"/>
      <c r="J97" s="120" t="s">
        <v>313</v>
      </c>
      <c r="K97" s="52">
        <v>41</v>
      </c>
    </row>
    <row r="98" spans="1:11" ht="14.45" hidden="1">
      <c r="A98" s="123" t="s">
        <v>70</v>
      </c>
      <c r="B98" s="5">
        <v>1</v>
      </c>
      <c r="C98" s="10" t="s">
        <v>290</v>
      </c>
      <c r="D98" s="10" t="s">
        <v>290</v>
      </c>
      <c r="E98" s="10" t="s">
        <v>290</v>
      </c>
      <c r="F98" s="31" t="s">
        <v>290</v>
      </c>
      <c r="G98" s="31" t="s">
        <v>290</v>
      </c>
      <c r="H98" s="11"/>
      <c r="I98" s="48"/>
      <c r="J98" s="120" t="s">
        <v>313</v>
      </c>
      <c r="K98" s="52">
        <v>41</v>
      </c>
    </row>
    <row r="99" spans="1:11" ht="14.45" hidden="1">
      <c r="A99" s="123" t="s">
        <v>72</v>
      </c>
      <c r="B99" s="5">
        <v>1</v>
      </c>
      <c r="C99" s="10" t="s">
        <v>290</v>
      </c>
      <c r="D99" s="10" t="s">
        <v>290</v>
      </c>
      <c r="E99" s="10" t="s">
        <v>290</v>
      </c>
      <c r="F99" s="31" t="s">
        <v>290</v>
      </c>
      <c r="G99" s="31" t="s">
        <v>290</v>
      </c>
      <c r="H99" s="11"/>
      <c r="I99" s="48"/>
      <c r="J99" s="120" t="s">
        <v>313</v>
      </c>
      <c r="K99" s="52">
        <v>41</v>
      </c>
    </row>
    <row r="100" spans="1:11" ht="14.45" hidden="1">
      <c r="A100" s="123" t="s">
        <v>75</v>
      </c>
      <c r="B100" s="5">
        <v>1</v>
      </c>
      <c r="C100" s="10" t="s">
        <v>290</v>
      </c>
      <c r="D100" s="10" t="s">
        <v>290</v>
      </c>
      <c r="E100" s="10" t="s">
        <v>290</v>
      </c>
      <c r="F100" s="31" t="s">
        <v>290</v>
      </c>
      <c r="G100" s="31" t="s">
        <v>290</v>
      </c>
      <c r="H100" s="11"/>
      <c r="I100" s="48"/>
      <c r="J100" s="120" t="s">
        <v>313</v>
      </c>
      <c r="K100" s="52">
        <v>41</v>
      </c>
    </row>
    <row r="101" spans="1:11" ht="14.45" hidden="1">
      <c r="A101" s="123" t="s">
        <v>78</v>
      </c>
      <c r="B101" s="5">
        <v>1</v>
      </c>
      <c r="C101" s="10" t="s">
        <v>290</v>
      </c>
      <c r="D101" s="10" t="s">
        <v>290</v>
      </c>
      <c r="E101" s="10" t="s">
        <v>290</v>
      </c>
      <c r="F101" s="31" t="s">
        <v>290</v>
      </c>
      <c r="G101" s="31" t="s">
        <v>290</v>
      </c>
      <c r="H101" s="11"/>
      <c r="I101" s="48"/>
      <c r="J101" s="120" t="s">
        <v>313</v>
      </c>
      <c r="K101" s="52">
        <v>41</v>
      </c>
    </row>
    <row r="102" spans="1:11" ht="14.45" hidden="1">
      <c r="A102" s="123" t="s">
        <v>80</v>
      </c>
      <c r="B102" s="5">
        <v>1</v>
      </c>
      <c r="C102" s="10" t="s">
        <v>290</v>
      </c>
      <c r="D102" s="10" t="s">
        <v>290</v>
      </c>
      <c r="E102" s="10" t="s">
        <v>290</v>
      </c>
      <c r="F102" s="31" t="s">
        <v>290</v>
      </c>
      <c r="G102" s="31" t="s">
        <v>290</v>
      </c>
      <c r="H102" s="11"/>
      <c r="I102" s="48"/>
      <c r="J102" s="120" t="s">
        <v>313</v>
      </c>
      <c r="K102" s="52">
        <v>41</v>
      </c>
    </row>
    <row r="103" spans="1:11" ht="14.45" hidden="1">
      <c r="A103" s="123" t="s">
        <v>82</v>
      </c>
      <c r="B103" s="5">
        <v>1</v>
      </c>
      <c r="C103" s="10" t="s">
        <v>290</v>
      </c>
      <c r="D103" s="10" t="s">
        <v>290</v>
      </c>
      <c r="E103" s="10" t="s">
        <v>290</v>
      </c>
      <c r="F103" s="31" t="s">
        <v>290</v>
      </c>
      <c r="G103" s="31" t="s">
        <v>290</v>
      </c>
      <c r="H103" s="11"/>
      <c r="I103" s="48"/>
      <c r="J103" s="120" t="s">
        <v>313</v>
      </c>
      <c r="K103" s="52">
        <v>41</v>
      </c>
    </row>
    <row r="104" spans="1:11" ht="14.45" hidden="1">
      <c r="A104" s="123" t="s">
        <v>84</v>
      </c>
      <c r="B104" s="5">
        <v>1</v>
      </c>
      <c r="C104" s="10" t="s">
        <v>290</v>
      </c>
      <c r="D104" s="10" t="s">
        <v>290</v>
      </c>
      <c r="E104" s="10" t="s">
        <v>290</v>
      </c>
      <c r="F104" s="31" t="s">
        <v>290</v>
      </c>
      <c r="G104" s="31" t="s">
        <v>290</v>
      </c>
      <c r="H104" s="11"/>
      <c r="I104" s="48"/>
      <c r="J104" s="120" t="s">
        <v>313</v>
      </c>
      <c r="K104" s="52">
        <v>41</v>
      </c>
    </row>
    <row r="105" spans="1:11" ht="14.45" hidden="1">
      <c r="A105" s="123" t="s">
        <v>86</v>
      </c>
      <c r="B105" s="5">
        <v>1</v>
      </c>
      <c r="C105" s="10" t="s">
        <v>290</v>
      </c>
      <c r="D105" s="10" t="s">
        <v>290</v>
      </c>
      <c r="E105" s="10" t="s">
        <v>290</v>
      </c>
      <c r="F105" s="31" t="s">
        <v>290</v>
      </c>
      <c r="G105" s="31" t="s">
        <v>290</v>
      </c>
      <c r="H105" s="11"/>
      <c r="I105" s="48"/>
      <c r="J105" s="120" t="s">
        <v>313</v>
      </c>
      <c r="K105" s="52">
        <v>41</v>
      </c>
    </row>
    <row r="106" spans="1:11" ht="14.45" hidden="1">
      <c r="A106" s="123" t="s">
        <v>88</v>
      </c>
      <c r="B106" s="5">
        <v>1</v>
      </c>
      <c r="C106" s="10" t="s">
        <v>290</v>
      </c>
      <c r="D106" s="10" t="s">
        <v>290</v>
      </c>
      <c r="E106" s="10" t="s">
        <v>290</v>
      </c>
      <c r="F106" s="31" t="s">
        <v>290</v>
      </c>
      <c r="G106" s="31" t="s">
        <v>290</v>
      </c>
      <c r="H106" s="11"/>
      <c r="I106" s="48"/>
      <c r="J106" s="120" t="s">
        <v>313</v>
      </c>
      <c r="K106" s="52">
        <v>41</v>
      </c>
    </row>
    <row r="107" spans="1:11" ht="14.45" hidden="1">
      <c r="A107" s="123" t="s">
        <v>90</v>
      </c>
      <c r="B107" s="5">
        <v>1</v>
      </c>
      <c r="C107" s="10" t="s">
        <v>290</v>
      </c>
      <c r="D107" s="10" t="s">
        <v>290</v>
      </c>
      <c r="E107" s="10" t="s">
        <v>290</v>
      </c>
      <c r="F107" s="31" t="s">
        <v>290</v>
      </c>
      <c r="G107" s="31" t="s">
        <v>290</v>
      </c>
      <c r="H107" s="11"/>
      <c r="I107" s="48"/>
      <c r="J107" s="120" t="s">
        <v>313</v>
      </c>
      <c r="K107" s="52">
        <v>41</v>
      </c>
    </row>
    <row r="108" spans="1:11" ht="14.45" hidden="1">
      <c r="A108" s="124" t="s">
        <v>8</v>
      </c>
      <c r="B108" s="5">
        <v>1</v>
      </c>
      <c r="C108" s="10" t="s">
        <v>290</v>
      </c>
      <c r="D108" s="10" t="s">
        <v>290</v>
      </c>
      <c r="E108" s="10" t="s">
        <v>290</v>
      </c>
      <c r="F108" s="31" t="s">
        <v>290</v>
      </c>
      <c r="G108" s="31" t="s">
        <v>290</v>
      </c>
      <c r="H108" s="11"/>
      <c r="I108" s="48"/>
      <c r="J108" s="121" t="s">
        <v>314</v>
      </c>
      <c r="K108" s="52">
        <v>41</v>
      </c>
    </row>
    <row r="109" spans="1:11" ht="14.45" hidden="1">
      <c r="A109" s="46" t="s">
        <v>92</v>
      </c>
      <c r="B109" s="5">
        <v>2</v>
      </c>
      <c r="C109" s="10" t="s">
        <v>290</v>
      </c>
      <c r="D109" s="10" t="s">
        <v>290</v>
      </c>
      <c r="E109" s="10" t="s">
        <v>290</v>
      </c>
      <c r="F109" s="31" t="s">
        <v>290</v>
      </c>
      <c r="G109" s="31" t="s">
        <v>290</v>
      </c>
      <c r="H109" s="11"/>
      <c r="I109" s="48"/>
      <c r="J109" s="121" t="s">
        <v>314</v>
      </c>
      <c r="K109" s="52">
        <v>41</v>
      </c>
    </row>
    <row r="110" spans="1:11" ht="14.45" hidden="1">
      <c r="A110" s="46" t="s">
        <v>94</v>
      </c>
      <c r="B110" s="5">
        <v>2</v>
      </c>
      <c r="C110" s="10" t="s">
        <v>290</v>
      </c>
      <c r="D110" s="10" t="s">
        <v>290</v>
      </c>
      <c r="E110" s="10" t="s">
        <v>290</v>
      </c>
      <c r="F110" s="31" t="s">
        <v>290</v>
      </c>
      <c r="G110" s="31" t="s">
        <v>290</v>
      </c>
      <c r="H110" s="11"/>
      <c r="I110" s="48"/>
      <c r="J110" s="121" t="s">
        <v>314</v>
      </c>
      <c r="K110" s="52">
        <v>41</v>
      </c>
    </row>
    <row r="111" spans="1:11" ht="14.45" hidden="1">
      <c r="A111" s="46" t="s">
        <v>96</v>
      </c>
      <c r="B111" s="5">
        <v>2</v>
      </c>
      <c r="C111" s="10" t="s">
        <v>290</v>
      </c>
      <c r="D111" s="10" t="s">
        <v>290</v>
      </c>
      <c r="E111" s="10" t="s">
        <v>290</v>
      </c>
      <c r="F111" s="31" t="s">
        <v>290</v>
      </c>
      <c r="G111" s="31" t="s">
        <v>290</v>
      </c>
      <c r="H111" s="11"/>
      <c r="I111" s="48"/>
      <c r="J111" s="121" t="s">
        <v>314</v>
      </c>
      <c r="K111" s="52">
        <v>41</v>
      </c>
    </row>
    <row r="112" spans="1:11" ht="14.45" hidden="1">
      <c r="A112" s="46" t="s">
        <v>98</v>
      </c>
      <c r="B112" s="5">
        <v>2</v>
      </c>
      <c r="C112" s="10" t="s">
        <v>290</v>
      </c>
      <c r="D112" s="10" t="s">
        <v>290</v>
      </c>
      <c r="E112" s="10" t="s">
        <v>290</v>
      </c>
      <c r="F112" s="31" t="s">
        <v>290</v>
      </c>
      <c r="G112" s="31" t="s">
        <v>290</v>
      </c>
      <c r="H112" s="11"/>
      <c r="I112" s="48"/>
      <c r="J112" s="121" t="s">
        <v>314</v>
      </c>
      <c r="K112" s="52">
        <v>41</v>
      </c>
    </row>
    <row r="113" spans="1:11" ht="14.45" hidden="1">
      <c r="A113" s="46" t="s">
        <v>119</v>
      </c>
      <c r="B113" s="5">
        <v>2</v>
      </c>
      <c r="C113" s="10" t="s">
        <v>290</v>
      </c>
      <c r="D113" s="10" t="s">
        <v>290</v>
      </c>
      <c r="E113" s="10" t="s">
        <v>290</v>
      </c>
      <c r="F113" s="31" t="s">
        <v>290</v>
      </c>
      <c r="G113" s="31" t="s">
        <v>290</v>
      </c>
      <c r="H113" s="11"/>
      <c r="I113" s="48"/>
      <c r="J113" s="121" t="s">
        <v>314</v>
      </c>
      <c r="K113" s="52">
        <v>41</v>
      </c>
    </row>
    <row r="114" spans="1:11" ht="14.45" hidden="1">
      <c r="A114" s="46" t="s">
        <v>102</v>
      </c>
      <c r="B114" s="5">
        <v>2</v>
      </c>
      <c r="C114" s="10" t="s">
        <v>290</v>
      </c>
      <c r="D114" s="10" t="s">
        <v>290</v>
      </c>
      <c r="E114" s="10" t="s">
        <v>290</v>
      </c>
      <c r="F114" s="31" t="s">
        <v>290</v>
      </c>
      <c r="G114" s="31" t="s">
        <v>290</v>
      </c>
      <c r="H114" s="11"/>
      <c r="I114" s="48"/>
      <c r="J114" s="121" t="s">
        <v>314</v>
      </c>
      <c r="K114" s="52">
        <v>41</v>
      </c>
    </row>
    <row r="115" spans="1:11" ht="14.45" hidden="1">
      <c r="A115" s="46" t="s">
        <v>104</v>
      </c>
      <c r="B115" s="5">
        <v>2</v>
      </c>
      <c r="C115" s="10" t="s">
        <v>290</v>
      </c>
      <c r="D115" s="10" t="s">
        <v>290</v>
      </c>
      <c r="E115" s="10" t="s">
        <v>290</v>
      </c>
      <c r="F115" s="31" t="s">
        <v>290</v>
      </c>
      <c r="G115" s="31" t="s">
        <v>290</v>
      </c>
      <c r="H115" s="11"/>
      <c r="I115" s="48"/>
      <c r="J115" s="121" t="s">
        <v>314</v>
      </c>
      <c r="K115" s="52">
        <v>41</v>
      </c>
    </row>
    <row r="116" spans="1:11" ht="14.45" hidden="1">
      <c r="A116" s="46" t="s">
        <v>106</v>
      </c>
      <c r="B116" s="5"/>
      <c r="C116" s="10" t="s">
        <v>290</v>
      </c>
      <c r="D116" s="10" t="s">
        <v>290</v>
      </c>
      <c r="E116" s="10" t="s">
        <v>290</v>
      </c>
      <c r="F116" s="31" t="s">
        <v>290</v>
      </c>
      <c r="G116" s="31" t="s">
        <v>290</v>
      </c>
      <c r="H116" s="11"/>
      <c r="I116" s="48"/>
      <c r="J116" s="121" t="s">
        <v>314</v>
      </c>
      <c r="K116" s="52">
        <v>41</v>
      </c>
    </row>
    <row r="117" spans="1:11" ht="14.45" hidden="1">
      <c r="A117" s="46" t="s">
        <v>315</v>
      </c>
      <c r="B117" s="5">
        <v>2</v>
      </c>
      <c r="C117" s="10" t="s">
        <v>290</v>
      </c>
      <c r="D117" s="10" t="s">
        <v>290</v>
      </c>
      <c r="E117" s="10" t="s">
        <v>290</v>
      </c>
      <c r="F117" s="31" t="s">
        <v>290</v>
      </c>
      <c r="G117" s="31" t="s">
        <v>290</v>
      </c>
      <c r="H117" s="11"/>
      <c r="I117" s="48"/>
      <c r="J117" s="121" t="s">
        <v>314</v>
      </c>
      <c r="K117" s="52">
        <v>41</v>
      </c>
    </row>
    <row r="118" spans="1:11" ht="14.45" hidden="1">
      <c r="A118" s="46" t="s">
        <v>112</v>
      </c>
      <c r="B118" s="5">
        <v>2</v>
      </c>
      <c r="C118" s="10" t="s">
        <v>290</v>
      </c>
      <c r="D118" s="10" t="s">
        <v>290</v>
      </c>
      <c r="E118" s="10" t="s">
        <v>290</v>
      </c>
      <c r="F118" s="31" t="s">
        <v>290</v>
      </c>
      <c r="G118" s="31" t="s">
        <v>290</v>
      </c>
      <c r="H118" s="11"/>
      <c r="I118" s="48"/>
      <c r="J118" s="121" t="s">
        <v>314</v>
      </c>
      <c r="K118" s="52">
        <v>41</v>
      </c>
    </row>
    <row r="119" spans="1:11" ht="14.45" hidden="1">
      <c r="A119" s="46" t="s">
        <v>114</v>
      </c>
      <c r="B119" s="5">
        <v>2</v>
      </c>
      <c r="C119" s="10" t="s">
        <v>290</v>
      </c>
      <c r="D119" s="10" t="s">
        <v>290</v>
      </c>
      <c r="E119" s="10" t="s">
        <v>290</v>
      </c>
      <c r="F119" s="31" t="s">
        <v>290</v>
      </c>
      <c r="G119" s="31" t="s">
        <v>290</v>
      </c>
      <c r="H119" s="11"/>
      <c r="I119" s="48"/>
      <c r="J119" s="121" t="s">
        <v>314</v>
      </c>
      <c r="K119" s="52">
        <v>41</v>
      </c>
    </row>
    <row r="120" spans="1:11" ht="15" customHeight="1">
      <c r="A120" s="1" t="s">
        <v>1</v>
      </c>
      <c r="B120" s="1" t="s">
        <v>282</v>
      </c>
      <c r="C120" s="1" t="s">
        <v>316</v>
      </c>
      <c r="D120" s="1" t="s">
        <v>317</v>
      </c>
      <c r="E120" s="1" t="s">
        <v>318</v>
      </c>
      <c r="F120" s="1" t="s">
        <v>319</v>
      </c>
      <c r="G120" s="1" t="s">
        <v>320</v>
      </c>
      <c r="H120" s="1" t="s">
        <v>321</v>
      </c>
      <c r="I120" s="1" t="s">
        <v>322</v>
      </c>
      <c r="J120" s="1" t="s">
        <v>312</v>
      </c>
      <c r="K120" s="52">
        <v>42</v>
      </c>
    </row>
    <row r="121" spans="1:11" ht="15" customHeight="1">
      <c r="A121" s="122" t="s">
        <v>8</v>
      </c>
      <c r="B121" s="5">
        <v>1</v>
      </c>
      <c r="C121" s="155" t="s">
        <v>290</v>
      </c>
      <c r="D121" s="155" t="s">
        <v>290</v>
      </c>
      <c r="E121" s="155" t="s">
        <v>290</v>
      </c>
      <c r="F121" s="156" t="s">
        <v>290</v>
      </c>
      <c r="G121" s="156" t="s">
        <v>290</v>
      </c>
      <c r="H121" s="157"/>
      <c r="I121" s="158"/>
      <c r="J121" s="120" t="s">
        <v>313</v>
      </c>
      <c r="K121" s="52">
        <v>42</v>
      </c>
    </row>
    <row r="122" spans="1:11" ht="15" customHeight="1">
      <c r="A122" s="122" t="s">
        <v>18</v>
      </c>
      <c r="B122" s="5">
        <v>1</v>
      </c>
      <c r="C122" s="155" t="s">
        <v>290</v>
      </c>
      <c r="D122" s="155" t="s">
        <v>290</v>
      </c>
      <c r="E122" s="155" t="s">
        <v>290</v>
      </c>
      <c r="F122" s="156" t="s">
        <v>290</v>
      </c>
      <c r="G122" s="156" t="s">
        <v>290</v>
      </c>
      <c r="H122" s="157"/>
      <c r="I122" s="158"/>
      <c r="J122" s="120" t="s">
        <v>313</v>
      </c>
      <c r="K122" s="52">
        <v>42</v>
      </c>
    </row>
    <row r="123" spans="1:11" ht="15" customHeight="1">
      <c r="A123" s="123" t="s">
        <v>20</v>
      </c>
      <c r="B123" s="5">
        <v>1</v>
      </c>
      <c r="C123" s="155" t="s">
        <v>290</v>
      </c>
      <c r="D123" s="155" t="s">
        <v>290</v>
      </c>
      <c r="E123" s="155" t="s">
        <v>290</v>
      </c>
      <c r="F123" s="156" t="s">
        <v>290</v>
      </c>
      <c r="G123" s="156" t="s">
        <v>290</v>
      </c>
      <c r="H123" s="157"/>
      <c r="I123" s="158"/>
      <c r="J123" s="120" t="s">
        <v>313</v>
      </c>
      <c r="K123" s="52">
        <v>42</v>
      </c>
    </row>
    <row r="124" spans="1:11" ht="15" customHeight="1">
      <c r="A124" s="123" t="s">
        <v>118</v>
      </c>
      <c r="B124" s="5">
        <v>1</v>
      </c>
      <c r="C124" s="155" t="s">
        <v>290</v>
      </c>
      <c r="D124" s="155" t="s">
        <v>290</v>
      </c>
      <c r="E124" s="155" t="s">
        <v>290</v>
      </c>
      <c r="F124" s="156" t="s">
        <v>290</v>
      </c>
      <c r="G124" s="156" t="s">
        <v>290</v>
      </c>
      <c r="H124" s="157"/>
      <c r="I124" s="158"/>
      <c r="J124" s="120" t="s">
        <v>313</v>
      </c>
      <c r="K124" s="52">
        <v>42</v>
      </c>
    </row>
    <row r="125" spans="1:11" ht="15" customHeight="1">
      <c r="A125" s="123" t="s">
        <v>26</v>
      </c>
      <c r="B125" s="5">
        <v>1</v>
      </c>
      <c r="C125" s="155" t="s">
        <v>290</v>
      </c>
      <c r="D125" s="155" t="s">
        <v>290</v>
      </c>
      <c r="E125" s="155" t="s">
        <v>290</v>
      </c>
      <c r="F125" s="156" t="s">
        <v>290</v>
      </c>
      <c r="G125" s="156" t="s">
        <v>290</v>
      </c>
      <c r="H125" s="157"/>
      <c r="I125" s="158"/>
      <c r="J125" s="120" t="s">
        <v>313</v>
      </c>
      <c r="K125" s="52">
        <v>42</v>
      </c>
    </row>
    <row r="126" spans="1:11" ht="15" customHeight="1">
      <c r="A126" s="123" t="s">
        <v>29</v>
      </c>
      <c r="B126" s="5">
        <v>1</v>
      </c>
      <c r="C126" s="155" t="s">
        <v>290</v>
      </c>
      <c r="D126" s="155" t="s">
        <v>290</v>
      </c>
      <c r="E126" s="155" t="s">
        <v>290</v>
      </c>
      <c r="F126" s="156" t="s">
        <v>290</v>
      </c>
      <c r="G126" s="156" t="s">
        <v>290</v>
      </c>
      <c r="H126" s="157"/>
      <c r="I126" s="158"/>
      <c r="J126" s="120" t="s">
        <v>313</v>
      </c>
      <c r="K126" s="52">
        <v>42</v>
      </c>
    </row>
    <row r="127" spans="1:11" ht="15" customHeight="1">
      <c r="A127" s="123" t="s">
        <v>32</v>
      </c>
      <c r="B127" s="5">
        <v>1</v>
      </c>
      <c r="C127" s="155" t="s">
        <v>290</v>
      </c>
      <c r="D127" s="155" t="s">
        <v>290</v>
      </c>
      <c r="E127" s="155" t="s">
        <v>290</v>
      </c>
      <c r="F127" s="156" t="s">
        <v>290</v>
      </c>
      <c r="G127" s="156" t="s">
        <v>290</v>
      </c>
      <c r="H127" s="157"/>
      <c r="I127" s="158"/>
      <c r="J127" s="120" t="s">
        <v>313</v>
      </c>
      <c r="K127" s="52">
        <v>42</v>
      </c>
    </row>
    <row r="128" spans="1:11" ht="15" customHeight="1">
      <c r="A128" s="123" t="s">
        <v>35</v>
      </c>
      <c r="B128" s="5">
        <v>1</v>
      </c>
      <c r="C128" s="155" t="s">
        <v>290</v>
      </c>
      <c r="D128" s="155" t="s">
        <v>290</v>
      </c>
      <c r="E128" s="155" t="s">
        <v>290</v>
      </c>
      <c r="F128" s="156" t="s">
        <v>290</v>
      </c>
      <c r="G128" s="156" t="s">
        <v>290</v>
      </c>
      <c r="H128" s="157"/>
      <c r="I128" s="158"/>
      <c r="J128" s="120" t="s">
        <v>313</v>
      </c>
      <c r="K128" s="52">
        <v>42</v>
      </c>
    </row>
    <row r="129" spans="1:11" ht="15" customHeight="1">
      <c r="A129" s="123" t="s">
        <v>39</v>
      </c>
      <c r="B129" s="5">
        <v>1</v>
      </c>
      <c r="C129" s="155" t="s">
        <v>290</v>
      </c>
      <c r="D129" s="155" t="s">
        <v>290</v>
      </c>
      <c r="E129" s="155" t="s">
        <v>290</v>
      </c>
      <c r="F129" s="156" t="s">
        <v>290</v>
      </c>
      <c r="G129" s="156" t="s">
        <v>290</v>
      </c>
      <c r="H129" s="157"/>
      <c r="I129" s="158"/>
      <c r="J129" s="120" t="s">
        <v>313</v>
      </c>
      <c r="K129" s="52">
        <v>42</v>
      </c>
    </row>
    <row r="130" spans="1:11" ht="15" customHeight="1">
      <c r="A130" s="123" t="s">
        <v>42</v>
      </c>
      <c r="B130" s="5">
        <v>1</v>
      </c>
      <c r="C130" s="155" t="s">
        <v>290</v>
      </c>
      <c r="D130" s="155" t="s">
        <v>290</v>
      </c>
      <c r="E130" s="155" t="s">
        <v>290</v>
      </c>
      <c r="F130" s="156" t="s">
        <v>290</v>
      </c>
      <c r="G130" s="156" t="s">
        <v>290</v>
      </c>
      <c r="H130" s="157"/>
      <c r="I130" s="158"/>
      <c r="J130" s="120" t="s">
        <v>313</v>
      </c>
      <c r="K130" s="52">
        <v>42</v>
      </c>
    </row>
    <row r="131" spans="1:11" ht="15" customHeight="1">
      <c r="A131" s="123" t="s">
        <v>47</v>
      </c>
      <c r="B131" s="5">
        <v>1</v>
      </c>
      <c r="C131" s="155" t="s">
        <v>290</v>
      </c>
      <c r="D131" s="155" t="s">
        <v>290</v>
      </c>
      <c r="E131" s="155" t="s">
        <v>290</v>
      </c>
      <c r="F131" s="156" t="s">
        <v>290</v>
      </c>
      <c r="G131" s="156" t="s">
        <v>290</v>
      </c>
      <c r="H131" s="157"/>
      <c r="I131" s="158"/>
      <c r="J131" s="120" t="s">
        <v>313</v>
      </c>
      <c r="K131" s="52">
        <v>42</v>
      </c>
    </row>
    <row r="132" spans="1:11" ht="15" customHeight="1">
      <c r="A132" s="123" t="s">
        <v>52</v>
      </c>
      <c r="B132" s="5">
        <v>1</v>
      </c>
      <c r="C132" s="155" t="s">
        <v>290</v>
      </c>
      <c r="D132" s="155" t="s">
        <v>290</v>
      </c>
      <c r="E132" s="155" t="s">
        <v>290</v>
      </c>
      <c r="F132" s="156" t="s">
        <v>290</v>
      </c>
      <c r="G132" s="156" t="s">
        <v>290</v>
      </c>
      <c r="H132" s="157"/>
      <c r="I132" s="158"/>
      <c r="J132" s="120" t="s">
        <v>313</v>
      </c>
      <c r="K132" s="52">
        <v>42</v>
      </c>
    </row>
    <row r="133" spans="1:11" ht="15" customHeight="1">
      <c r="A133" s="123" t="s">
        <v>56</v>
      </c>
      <c r="B133" s="5">
        <v>1</v>
      </c>
      <c r="C133" s="155" t="s">
        <v>290</v>
      </c>
      <c r="D133" s="155" t="s">
        <v>290</v>
      </c>
      <c r="E133" s="155" t="s">
        <v>290</v>
      </c>
      <c r="F133" s="156" t="s">
        <v>290</v>
      </c>
      <c r="G133" s="156" t="s">
        <v>290</v>
      </c>
      <c r="H133" s="157"/>
      <c r="I133" s="158"/>
      <c r="J133" s="120" t="s">
        <v>313</v>
      </c>
      <c r="K133" s="52">
        <v>42</v>
      </c>
    </row>
    <row r="134" spans="1:11" ht="15" customHeight="1">
      <c r="A134" s="123" t="s">
        <v>61</v>
      </c>
      <c r="B134" s="5">
        <v>1</v>
      </c>
      <c r="C134" s="155" t="s">
        <v>290</v>
      </c>
      <c r="D134" s="155" t="s">
        <v>290</v>
      </c>
      <c r="E134" s="155" t="s">
        <v>290</v>
      </c>
      <c r="F134" s="156" t="s">
        <v>290</v>
      </c>
      <c r="G134" s="156" t="s">
        <v>290</v>
      </c>
      <c r="H134" s="157"/>
      <c r="I134" s="158"/>
      <c r="J134" s="120" t="s">
        <v>313</v>
      </c>
      <c r="K134" s="52">
        <v>42</v>
      </c>
    </row>
    <row r="135" spans="1:11" ht="15" customHeight="1">
      <c r="A135" s="123" t="s">
        <v>64</v>
      </c>
      <c r="B135" s="5">
        <v>1</v>
      </c>
      <c r="C135" s="155" t="s">
        <v>290</v>
      </c>
      <c r="D135" s="155" t="s">
        <v>290</v>
      </c>
      <c r="E135" s="155" t="s">
        <v>290</v>
      </c>
      <c r="F135" s="156" t="s">
        <v>290</v>
      </c>
      <c r="G135" s="156" t="s">
        <v>290</v>
      </c>
      <c r="H135" s="157"/>
      <c r="I135" s="158"/>
      <c r="J135" s="120" t="s">
        <v>313</v>
      </c>
      <c r="K135" s="52">
        <v>42</v>
      </c>
    </row>
    <row r="136" spans="1:11" ht="15" customHeight="1">
      <c r="A136" s="123" t="s">
        <v>67</v>
      </c>
      <c r="B136" s="5">
        <v>1</v>
      </c>
      <c r="C136" s="155" t="s">
        <v>290</v>
      </c>
      <c r="D136" s="155" t="s">
        <v>290</v>
      </c>
      <c r="E136" s="155" t="s">
        <v>290</v>
      </c>
      <c r="F136" s="156" t="s">
        <v>290</v>
      </c>
      <c r="G136" s="156" t="s">
        <v>290</v>
      </c>
      <c r="H136" s="157"/>
      <c r="I136" s="158"/>
      <c r="J136" s="120" t="s">
        <v>313</v>
      </c>
      <c r="K136" s="52">
        <v>42</v>
      </c>
    </row>
    <row r="137" spans="1:11" ht="15" customHeight="1">
      <c r="A137" s="123" t="s">
        <v>70</v>
      </c>
      <c r="B137" s="5">
        <v>1</v>
      </c>
      <c r="C137" s="155" t="s">
        <v>290</v>
      </c>
      <c r="D137" s="155" t="s">
        <v>290</v>
      </c>
      <c r="E137" s="155" t="s">
        <v>290</v>
      </c>
      <c r="F137" s="156" t="s">
        <v>290</v>
      </c>
      <c r="G137" s="156" t="s">
        <v>290</v>
      </c>
      <c r="H137" s="157"/>
      <c r="I137" s="158"/>
      <c r="J137" s="120" t="s">
        <v>313</v>
      </c>
      <c r="K137" s="52">
        <v>42</v>
      </c>
    </row>
    <row r="138" spans="1:11" ht="15" customHeight="1">
      <c r="A138" s="123" t="s">
        <v>72</v>
      </c>
      <c r="B138" s="5">
        <v>1</v>
      </c>
      <c r="C138" s="155" t="s">
        <v>290</v>
      </c>
      <c r="D138" s="155" t="s">
        <v>290</v>
      </c>
      <c r="E138" s="155" t="s">
        <v>290</v>
      </c>
      <c r="F138" s="156" t="s">
        <v>290</v>
      </c>
      <c r="G138" s="156" t="s">
        <v>290</v>
      </c>
      <c r="H138" s="157"/>
      <c r="I138" s="158"/>
      <c r="J138" s="120" t="s">
        <v>313</v>
      </c>
      <c r="K138" s="52">
        <v>42</v>
      </c>
    </row>
    <row r="139" spans="1:11" ht="15" customHeight="1">
      <c r="A139" s="123" t="s">
        <v>75</v>
      </c>
      <c r="B139" s="5">
        <v>1</v>
      </c>
      <c r="C139" s="155" t="s">
        <v>290</v>
      </c>
      <c r="D139" s="155" t="s">
        <v>290</v>
      </c>
      <c r="E139" s="155" t="s">
        <v>290</v>
      </c>
      <c r="F139" s="156" t="s">
        <v>290</v>
      </c>
      <c r="G139" s="156" t="s">
        <v>290</v>
      </c>
      <c r="H139" s="157"/>
      <c r="I139" s="158"/>
      <c r="J139" s="120" t="s">
        <v>313</v>
      </c>
      <c r="K139" s="52">
        <v>42</v>
      </c>
    </row>
    <row r="140" spans="1:11" ht="15" customHeight="1">
      <c r="A140" s="123" t="s">
        <v>78</v>
      </c>
      <c r="B140" s="5">
        <v>1</v>
      </c>
      <c r="C140" s="155" t="s">
        <v>290</v>
      </c>
      <c r="D140" s="155" t="s">
        <v>290</v>
      </c>
      <c r="E140" s="155" t="s">
        <v>290</v>
      </c>
      <c r="F140" s="156" t="s">
        <v>290</v>
      </c>
      <c r="G140" s="156" t="s">
        <v>290</v>
      </c>
      <c r="H140" s="157"/>
      <c r="I140" s="158"/>
      <c r="J140" s="120" t="s">
        <v>313</v>
      </c>
      <c r="K140" s="52">
        <v>42</v>
      </c>
    </row>
    <row r="141" spans="1:11" ht="15" customHeight="1">
      <c r="A141" s="123" t="s">
        <v>80</v>
      </c>
      <c r="B141" s="5">
        <v>1</v>
      </c>
      <c r="C141" s="155" t="s">
        <v>290</v>
      </c>
      <c r="D141" s="155" t="s">
        <v>290</v>
      </c>
      <c r="E141" s="155" t="s">
        <v>290</v>
      </c>
      <c r="F141" s="156" t="s">
        <v>290</v>
      </c>
      <c r="G141" s="156" t="s">
        <v>290</v>
      </c>
      <c r="H141" s="157"/>
      <c r="I141" s="158"/>
      <c r="J141" s="120" t="s">
        <v>313</v>
      </c>
      <c r="K141" s="52">
        <v>42</v>
      </c>
    </row>
    <row r="142" spans="1:11" ht="15" customHeight="1">
      <c r="A142" s="123" t="s">
        <v>82</v>
      </c>
      <c r="B142" s="5">
        <v>1</v>
      </c>
      <c r="C142" s="155" t="s">
        <v>290</v>
      </c>
      <c r="D142" s="155" t="s">
        <v>290</v>
      </c>
      <c r="E142" s="155" t="s">
        <v>290</v>
      </c>
      <c r="F142" s="156" t="s">
        <v>290</v>
      </c>
      <c r="G142" s="156" t="s">
        <v>290</v>
      </c>
      <c r="H142" s="157"/>
      <c r="I142" s="158"/>
      <c r="J142" s="120" t="s">
        <v>313</v>
      </c>
      <c r="K142" s="52">
        <v>42</v>
      </c>
    </row>
    <row r="143" spans="1:11" ht="15" customHeight="1">
      <c r="A143" s="123" t="s">
        <v>84</v>
      </c>
      <c r="B143" s="5">
        <v>1</v>
      </c>
      <c r="C143" s="155" t="s">
        <v>290</v>
      </c>
      <c r="D143" s="155" t="s">
        <v>290</v>
      </c>
      <c r="E143" s="155" t="s">
        <v>290</v>
      </c>
      <c r="F143" s="156" t="s">
        <v>290</v>
      </c>
      <c r="G143" s="156" t="s">
        <v>290</v>
      </c>
      <c r="H143" s="157"/>
      <c r="I143" s="158"/>
      <c r="J143" s="120" t="s">
        <v>313</v>
      </c>
      <c r="K143" s="52">
        <v>42</v>
      </c>
    </row>
    <row r="144" spans="1:11" ht="15" customHeight="1">
      <c r="A144" s="123" t="s">
        <v>86</v>
      </c>
      <c r="B144" s="5">
        <v>1</v>
      </c>
      <c r="C144" s="155" t="s">
        <v>290</v>
      </c>
      <c r="D144" s="155" t="s">
        <v>290</v>
      </c>
      <c r="E144" s="155" t="s">
        <v>290</v>
      </c>
      <c r="F144" s="156" t="s">
        <v>290</v>
      </c>
      <c r="G144" s="156" t="s">
        <v>290</v>
      </c>
      <c r="H144" s="157"/>
      <c r="I144" s="158"/>
      <c r="J144" s="120" t="s">
        <v>313</v>
      </c>
      <c r="K144" s="52">
        <v>42</v>
      </c>
    </row>
    <row r="145" spans="1:11" ht="15" customHeight="1">
      <c r="A145" s="123" t="s">
        <v>88</v>
      </c>
      <c r="B145" s="5">
        <v>1</v>
      </c>
      <c r="C145" s="155" t="s">
        <v>290</v>
      </c>
      <c r="D145" s="155" t="s">
        <v>290</v>
      </c>
      <c r="E145" s="155" t="s">
        <v>290</v>
      </c>
      <c r="F145" s="156" t="s">
        <v>290</v>
      </c>
      <c r="G145" s="156" t="s">
        <v>290</v>
      </c>
      <c r="H145" s="157"/>
      <c r="I145" s="158"/>
      <c r="J145" s="120" t="s">
        <v>313</v>
      </c>
      <c r="K145" s="52">
        <v>42</v>
      </c>
    </row>
    <row r="146" spans="1:11" ht="15" customHeight="1">
      <c r="A146" s="123" t="s">
        <v>90</v>
      </c>
      <c r="B146" s="5">
        <v>1</v>
      </c>
      <c r="C146" s="155" t="s">
        <v>290</v>
      </c>
      <c r="D146" s="155" t="s">
        <v>290</v>
      </c>
      <c r="E146" s="155" t="s">
        <v>290</v>
      </c>
      <c r="F146" s="156" t="s">
        <v>290</v>
      </c>
      <c r="G146" s="156" t="s">
        <v>290</v>
      </c>
      <c r="H146" s="157"/>
      <c r="I146" s="158"/>
      <c r="J146" s="120" t="s">
        <v>313</v>
      </c>
      <c r="K146" s="52">
        <v>42</v>
      </c>
    </row>
    <row r="147" spans="1:11" ht="15" customHeight="1">
      <c r="A147" s="123" t="s">
        <v>125</v>
      </c>
      <c r="B147" s="5">
        <v>1</v>
      </c>
      <c r="C147" s="155" t="s">
        <v>290</v>
      </c>
      <c r="D147" s="155" t="s">
        <v>290</v>
      </c>
      <c r="E147" s="155" t="s">
        <v>290</v>
      </c>
      <c r="F147" s="156" t="s">
        <v>290</v>
      </c>
      <c r="G147" s="156" t="s">
        <v>290</v>
      </c>
      <c r="H147" s="157"/>
      <c r="I147" s="158"/>
      <c r="J147" s="120" t="s">
        <v>313</v>
      </c>
      <c r="K147" s="52">
        <v>42</v>
      </c>
    </row>
    <row r="148" spans="1:11" ht="15" customHeight="1">
      <c r="A148" s="123" t="s">
        <v>92</v>
      </c>
      <c r="B148" s="5">
        <v>2</v>
      </c>
      <c r="C148" s="155" t="s">
        <v>290</v>
      </c>
      <c r="D148" s="155" t="s">
        <v>290</v>
      </c>
      <c r="E148" s="155" t="s">
        <v>290</v>
      </c>
      <c r="F148" s="156" t="s">
        <v>290</v>
      </c>
      <c r="G148" s="156" t="s">
        <v>290</v>
      </c>
      <c r="H148" s="157"/>
      <c r="I148" s="158"/>
      <c r="J148" s="120" t="s">
        <v>313</v>
      </c>
      <c r="K148" s="52">
        <v>42</v>
      </c>
    </row>
    <row r="149" spans="1:11" ht="15" customHeight="1">
      <c r="A149" s="123" t="s">
        <v>94</v>
      </c>
      <c r="B149" s="5">
        <v>2</v>
      </c>
      <c r="C149" s="155" t="s">
        <v>290</v>
      </c>
      <c r="D149" s="155" t="s">
        <v>290</v>
      </c>
      <c r="E149" s="155" t="s">
        <v>290</v>
      </c>
      <c r="F149" s="156" t="s">
        <v>290</v>
      </c>
      <c r="G149" s="156" t="s">
        <v>290</v>
      </c>
      <c r="H149" s="157"/>
      <c r="I149" s="158"/>
      <c r="J149" s="120" t="s">
        <v>313</v>
      </c>
      <c r="K149" s="52">
        <v>42</v>
      </c>
    </row>
    <row r="150" spans="1:11" ht="15" customHeight="1">
      <c r="A150" s="123" t="s">
        <v>96</v>
      </c>
      <c r="B150" s="5">
        <v>2</v>
      </c>
      <c r="C150" s="155" t="s">
        <v>290</v>
      </c>
      <c r="D150" s="155" t="s">
        <v>290</v>
      </c>
      <c r="E150" s="155" t="s">
        <v>290</v>
      </c>
      <c r="F150" s="156" t="s">
        <v>290</v>
      </c>
      <c r="G150" s="156" t="s">
        <v>290</v>
      </c>
      <c r="H150" s="157"/>
      <c r="I150" s="158"/>
      <c r="J150" s="120" t="s">
        <v>313</v>
      </c>
      <c r="K150" s="52">
        <v>42</v>
      </c>
    </row>
    <row r="151" spans="1:11" ht="15" customHeight="1">
      <c r="A151" s="123" t="s">
        <v>98</v>
      </c>
      <c r="B151" s="5">
        <v>2</v>
      </c>
      <c r="C151" s="155" t="s">
        <v>290</v>
      </c>
      <c r="D151" s="155" t="s">
        <v>290</v>
      </c>
      <c r="E151" s="155" t="s">
        <v>290</v>
      </c>
      <c r="F151" s="156" t="s">
        <v>290</v>
      </c>
      <c r="G151" s="156" t="s">
        <v>290</v>
      </c>
      <c r="H151" s="157"/>
      <c r="I151" s="158"/>
      <c r="J151" s="120" t="s">
        <v>313</v>
      </c>
      <c r="K151" s="52">
        <v>42</v>
      </c>
    </row>
    <row r="152" spans="1:11" ht="15" customHeight="1">
      <c r="A152" s="123" t="s">
        <v>119</v>
      </c>
      <c r="B152" s="5">
        <v>2</v>
      </c>
      <c r="C152" s="155" t="s">
        <v>290</v>
      </c>
      <c r="D152" s="155" t="s">
        <v>290</v>
      </c>
      <c r="E152" s="155" t="s">
        <v>290</v>
      </c>
      <c r="F152" s="156" t="s">
        <v>290</v>
      </c>
      <c r="G152" s="156" t="s">
        <v>290</v>
      </c>
      <c r="H152" s="157"/>
      <c r="I152" s="158"/>
      <c r="J152" s="120" t="s">
        <v>313</v>
      </c>
      <c r="K152" s="52">
        <v>42</v>
      </c>
    </row>
    <row r="153" spans="1:11" ht="15" customHeight="1">
      <c r="A153" s="123" t="s">
        <v>102</v>
      </c>
      <c r="B153" s="5">
        <v>2</v>
      </c>
      <c r="C153" s="155" t="s">
        <v>290</v>
      </c>
      <c r="D153" s="155" t="s">
        <v>290</v>
      </c>
      <c r="E153" s="155" t="s">
        <v>290</v>
      </c>
      <c r="F153" s="156" t="s">
        <v>290</v>
      </c>
      <c r="G153" s="156" t="s">
        <v>290</v>
      </c>
      <c r="H153" s="157"/>
      <c r="I153" s="158"/>
      <c r="J153" s="120" t="s">
        <v>313</v>
      </c>
      <c r="K153" s="52">
        <v>42</v>
      </c>
    </row>
    <row r="154" spans="1:11" ht="15" customHeight="1">
      <c r="A154" s="123" t="s">
        <v>104</v>
      </c>
      <c r="B154" s="5">
        <v>2</v>
      </c>
      <c r="C154" s="155" t="s">
        <v>290</v>
      </c>
      <c r="D154" s="155" t="s">
        <v>290</v>
      </c>
      <c r="E154" s="155" t="s">
        <v>290</v>
      </c>
      <c r="F154" s="156" t="s">
        <v>290</v>
      </c>
      <c r="G154" s="156" t="s">
        <v>290</v>
      </c>
      <c r="H154" s="157"/>
      <c r="I154" s="158"/>
      <c r="J154" s="120" t="s">
        <v>313</v>
      </c>
      <c r="K154" s="52">
        <v>42</v>
      </c>
    </row>
    <row r="155" spans="1:11" ht="15" customHeight="1">
      <c r="A155" s="123" t="s">
        <v>106</v>
      </c>
      <c r="B155" s="5"/>
      <c r="C155" s="155" t="s">
        <v>290</v>
      </c>
      <c r="D155" s="155" t="s">
        <v>290</v>
      </c>
      <c r="E155" s="155" t="s">
        <v>290</v>
      </c>
      <c r="F155" s="156" t="s">
        <v>290</v>
      </c>
      <c r="G155" s="156" t="s">
        <v>290</v>
      </c>
      <c r="H155" s="157"/>
      <c r="I155" s="158"/>
      <c r="J155" s="120" t="s">
        <v>313</v>
      </c>
      <c r="K155" s="52">
        <v>42</v>
      </c>
    </row>
    <row r="156" spans="1:11" ht="15" customHeight="1">
      <c r="A156" s="123" t="s">
        <v>109</v>
      </c>
      <c r="B156" s="5">
        <v>2</v>
      </c>
      <c r="C156" s="155" t="s">
        <v>290</v>
      </c>
      <c r="D156" s="155" t="s">
        <v>290</v>
      </c>
      <c r="E156" s="155" t="s">
        <v>290</v>
      </c>
      <c r="F156" s="156" t="s">
        <v>290</v>
      </c>
      <c r="G156" s="156" t="s">
        <v>290</v>
      </c>
      <c r="H156" s="157"/>
      <c r="I156" s="158"/>
      <c r="J156" s="120" t="s">
        <v>313</v>
      </c>
      <c r="K156" s="52">
        <v>42</v>
      </c>
    </row>
    <row r="157" spans="1:11" ht="15" customHeight="1">
      <c r="A157" s="123" t="s">
        <v>123</v>
      </c>
      <c r="B157" s="5">
        <v>2</v>
      </c>
      <c r="C157" s="155" t="s">
        <v>290</v>
      </c>
      <c r="D157" s="155" t="s">
        <v>290</v>
      </c>
      <c r="E157" s="155" t="s">
        <v>290</v>
      </c>
      <c r="F157" s="156" t="s">
        <v>290</v>
      </c>
      <c r="G157" s="156" t="s">
        <v>290</v>
      </c>
      <c r="H157" s="157"/>
      <c r="I157" s="158"/>
      <c r="J157" s="120" t="s">
        <v>313</v>
      </c>
      <c r="K157" s="52">
        <v>42</v>
      </c>
    </row>
    <row r="158" spans="1:11" ht="15" customHeight="1">
      <c r="A158" s="154" t="s">
        <v>15</v>
      </c>
      <c r="B158" s="5">
        <v>1</v>
      </c>
      <c r="C158" s="155" t="s">
        <v>290</v>
      </c>
      <c r="D158" s="155" t="s">
        <v>290</v>
      </c>
      <c r="E158" s="155" t="s">
        <v>290</v>
      </c>
      <c r="F158" s="156" t="s">
        <v>290</v>
      </c>
      <c r="G158" s="156" t="s">
        <v>290</v>
      </c>
      <c r="H158" s="157"/>
      <c r="I158" s="158"/>
      <c r="J158" s="121" t="s">
        <v>323</v>
      </c>
      <c r="K158" s="52">
        <v>42</v>
      </c>
    </row>
    <row r="159" spans="1:11" ht="15" customHeight="1">
      <c r="A159" s="46" t="s">
        <v>127</v>
      </c>
      <c r="B159" s="105">
        <v>3</v>
      </c>
      <c r="C159" s="155" t="s">
        <v>290</v>
      </c>
      <c r="D159" s="155" t="s">
        <v>290</v>
      </c>
      <c r="E159" s="155" t="s">
        <v>290</v>
      </c>
      <c r="F159" s="156" t="s">
        <v>290</v>
      </c>
      <c r="G159" s="156" t="s">
        <v>290</v>
      </c>
      <c r="H159" s="157"/>
      <c r="I159" s="158"/>
      <c r="J159" s="121" t="s">
        <v>323</v>
      </c>
      <c r="K159" s="52">
        <v>42</v>
      </c>
    </row>
    <row r="160" spans="1:11" ht="15" customHeight="1">
      <c r="A160" s="46" t="s">
        <v>130</v>
      </c>
      <c r="B160" s="105">
        <v>3</v>
      </c>
      <c r="C160" s="155" t="s">
        <v>290</v>
      </c>
      <c r="D160" s="155" t="s">
        <v>290</v>
      </c>
      <c r="E160" s="155" t="s">
        <v>290</v>
      </c>
      <c r="F160" s="156" t="s">
        <v>290</v>
      </c>
      <c r="G160" s="156" t="s">
        <v>290</v>
      </c>
      <c r="H160" s="157"/>
      <c r="I160" s="158"/>
      <c r="J160" s="121" t="s">
        <v>323</v>
      </c>
      <c r="K160" s="52">
        <v>42</v>
      </c>
    </row>
    <row r="161" spans="1:11" ht="15" customHeight="1">
      <c r="A161" s="46" t="s">
        <v>132</v>
      </c>
      <c r="B161" s="105">
        <v>3</v>
      </c>
      <c r="C161" s="155" t="s">
        <v>290</v>
      </c>
      <c r="D161" s="155" t="s">
        <v>290</v>
      </c>
      <c r="E161" s="155" t="s">
        <v>290</v>
      </c>
      <c r="F161" s="156" t="s">
        <v>290</v>
      </c>
      <c r="G161" s="156" t="s">
        <v>290</v>
      </c>
      <c r="H161" s="157"/>
      <c r="I161" s="158"/>
      <c r="J161" s="121" t="s">
        <v>323</v>
      </c>
      <c r="K161" s="52">
        <v>42</v>
      </c>
    </row>
    <row r="162" spans="1:11" ht="15" customHeight="1">
      <c r="A162" s="46" t="s">
        <v>134</v>
      </c>
      <c r="B162" s="105">
        <v>3</v>
      </c>
      <c r="C162" s="155" t="s">
        <v>290</v>
      </c>
      <c r="D162" s="155" t="s">
        <v>290</v>
      </c>
      <c r="E162" s="155" t="s">
        <v>290</v>
      </c>
      <c r="F162" s="156" t="s">
        <v>290</v>
      </c>
      <c r="G162" s="156" t="s">
        <v>290</v>
      </c>
      <c r="H162" s="157"/>
      <c r="I162" s="158"/>
      <c r="J162" s="121" t="s">
        <v>323</v>
      </c>
      <c r="K162" s="52">
        <v>42</v>
      </c>
    </row>
    <row r="163" spans="1:11" ht="15" customHeight="1">
      <c r="A163" s="46" t="s">
        <v>136</v>
      </c>
      <c r="B163" s="105">
        <v>3</v>
      </c>
      <c r="C163" s="155" t="s">
        <v>290</v>
      </c>
      <c r="D163" s="155" t="s">
        <v>290</v>
      </c>
      <c r="E163" s="155" t="s">
        <v>290</v>
      </c>
      <c r="F163" s="156" t="s">
        <v>290</v>
      </c>
      <c r="G163" s="156" t="s">
        <v>290</v>
      </c>
      <c r="H163" s="157"/>
      <c r="I163" s="158"/>
      <c r="J163" s="121" t="s">
        <v>323</v>
      </c>
      <c r="K163" s="52">
        <v>42</v>
      </c>
    </row>
    <row r="164" spans="1:11" ht="15" customHeight="1">
      <c r="A164" s="46" t="s">
        <v>139</v>
      </c>
      <c r="B164" s="105">
        <v>3</v>
      </c>
      <c r="C164" s="155" t="s">
        <v>290</v>
      </c>
      <c r="D164" s="155" t="s">
        <v>290</v>
      </c>
      <c r="E164" s="155" t="s">
        <v>290</v>
      </c>
      <c r="F164" s="156" t="s">
        <v>290</v>
      </c>
      <c r="G164" s="156" t="s">
        <v>290</v>
      </c>
      <c r="H164" s="157"/>
      <c r="I164" s="158"/>
      <c r="J164" s="121" t="s">
        <v>323</v>
      </c>
      <c r="K164" s="52">
        <v>42</v>
      </c>
    </row>
    <row r="165" spans="1:11" ht="15" customHeight="1">
      <c r="A165" s="46" t="s">
        <v>141</v>
      </c>
      <c r="B165" s="105">
        <v>3</v>
      </c>
      <c r="C165" s="155" t="s">
        <v>290</v>
      </c>
      <c r="D165" s="155" t="s">
        <v>290</v>
      </c>
      <c r="E165" s="155" t="s">
        <v>290</v>
      </c>
      <c r="F165" s="156" t="s">
        <v>290</v>
      </c>
      <c r="G165" s="156" t="s">
        <v>290</v>
      </c>
      <c r="H165" s="157"/>
      <c r="I165" s="158"/>
      <c r="J165" s="121" t="s">
        <v>323</v>
      </c>
      <c r="K165" s="52">
        <v>42</v>
      </c>
    </row>
    <row r="166" spans="1:11" ht="15" customHeight="1">
      <c r="A166" s="46" t="s">
        <v>143</v>
      </c>
      <c r="B166" s="105">
        <v>3</v>
      </c>
      <c r="C166" s="155" t="s">
        <v>290</v>
      </c>
      <c r="D166" s="155" t="s">
        <v>290</v>
      </c>
      <c r="E166" s="155" t="s">
        <v>290</v>
      </c>
      <c r="F166" s="156" t="s">
        <v>290</v>
      </c>
      <c r="G166" s="156" t="s">
        <v>290</v>
      </c>
      <c r="H166" s="157"/>
      <c r="I166" s="158"/>
      <c r="J166" s="121" t="s">
        <v>323</v>
      </c>
      <c r="K166" s="52">
        <v>42</v>
      </c>
    </row>
    <row r="167" spans="1:11" ht="15" customHeight="1">
      <c r="A167" s="46" t="s">
        <v>145</v>
      </c>
      <c r="B167" s="105">
        <v>3</v>
      </c>
      <c r="C167" s="155" t="s">
        <v>290</v>
      </c>
      <c r="D167" s="155" t="s">
        <v>290</v>
      </c>
      <c r="E167" s="155" t="s">
        <v>290</v>
      </c>
      <c r="F167" s="156" t="s">
        <v>290</v>
      </c>
      <c r="G167" s="156" t="s">
        <v>290</v>
      </c>
      <c r="H167" s="157"/>
      <c r="I167" s="158"/>
      <c r="J167" s="121" t="s">
        <v>323</v>
      </c>
      <c r="K167" s="52">
        <v>42</v>
      </c>
    </row>
    <row r="168" spans="1:11" ht="15" customHeight="1">
      <c r="A168" s="46" t="s">
        <v>324</v>
      </c>
      <c r="B168" s="105">
        <v>3</v>
      </c>
      <c r="C168" s="155" t="s">
        <v>290</v>
      </c>
      <c r="D168" s="155" t="s">
        <v>290</v>
      </c>
      <c r="E168" s="155" t="s">
        <v>290</v>
      </c>
      <c r="F168" s="156" t="s">
        <v>290</v>
      </c>
      <c r="G168" s="156" t="s">
        <v>290</v>
      </c>
      <c r="H168" s="157"/>
      <c r="I168" s="158"/>
      <c r="J168" s="121" t="s">
        <v>323</v>
      </c>
      <c r="K168" s="52">
        <v>42</v>
      </c>
    </row>
  </sheetData>
  <autoFilter ref="A1:K168" xr:uid="{97AEE878-C573-4D49-8777-CBB577ADBB29}">
    <filterColumn colId="10">
      <filters>
        <filter val="42"/>
      </filters>
    </filterColumn>
  </autoFilter>
  <conditionalFormatting sqref="G32">
    <cfRule type="cellIs" dxfId="44" priority="7" operator="equal">
      <formula>"Off"</formula>
    </cfRule>
    <cfRule type="cellIs" dxfId="43" priority="8" operator="equal">
      <formula>"Emergency"</formula>
    </cfRule>
    <cfRule type="cellIs" dxfId="42" priority="9" operator="equal">
      <formula>"NCNS"</formula>
    </cfRule>
    <cfRule type="cellIs" dxfId="41" priority="10" operator="equal">
      <formula>"Sick"</formula>
    </cfRule>
    <cfRule type="cellIs" dxfId="40" priority="11" operator="equal">
      <formula>"Annual"</formula>
    </cfRule>
    <cfRule type="cellIs" dxfId="39" priority="12" operator="equal">
      <formula>"Attended"</formula>
    </cfRule>
  </conditionalFormatting>
  <hyperlinks>
    <hyperlink ref="A16" r:id="rId1" display="alaa.madkour@capgemini.com" xr:uid="{75EE84D6-4305-4060-858A-41F027CCF3EE}"/>
    <hyperlink ref="A14" r:id="rId2" display="mohamed.abdelgawad@capgemini.com" xr:uid="{3EEDB31A-E890-4ADA-A25C-52F228DB2B10}"/>
    <hyperlink ref="A45" r:id="rId3" display="alaa.madkour@capgemini.com" xr:uid="{19FB2F83-FC1C-4D68-B38C-70B696D27342}"/>
    <hyperlink ref="A43" r:id="rId4" display="mohamed.abdelgawad@capgemini.com" xr:uid="{C41E1E02-DA75-47F0-8289-F45BE789416F}"/>
    <hyperlink ref="A60" r:id="rId5" display="alaa.madkour@capgemini.com" xr:uid="{A03C0E8B-4428-4B1F-A5CE-2739D9436ADA}"/>
    <hyperlink ref="A58" r:id="rId6" display="mohamed.abdelgawad@capgemini.com" xr:uid="{21CAB2C1-4840-4EF3-BF4A-80ACD7792504}"/>
    <hyperlink ref="A94" r:id="rId7" display="alaa.madkour@capgemini.com" xr:uid="{7DC8A799-1FEF-4D90-9A01-5E926594B4FE}"/>
    <hyperlink ref="A92" r:id="rId8" display="mohamed.abdelgawad@capgemini.com" xr:uid="{43DA8F32-D64A-4C60-A055-33C92D62DCEE}"/>
    <hyperlink ref="A133" r:id="rId9" display="alaa.madkour@capgemini.com" xr:uid="{26555060-21E3-4FE5-81DC-DD1784B1CA45}"/>
    <hyperlink ref="A131" r:id="rId10" display="mohamed.abdelgawad@capgemini.com" xr:uid="{EEF2AC6D-EF7A-43FC-8B00-FAC510AB477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83924-B0ED-4394-9CB6-41A8EAA4F387}">
  <dimension ref="A1:F25"/>
  <sheetViews>
    <sheetView topLeftCell="A7" zoomScale="145" zoomScaleNormal="145" workbookViewId="0">
      <selection activeCell="A22" sqref="A22"/>
    </sheetView>
  </sheetViews>
  <sheetFormatPr defaultRowHeight="14.45"/>
  <cols>
    <col min="1" max="1" width="9.85546875" bestFit="1" customWidth="1"/>
    <col min="2" max="2" width="13.42578125" bestFit="1" customWidth="1"/>
    <col min="3" max="3" width="5.7109375" bestFit="1" customWidth="1"/>
    <col min="4" max="4" width="23.5703125" bestFit="1" customWidth="1"/>
    <col min="5" max="5" width="9" customWidth="1"/>
    <col min="6" max="6" width="28.7109375" customWidth="1"/>
    <col min="8" max="8" width="20.85546875" bestFit="1" customWidth="1"/>
    <col min="9" max="9" width="11.85546875" bestFit="1" customWidth="1"/>
    <col min="10" max="10" width="11.5703125" bestFit="1" customWidth="1"/>
    <col min="11" max="11" width="36.5703125" bestFit="1" customWidth="1"/>
    <col min="12" max="12" width="18.7109375" bestFit="1" customWidth="1"/>
  </cols>
  <sheetData>
    <row r="1" spans="1:6">
      <c r="A1" s="27" t="s">
        <v>325</v>
      </c>
      <c r="B1" s="28" t="s">
        <v>326</v>
      </c>
      <c r="C1" s="28" t="s">
        <v>327</v>
      </c>
      <c r="D1" s="28" t="s">
        <v>328</v>
      </c>
      <c r="E1" s="29" t="s">
        <v>329</v>
      </c>
      <c r="F1" s="28" t="s">
        <v>330</v>
      </c>
    </row>
    <row r="2" spans="1:6">
      <c r="A2" s="23">
        <v>46286</v>
      </c>
      <c r="B2" s="22" t="s">
        <v>331</v>
      </c>
      <c r="C2" s="22" t="s">
        <v>332</v>
      </c>
      <c r="D2" s="22" t="s">
        <v>333</v>
      </c>
      <c r="E2" s="7">
        <v>30</v>
      </c>
      <c r="F2" s="126"/>
    </row>
    <row r="3" spans="1:6">
      <c r="A3" s="23"/>
      <c r="B3" s="22" t="s">
        <v>334</v>
      </c>
      <c r="C3" s="22" t="s">
        <v>332</v>
      </c>
      <c r="D3" s="22" t="s">
        <v>335</v>
      </c>
      <c r="E3" s="7">
        <v>6</v>
      </c>
      <c r="F3" s="22"/>
    </row>
    <row r="4" spans="1:6">
      <c r="A4" s="24">
        <v>46287</v>
      </c>
      <c r="B4" s="22" t="s">
        <v>336</v>
      </c>
      <c r="C4" s="22" t="s">
        <v>337</v>
      </c>
      <c r="D4" s="22" t="s">
        <v>338</v>
      </c>
      <c r="E4" s="7">
        <v>8</v>
      </c>
      <c r="F4" s="22"/>
    </row>
    <row r="5" spans="1:6">
      <c r="A5" s="25">
        <v>46288</v>
      </c>
      <c r="B5" s="22" t="s">
        <v>331</v>
      </c>
      <c r="C5" s="3" t="s">
        <v>339</v>
      </c>
      <c r="D5" s="22" t="s">
        <v>340</v>
      </c>
      <c r="E5" s="7">
        <v>30</v>
      </c>
      <c r="F5" s="22"/>
    </row>
    <row r="6" spans="1:6">
      <c r="A6" s="26"/>
      <c r="B6" s="22" t="s">
        <v>336</v>
      </c>
      <c r="C6" s="22" t="s">
        <v>337</v>
      </c>
      <c r="D6" s="22" t="s">
        <v>341</v>
      </c>
      <c r="E6" s="7">
        <v>8</v>
      </c>
      <c r="F6" s="22"/>
    </row>
    <row r="7" spans="1:6">
      <c r="A7" s="25">
        <v>46289</v>
      </c>
      <c r="B7" s="22" t="s">
        <v>336</v>
      </c>
      <c r="C7" s="22" t="s">
        <v>337</v>
      </c>
      <c r="D7" s="22" t="s">
        <v>342</v>
      </c>
      <c r="E7" s="7">
        <v>8</v>
      </c>
      <c r="F7" s="22"/>
    </row>
    <row r="8" spans="1:6">
      <c r="A8" s="26"/>
      <c r="B8" s="30" t="s">
        <v>331</v>
      </c>
      <c r="C8" s="13" t="s">
        <v>339</v>
      </c>
      <c r="D8" s="30" t="s">
        <v>343</v>
      </c>
      <c r="E8" s="8">
        <v>30</v>
      </c>
      <c r="F8" s="22"/>
    </row>
    <row r="9" spans="1:6">
      <c r="A9" s="34">
        <v>46290</v>
      </c>
      <c r="B9" s="22" t="s">
        <v>331</v>
      </c>
      <c r="C9" s="3" t="s">
        <v>339</v>
      </c>
      <c r="D9" s="22" t="s">
        <v>338</v>
      </c>
      <c r="E9" s="3">
        <v>30</v>
      </c>
      <c r="F9" s="22"/>
    </row>
    <row r="10" spans="1:6">
      <c r="A10" s="22" t="s">
        <v>344</v>
      </c>
      <c r="B10" s="22" t="s">
        <v>331</v>
      </c>
      <c r="C10" s="22" t="s">
        <v>337</v>
      </c>
      <c r="D10" s="22" t="s">
        <v>338</v>
      </c>
      <c r="E10" s="3">
        <v>30</v>
      </c>
      <c r="F10" s="22"/>
    </row>
    <row r="11" spans="1:6">
      <c r="A11" s="56">
        <v>46295</v>
      </c>
      <c r="B11" s="22" t="s">
        <v>331</v>
      </c>
      <c r="C11" s="22" t="s">
        <v>332</v>
      </c>
      <c r="D11" s="22" t="s">
        <v>338</v>
      </c>
      <c r="E11" s="3">
        <v>30</v>
      </c>
      <c r="F11" s="22"/>
    </row>
    <row r="12" spans="1:6">
      <c r="A12" s="22" t="s">
        <v>345</v>
      </c>
      <c r="B12" s="22" t="s">
        <v>331</v>
      </c>
      <c r="C12" s="22" t="s">
        <v>337</v>
      </c>
      <c r="D12" s="22" t="s">
        <v>338</v>
      </c>
      <c r="E12" s="3">
        <v>30</v>
      </c>
      <c r="F12" s="22"/>
    </row>
    <row r="13" spans="1:6">
      <c r="A13" s="57">
        <v>46300</v>
      </c>
      <c r="B13" s="22" t="s">
        <v>331</v>
      </c>
      <c r="C13" s="22" t="s">
        <v>337</v>
      </c>
      <c r="D13" s="22" t="s">
        <v>338</v>
      </c>
      <c r="E13" s="3">
        <v>30</v>
      </c>
      <c r="F13" s="22"/>
    </row>
    <row r="14" spans="1:6">
      <c r="A14" s="57"/>
      <c r="B14" s="22" t="s">
        <v>331</v>
      </c>
      <c r="C14" s="22" t="s">
        <v>339</v>
      </c>
      <c r="D14" s="22" t="s">
        <v>346</v>
      </c>
      <c r="E14" s="7">
        <v>30</v>
      </c>
      <c r="F14" s="22"/>
    </row>
    <row r="15" spans="1:6">
      <c r="A15" s="57">
        <v>46301</v>
      </c>
      <c r="B15" s="22" t="s">
        <v>331</v>
      </c>
      <c r="C15" s="22" t="s">
        <v>337</v>
      </c>
      <c r="D15" s="22" t="s">
        <v>338</v>
      </c>
      <c r="E15" s="3">
        <v>30</v>
      </c>
      <c r="F15" s="22"/>
    </row>
    <row r="16" spans="1:6">
      <c r="A16" s="57">
        <v>46302</v>
      </c>
      <c r="B16" s="22" t="s">
        <v>331</v>
      </c>
      <c r="C16" s="22" t="s">
        <v>337</v>
      </c>
      <c r="D16" s="22" t="s">
        <v>333</v>
      </c>
      <c r="E16" s="3">
        <v>30</v>
      </c>
      <c r="F16" s="22"/>
    </row>
    <row r="17" spans="1:6">
      <c r="A17" s="57"/>
      <c r="B17" s="22" t="s">
        <v>331</v>
      </c>
      <c r="C17" s="22" t="s">
        <v>332</v>
      </c>
      <c r="D17" s="22" t="s">
        <v>335</v>
      </c>
      <c r="E17" s="3">
        <v>30</v>
      </c>
      <c r="F17" s="22"/>
    </row>
    <row r="18" spans="1:6">
      <c r="A18" s="57">
        <v>46303</v>
      </c>
      <c r="B18" s="22" t="s">
        <v>331</v>
      </c>
      <c r="C18" s="22" t="s">
        <v>337</v>
      </c>
      <c r="D18" s="22" t="s">
        <v>338</v>
      </c>
      <c r="E18" s="3">
        <v>30</v>
      </c>
      <c r="F18" s="22"/>
    </row>
    <row r="19" spans="1:6">
      <c r="A19" s="34">
        <v>46304</v>
      </c>
      <c r="B19" s="22" t="s">
        <v>331</v>
      </c>
      <c r="C19" s="22" t="s">
        <v>337</v>
      </c>
      <c r="D19" s="22" t="s">
        <v>338</v>
      </c>
      <c r="E19" s="3">
        <v>30</v>
      </c>
      <c r="F19" s="22"/>
    </row>
    <row r="20" spans="1:6">
      <c r="A20" s="125">
        <v>46307</v>
      </c>
      <c r="B20" s="22" t="s">
        <v>331</v>
      </c>
      <c r="C20" s="22" t="s">
        <v>337</v>
      </c>
      <c r="D20" s="22" t="s">
        <v>338</v>
      </c>
      <c r="E20" s="3">
        <v>30</v>
      </c>
      <c r="F20" s="22"/>
    </row>
    <row r="21" spans="1:6">
      <c r="A21" s="125">
        <v>46308</v>
      </c>
      <c r="B21" s="22" t="s">
        <v>331</v>
      </c>
      <c r="C21" s="22" t="s">
        <v>337</v>
      </c>
      <c r="D21" s="22" t="s">
        <v>338</v>
      </c>
      <c r="E21" s="3">
        <v>30</v>
      </c>
      <c r="F21" s="22"/>
    </row>
    <row r="22" spans="1:6">
      <c r="A22" s="125">
        <v>46309</v>
      </c>
      <c r="B22" s="22" t="s">
        <v>331</v>
      </c>
      <c r="C22" s="3" t="s">
        <v>339</v>
      </c>
      <c r="D22" s="22" t="s">
        <v>338</v>
      </c>
      <c r="E22" s="3">
        <v>30</v>
      </c>
      <c r="F22" s="22" t="s">
        <v>347</v>
      </c>
    </row>
    <row r="23" spans="1:6">
      <c r="A23" s="125">
        <v>46310</v>
      </c>
      <c r="B23" s="22" t="s">
        <v>331</v>
      </c>
      <c r="C23" s="3" t="s">
        <v>339</v>
      </c>
      <c r="D23" s="22" t="s">
        <v>338</v>
      </c>
      <c r="E23" s="3">
        <v>30</v>
      </c>
      <c r="F23" s="22"/>
    </row>
    <row r="24" spans="1:6">
      <c r="A24" s="125">
        <v>46311</v>
      </c>
      <c r="B24" s="22" t="s">
        <v>331</v>
      </c>
      <c r="C24" s="22" t="s">
        <v>337</v>
      </c>
      <c r="D24" s="22" t="s">
        <v>338</v>
      </c>
      <c r="E24" s="3">
        <v>30</v>
      </c>
      <c r="F24" s="30"/>
    </row>
    <row r="25" spans="1:6">
      <c r="A25" s="125">
        <v>46314</v>
      </c>
      <c r="B25" s="22" t="s">
        <v>331</v>
      </c>
      <c r="C25" s="22" t="s">
        <v>337</v>
      </c>
      <c r="D25" s="22" t="s">
        <v>338</v>
      </c>
      <c r="E25" s="3">
        <v>30</v>
      </c>
      <c r="F25" s="30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E5A57-A350-4E72-9D1A-8B4B51EEDCEA}">
  <dimension ref="A1:H67"/>
  <sheetViews>
    <sheetView topLeftCell="A59" workbookViewId="0">
      <selection activeCell="A65" sqref="A65:A67"/>
    </sheetView>
  </sheetViews>
  <sheetFormatPr defaultRowHeight="14.45"/>
  <cols>
    <col min="1" max="1" width="20.85546875" bestFit="1" customWidth="1"/>
    <col min="2" max="2" width="11.85546875" bestFit="1" customWidth="1"/>
    <col min="3" max="3" width="12" bestFit="1" customWidth="1"/>
    <col min="4" max="4" width="45" bestFit="1" customWidth="1"/>
    <col min="5" max="5" width="11.28515625" customWidth="1"/>
    <col min="6" max="6" width="27.5703125" bestFit="1" customWidth="1"/>
    <col min="7" max="7" width="15.42578125" bestFit="1" customWidth="1"/>
    <col min="8" max="8" width="16.85546875" bestFit="1" customWidth="1"/>
  </cols>
  <sheetData>
    <row r="1" spans="1:8">
      <c r="A1" s="85" t="s">
        <v>1</v>
      </c>
      <c r="B1" s="85" t="s">
        <v>2</v>
      </c>
      <c r="C1" s="85" t="s">
        <v>3</v>
      </c>
      <c r="D1" s="85" t="s">
        <v>4</v>
      </c>
      <c r="E1" s="85" t="s">
        <v>5</v>
      </c>
      <c r="F1" s="85" t="s">
        <v>6</v>
      </c>
      <c r="G1" s="85" t="s">
        <v>348</v>
      </c>
      <c r="H1" s="85" t="s">
        <v>349</v>
      </c>
    </row>
    <row r="2" spans="1:8">
      <c r="A2" s="22" t="s">
        <v>8</v>
      </c>
      <c r="B2" s="22" t="s">
        <v>196</v>
      </c>
      <c r="C2" s="22" t="s">
        <v>196</v>
      </c>
      <c r="D2" s="43" t="s">
        <v>9</v>
      </c>
      <c r="E2" s="86">
        <v>46235</v>
      </c>
      <c r="F2" s="22" t="s">
        <v>10</v>
      </c>
      <c r="G2" s="22" t="s">
        <v>173</v>
      </c>
      <c r="H2" s="22" t="s">
        <v>350</v>
      </c>
    </row>
    <row r="3" spans="1:8">
      <c r="A3" s="22" t="s">
        <v>15</v>
      </c>
      <c r="B3" s="22" t="s">
        <v>210</v>
      </c>
      <c r="C3" s="22" t="s">
        <v>211</v>
      </c>
      <c r="D3" s="43" t="s">
        <v>16</v>
      </c>
      <c r="E3" s="86">
        <v>46251</v>
      </c>
      <c r="F3" s="22" t="s">
        <v>10</v>
      </c>
      <c r="G3" s="22" t="s">
        <v>173</v>
      </c>
      <c r="H3" s="22" t="s">
        <v>350</v>
      </c>
    </row>
    <row r="4" spans="1:8">
      <c r="A4" s="22" t="s">
        <v>18</v>
      </c>
      <c r="B4" s="22" t="s">
        <v>234</v>
      </c>
      <c r="C4" s="22" t="s">
        <v>235</v>
      </c>
      <c r="D4" s="43" t="s">
        <v>19</v>
      </c>
      <c r="E4" s="86">
        <v>46235</v>
      </c>
      <c r="F4" s="22" t="s">
        <v>10</v>
      </c>
      <c r="G4" s="22" t="s">
        <v>173</v>
      </c>
      <c r="H4" s="22" t="s">
        <v>350</v>
      </c>
    </row>
    <row r="5" spans="1:8">
      <c r="A5" s="22" t="s">
        <v>20</v>
      </c>
      <c r="B5" s="22" t="s">
        <v>215</v>
      </c>
      <c r="C5" s="22" t="s">
        <v>216</v>
      </c>
      <c r="D5" s="43" t="s">
        <v>21</v>
      </c>
      <c r="E5" s="86">
        <v>46272</v>
      </c>
      <c r="F5" s="22" t="s">
        <v>22</v>
      </c>
      <c r="G5" s="22" t="s">
        <v>173</v>
      </c>
      <c r="H5" s="22" t="s">
        <v>350</v>
      </c>
    </row>
    <row r="6" spans="1:8">
      <c r="A6" s="22" t="s">
        <v>118</v>
      </c>
      <c r="B6" s="105" t="s">
        <v>48</v>
      </c>
      <c r="C6" s="22" t="s">
        <v>229</v>
      </c>
      <c r="D6" s="43" t="s">
        <v>24</v>
      </c>
      <c r="E6" s="86">
        <v>46267</v>
      </c>
      <c r="F6" s="22" t="s">
        <v>22</v>
      </c>
      <c r="G6" s="22" t="s">
        <v>173</v>
      </c>
      <c r="H6" s="22" t="s">
        <v>350</v>
      </c>
    </row>
    <row r="7" spans="1:8">
      <c r="A7" s="22" t="s">
        <v>26</v>
      </c>
      <c r="B7" s="22" t="s">
        <v>351</v>
      </c>
      <c r="C7" s="22" t="s">
        <v>224</v>
      </c>
      <c r="D7" s="43" t="s">
        <v>27</v>
      </c>
      <c r="E7" s="87">
        <v>46279</v>
      </c>
      <c r="F7" s="22" t="s">
        <v>22</v>
      </c>
      <c r="G7" s="22" t="s">
        <v>173</v>
      </c>
      <c r="H7" s="22" t="s">
        <v>350</v>
      </c>
    </row>
    <row r="8" spans="1:8">
      <c r="A8" s="22" t="s">
        <v>29</v>
      </c>
      <c r="B8" s="22" t="s">
        <v>275</v>
      </c>
      <c r="C8" s="22" t="s">
        <v>276</v>
      </c>
      <c r="D8" s="43" t="s">
        <v>30</v>
      </c>
      <c r="E8" s="87">
        <v>46279</v>
      </c>
      <c r="F8" s="22" t="s">
        <v>22</v>
      </c>
      <c r="G8" s="22" t="s">
        <v>173</v>
      </c>
      <c r="H8" s="22" t="s">
        <v>350</v>
      </c>
    </row>
    <row r="9" spans="1:8">
      <c r="A9" s="22" t="s">
        <v>32</v>
      </c>
      <c r="B9" s="22" t="s">
        <v>266</v>
      </c>
      <c r="C9" s="22" t="s">
        <v>267</v>
      </c>
      <c r="D9" s="43" t="s">
        <v>33</v>
      </c>
      <c r="E9" s="87">
        <v>46279</v>
      </c>
      <c r="F9" s="22" t="s">
        <v>22</v>
      </c>
      <c r="G9" s="22" t="s">
        <v>173</v>
      </c>
      <c r="H9" s="22" t="s">
        <v>350</v>
      </c>
    </row>
    <row r="10" spans="1:8">
      <c r="A10" s="22" t="s">
        <v>35</v>
      </c>
      <c r="B10" s="22" t="s">
        <v>204</v>
      </c>
      <c r="C10" s="22" t="s">
        <v>205</v>
      </c>
      <c r="D10" s="43" t="s">
        <v>36</v>
      </c>
      <c r="E10" s="87">
        <v>46279</v>
      </c>
      <c r="F10" s="22" t="s">
        <v>22</v>
      </c>
      <c r="G10" s="22" t="s">
        <v>173</v>
      </c>
      <c r="H10" s="22" t="s">
        <v>350</v>
      </c>
    </row>
    <row r="11" spans="1:8">
      <c r="A11" s="22" t="s">
        <v>352</v>
      </c>
      <c r="B11" s="22" t="s">
        <v>48</v>
      </c>
      <c r="C11" s="22" t="s">
        <v>238</v>
      </c>
      <c r="D11" s="83" t="s">
        <v>353</v>
      </c>
      <c r="E11" s="87">
        <v>46280</v>
      </c>
      <c r="F11" s="22" t="s">
        <v>22</v>
      </c>
      <c r="G11" s="22" t="s">
        <v>173</v>
      </c>
      <c r="H11" s="22" t="s">
        <v>350</v>
      </c>
    </row>
    <row r="12" spans="1:8">
      <c r="A12" s="22" t="s">
        <v>354</v>
      </c>
      <c r="B12" s="22" t="s">
        <v>43</v>
      </c>
      <c r="C12" s="22" t="s">
        <v>44</v>
      </c>
      <c r="D12" s="83" t="s">
        <v>355</v>
      </c>
      <c r="E12" s="87">
        <v>46281</v>
      </c>
      <c r="F12" s="22" t="s">
        <v>22</v>
      </c>
      <c r="G12" s="22" t="s">
        <v>173</v>
      </c>
      <c r="H12" s="22" t="s">
        <v>350</v>
      </c>
    </row>
    <row r="13" spans="1:8">
      <c r="A13" s="22" t="s">
        <v>47</v>
      </c>
      <c r="B13" s="22" t="s">
        <v>48</v>
      </c>
      <c r="C13" s="22" t="s">
        <v>49</v>
      </c>
      <c r="D13" s="43" t="s">
        <v>50</v>
      </c>
      <c r="E13" s="87">
        <v>46280</v>
      </c>
      <c r="F13" s="22" t="s">
        <v>22</v>
      </c>
      <c r="G13" s="22" t="s">
        <v>173</v>
      </c>
      <c r="H13" s="22" t="s">
        <v>350</v>
      </c>
    </row>
    <row r="14" spans="1:8">
      <c r="A14" s="22" t="s">
        <v>356</v>
      </c>
      <c r="B14" s="22" t="s">
        <v>357</v>
      </c>
      <c r="C14" s="22" t="s">
        <v>54</v>
      </c>
      <c r="D14" s="83" t="s">
        <v>55</v>
      </c>
      <c r="E14" s="87">
        <v>46281</v>
      </c>
      <c r="F14" s="22" t="s">
        <v>22</v>
      </c>
      <c r="G14" s="22" t="s">
        <v>173</v>
      </c>
      <c r="H14" s="22" t="s">
        <v>350</v>
      </c>
    </row>
    <row r="15" spans="1:8">
      <c r="A15" s="22" t="s">
        <v>56</v>
      </c>
      <c r="B15" s="22" t="s">
        <v>57</v>
      </c>
      <c r="C15" s="22" t="s">
        <v>58</v>
      </c>
      <c r="D15" s="43" t="s">
        <v>59</v>
      </c>
      <c r="E15" s="87">
        <v>46279</v>
      </c>
      <c r="F15" s="22" t="s">
        <v>60</v>
      </c>
      <c r="G15" s="22" t="s">
        <v>173</v>
      </c>
      <c r="H15" s="22" t="s">
        <v>350</v>
      </c>
    </row>
    <row r="16" spans="1:8">
      <c r="A16" s="22" t="s">
        <v>61</v>
      </c>
      <c r="B16" s="22" t="s">
        <v>110</v>
      </c>
      <c r="C16" s="22" t="s">
        <v>62</v>
      </c>
      <c r="D16" s="43" t="s">
        <v>63</v>
      </c>
      <c r="E16" s="87">
        <v>46286</v>
      </c>
      <c r="F16" s="22" t="s">
        <v>22</v>
      </c>
      <c r="G16" s="22" t="s">
        <v>173</v>
      </c>
      <c r="H16" s="22" t="s">
        <v>350</v>
      </c>
    </row>
    <row r="17" spans="1:8">
      <c r="A17" s="22" t="s">
        <v>64</v>
      </c>
      <c r="B17" s="22" t="s">
        <v>48</v>
      </c>
      <c r="C17" s="22" t="s">
        <v>240</v>
      </c>
      <c r="D17" s="43" t="s">
        <v>65</v>
      </c>
      <c r="E17" s="87">
        <v>46286</v>
      </c>
      <c r="F17" s="22" t="s">
        <v>66</v>
      </c>
      <c r="G17" s="22" t="s">
        <v>173</v>
      </c>
      <c r="H17" s="22" t="s">
        <v>350</v>
      </c>
    </row>
    <row r="18" spans="1:8">
      <c r="A18" s="22" t="s">
        <v>358</v>
      </c>
      <c r="B18" s="22" t="s">
        <v>359</v>
      </c>
      <c r="C18" s="22" t="s">
        <v>227</v>
      </c>
      <c r="D18" s="43" t="s">
        <v>68</v>
      </c>
      <c r="E18" s="87">
        <v>46286</v>
      </c>
      <c r="F18" s="22" t="s">
        <v>69</v>
      </c>
      <c r="G18" s="22" t="s">
        <v>173</v>
      </c>
      <c r="H18" s="22" t="s">
        <v>350</v>
      </c>
    </row>
    <row r="19" spans="1:8">
      <c r="A19" s="22" t="s">
        <v>70</v>
      </c>
      <c r="B19" s="22" t="s">
        <v>198</v>
      </c>
      <c r="C19" s="22" t="s">
        <v>360</v>
      </c>
      <c r="D19" s="43" t="s">
        <v>71</v>
      </c>
      <c r="E19" s="87">
        <v>46286</v>
      </c>
      <c r="F19" s="22" t="s">
        <v>60</v>
      </c>
      <c r="G19" s="22" t="s">
        <v>173</v>
      </c>
      <c r="H19" s="22" t="s">
        <v>350</v>
      </c>
    </row>
    <row r="20" spans="1:8">
      <c r="A20" s="22" t="s">
        <v>72</v>
      </c>
      <c r="B20" s="22" t="s">
        <v>43</v>
      </c>
      <c r="C20" s="22" t="s">
        <v>73</v>
      </c>
      <c r="D20" s="43" t="s">
        <v>74</v>
      </c>
      <c r="E20" s="87">
        <v>46287</v>
      </c>
      <c r="F20" s="22" t="s">
        <v>22</v>
      </c>
      <c r="G20" s="22" t="s">
        <v>173</v>
      </c>
      <c r="H20" s="22" t="s">
        <v>350</v>
      </c>
    </row>
    <row r="21" spans="1:8">
      <c r="A21" s="22" t="s">
        <v>75</v>
      </c>
      <c r="B21" s="22" t="s">
        <v>48</v>
      </c>
      <c r="C21" s="22" t="s">
        <v>169</v>
      </c>
      <c r="D21" s="88" t="s">
        <v>76</v>
      </c>
      <c r="E21" s="87">
        <v>46286</v>
      </c>
      <c r="F21" s="22" t="s">
        <v>22</v>
      </c>
      <c r="G21" s="22" t="s">
        <v>173</v>
      </c>
      <c r="H21" s="22" t="s">
        <v>350</v>
      </c>
    </row>
    <row r="22" spans="1:8">
      <c r="A22" s="22" t="s">
        <v>78</v>
      </c>
      <c r="B22" s="22" t="s">
        <v>201</v>
      </c>
      <c r="C22" s="22" t="s">
        <v>202</v>
      </c>
      <c r="D22" s="43" t="s">
        <v>79</v>
      </c>
      <c r="E22" s="87">
        <v>46286</v>
      </c>
      <c r="F22" s="22" t="s">
        <v>22</v>
      </c>
      <c r="G22" s="22" t="s">
        <v>173</v>
      </c>
      <c r="H22" s="22" t="s">
        <v>350</v>
      </c>
    </row>
    <row r="23" spans="1:8">
      <c r="A23" s="22" t="s">
        <v>361</v>
      </c>
      <c r="B23" s="22" t="s">
        <v>43</v>
      </c>
      <c r="C23" s="22" t="s">
        <v>362</v>
      </c>
      <c r="D23" s="43" t="s">
        <v>81</v>
      </c>
      <c r="E23" s="87">
        <v>46286</v>
      </c>
      <c r="F23" s="22" t="s">
        <v>22</v>
      </c>
      <c r="G23" s="22" t="s">
        <v>173</v>
      </c>
      <c r="H23" s="22" t="s">
        <v>350</v>
      </c>
    </row>
    <row r="24" spans="1:8">
      <c r="A24" s="22" t="s">
        <v>82</v>
      </c>
      <c r="B24" s="22" t="s">
        <v>43</v>
      </c>
      <c r="C24" s="22" t="s">
        <v>49</v>
      </c>
      <c r="D24" s="43" t="s">
        <v>83</v>
      </c>
      <c r="E24" s="87">
        <v>46286</v>
      </c>
      <c r="F24" s="22" t="s">
        <v>22</v>
      </c>
      <c r="G24" s="22" t="s">
        <v>173</v>
      </c>
      <c r="H24" s="22" t="s">
        <v>350</v>
      </c>
    </row>
    <row r="25" spans="1:8">
      <c r="A25" s="22" t="s">
        <v>84</v>
      </c>
      <c r="B25" s="22" t="s">
        <v>351</v>
      </c>
      <c r="C25" s="22" t="s">
        <v>48</v>
      </c>
      <c r="D25" s="43" t="s">
        <v>85</v>
      </c>
      <c r="E25" s="87">
        <v>46286</v>
      </c>
      <c r="F25" s="22" t="s">
        <v>22</v>
      </c>
      <c r="G25" s="22" t="s">
        <v>173</v>
      </c>
      <c r="H25" s="22" t="s">
        <v>350</v>
      </c>
    </row>
    <row r="26" spans="1:8">
      <c r="A26" s="22" t="s">
        <v>363</v>
      </c>
      <c r="B26" s="22" t="s">
        <v>48</v>
      </c>
      <c r="C26" s="22" t="s">
        <v>364</v>
      </c>
      <c r="D26" s="43" t="s">
        <v>87</v>
      </c>
      <c r="E26" s="87">
        <v>46286</v>
      </c>
      <c r="F26" s="22" t="s">
        <v>22</v>
      </c>
      <c r="G26" s="22" t="s">
        <v>173</v>
      </c>
      <c r="H26" s="22" t="s">
        <v>350</v>
      </c>
    </row>
    <row r="27" spans="1:8">
      <c r="A27" s="22" t="s">
        <v>88</v>
      </c>
      <c r="B27" s="22" t="s">
        <v>231</v>
      </c>
      <c r="C27" s="22" t="s">
        <v>365</v>
      </c>
      <c r="D27" s="43" t="s">
        <v>89</v>
      </c>
      <c r="E27" s="87">
        <v>46286</v>
      </c>
      <c r="F27" s="22" t="s">
        <v>22</v>
      </c>
      <c r="G27" s="22" t="s">
        <v>173</v>
      </c>
      <c r="H27" s="22" t="s">
        <v>350</v>
      </c>
    </row>
    <row r="28" spans="1:8">
      <c r="A28" s="22" t="s">
        <v>90</v>
      </c>
      <c r="B28" s="22" t="s">
        <v>366</v>
      </c>
      <c r="C28" s="22" t="s">
        <v>43</v>
      </c>
      <c r="D28" s="43" t="s">
        <v>91</v>
      </c>
      <c r="E28" s="87">
        <v>46286</v>
      </c>
      <c r="F28" s="22" t="s">
        <v>22</v>
      </c>
      <c r="G28" s="22" t="s">
        <v>173</v>
      </c>
      <c r="H28" s="22" t="s">
        <v>350</v>
      </c>
    </row>
    <row r="29" spans="1:8">
      <c r="A29" s="22" t="s">
        <v>92</v>
      </c>
      <c r="B29" s="22" t="s">
        <v>255</v>
      </c>
      <c r="C29" s="22" t="s">
        <v>256</v>
      </c>
      <c r="D29" s="45" t="s">
        <v>93</v>
      </c>
      <c r="E29" s="87">
        <v>46288</v>
      </c>
      <c r="F29" s="22" t="s">
        <v>22</v>
      </c>
      <c r="G29" s="22" t="s">
        <v>173</v>
      </c>
      <c r="H29" s="22" t="s">
        <v>331</v>
      </c>
    </row>
    <row r="30" spans="1:8">
      <c r="A30" s="3" t="s">
        <v>94</v>
      </c>
      <c r="B30" s="3" t="str">
        <f t="shared" ref="B30:B36" si="0">PROPER(_xlfn.TEXTBEFORE(TRIM(A30), " ", 1))</f>
        <v>Sarah</v>
      </c>
      <c r="C30" s="3" t="str">
        <f t="shared" ref="C30:C36" si="1">_xlfn.TEXTAFTER(TRIM(A30), " ", -1)</f>
        <v>Mohamed</v>
      </c>
      <c r="D30" s="45" t="s">
        <v>95</v>
      </c>
      <c r="E30" s="16">
        <v>46293</v>
      </c>
      <c r="F30" s="3" t="s">
        <v>22</v>
      </c>
      <c r="G30" s="22" t="s">
        <v>173</v>
      </c>
      <c r="H30" s="22" t="s">
        <v>331</v>
      </c>
    </row>
    <row r="31" spans="1:8">
      <c r="A31" s="3" t="s">
        <v>96</v>
      </c>
      <c r="B31" s="3" t="str">
        <f t="shared" si="0"/>
        <v>Dalia</v>
      </c>
      <c r="C31" s="3" t="str">
        <f t="shared" si="1"/>
        <v>Elsabbagh</v>
      </c>
      <c r="D31" s="45" t="s">
        <v>97</v>
      </c>
      <c r="E31" s="16">
        <v>46293</v>
      </c>
      <c r="F31" s="3" t="s">
        <v>22</v>
      </c>
      <c r="G31" s="22" t="s">
        <v>173</v>
      </c>
      <c r="H31" s="22" t="s">
        <v>331</v>
      </c>
    </row>
    <row r="32" spans="1:8">
      <c r="A32" s="3" t="s">
        <v>98</v>
      </c>
      <c r="B32" s="3" t="str">
        <f t="shared" si="0"/>
        <v>Salma</v>
      </c>
      <c r="C32" s="3" t="str">
        <f t="shared" si="1"/>
        <v>Dawaly</v>
      </c>
      <c r="D32" s="45" t="s">
        <v>99</v>
      </c>
      <c r="E32" s="16">
        <v>46293</v>
      </c>
      <c r="F32" s="3" t="s">
        <v>22</v>
      </c>
      <c r="G32" s="22" t="s">
        <v>173</v>
      </c>
      <c r="H32" s="22" t="s">
        <v>331</v>
      </c>
    </row>
    <row r="33" spans="1:8">
      <c r="A33" s="3" t="s">
        <v>119</v>
      </c>
      <c r="B33" s="3" t="str">
        <f t="shared" si="0"/>
        <v>Ammar</v>
      </c>
      <c r="C33" s="3" t="str">
        <f t="shared" si="1"/>
        <v>Ali</v>
      </c>
      <c r="D33" s="139" t="s">
        <v>120</v>
      </c>
      <c r="E33" s="16">
        <v>46293</v>
      </c>
      <c r="F33" s="3" t="s">
        <v>22</v>
      </c>
      <c r="G33" s="22" t="s">
        <v>173</v>
      </c>
      <c r="H33" s="22" t="s">
        <v>331</v>
      </c>
    </row>
    <row r="34" spans="1:8">
      <c r="A34" s="3" t="s">
        <v>102</v>
      </c>
      <c r="B34" s="3" t="str">
        <f t="shared" si="0"/>
        <v>Amr</v>
      </c>
      <c r="C34" s="3" t="str">
        <f t="shared" si="1"/>
        <v>Kotb</v>
      </c>
      <c r="D34" s="45" t="s">
        <v>103</v>
      </c>
      <c r="E34" s="16">
        <v>46293</v>
      </c>
      <c r="F34" s="3" t="s">
        <v>22</v>
      </c>
      <c r="G34" s="22" t="s">
        <v>173</v>
      </c>
      <c r="H34" s="22" t="s">
        <v>331</v>
      </c>
    </row>
    <row r="35" spans="1:8">
      <c r="A35" s="3" t="s">
        <v>104</v>
      </c>
      <c r="B35" s="3" t="str">
        <f t="shared" si="0"/>
        <v>Khaled</v>
      </c>
      <c r="C35" s="3" t="str">
        <f t="shared" si="1"/>
        <v>Abdalgalil</v>
      </c>
      <c r="D35" s="45" t="s">
        <v>105</v>
      </c>
      <c r="E35" s="16">
        <v>46293</v>
      </c>
      <c r="F35" s="3" t="s">
        <v>22</v>
      </c>
      <c r="G35" s="22" t="s">
        <v>173</v>
      </c>
      <c r="H35" s="22" t="s">
        <v>331</v>
      </c>
    </row>
    <row r="36" spans="1:8">
      <c r="A36" s="3" t="s">
        <v>109</v>
      </c>
      <c r="B36" s="3" t="str">
        <f t="shared" si="0"/>
        <v>Hagar</v>
      </c>
      <c r="C36" s="3" t="str">
        <f t="shared" si="1"/>
        <v>Abdelhameed</v>
      </c>
      <c r="D36" s="45" t="s">
        <v>122</v>
      </c>
      <c r="E36" s="16">
        <v>46295</v>
      </c>
      <c r="F36" s="3" t="s">
        <v>22</v>
      </c>
      <c r="G36" s="22" t="s">
        <v>173</v>
      </c>
      <c r="H36" s="22" t="s">
        <v>331</v>
      </c>
    </row>
    <row r="37" spans="1:8">
      <c r="A37" s="3" t="s">
        <v>123</v>
      </c>
      <c r="B37" s="3" t="str">
        <f t="shared" ref="B37:B38" si="2">PROPER(_xlfn.TEXTBEFORE(TRIM(A37), " ", 1))</f>
        <v>Bassel</v>
      </c>
      <c r="C37" s="3" t="str">
        <f t="shared" ref="C37:C38" si="3">_xlfn.TEXTAFTER(TRIM(A37), " ", -1)</f>
        <v>Shalaby</v>
      </c>
      <c r="D37" s="128" t="s">
        <v>124</v>
      </c>
      <c r="E37" s="16">
        <v>46295</v>
      </c>
      <c r="F37" s="3" t="s">
        <v>22</v>
      </c>
      <c r="G37" s="22" t="s">
        <v>173</v>
      </c>
      <c r="H37" s="22" t="s">
        <v>331</v>
      </c>
    </row>
    <row r="38" spans="1:8">
      <c r="A38" s="3" t="s">
        <v>125</v>
      </c>
      <c r="B38" s="3" t="str">
        <f t="shared" si="2"/>
        <v>Hanin</v>
      </c>
      <c r="C38" s="3" t="str">
        <f t="shared" si="3"/>
        <v>Ahmed</v>
      </c>
      <c r="D38" s="128" t="s">
        <v>126</v>
      </c>
      <c r="E38" s="16">
        <v>46295</v>
      </c>
      <c r="F38" s="3" t="s">
        <v>22</v>
      </c>
      <c r="G38" s="22" t="s">
        <v>173</v>
      </c>
      <c r="H38" s="22" t="s">
        <v>331</v>
      </c>
    </row>
    <row r="39" spans="1:8">
      <c r="A39" s="143" t="s">
        <v>106</v>
      </c>
      <c r="B39" s="22" t="s">
        <v>245</v>
      </c>
      <c r="C39" s="22" t="s">
        <v>246</v>
      </c>
      <c r="D39" s="43" t="s">
        <v>107</v>
      </c>
      <c r="E39" s="87">
        <v>46296</v>
      </c>
      <c r="F39" s="22" t="s">
        <v>121</v>
      </c>
      <c r="G39" s="22" t="s">
        <v>173</v>
      </c>
      <c r="H39" s="22" t="s">
        <v>367</v>
      </c>
    </row>
    <row r="40" spans="1:8">
      <c r="A40" s="143" t="s">
        <v>127</v>
      </c>
      <c r="B40" s="3" t="str">
        <f t="shared" ref="B40:B49" si="4">PROPER(_xlfn.TEXTBEFORE(TRIM(A40), " ", 1))</f>
        <v>Mohamed</v>
      </c>
      <c r="C40" s="3" t="str">
        <f t="shared" ref="C40:C49" si="5">_xlfn.TEXTAFTER(TRIM(A40), " ", -1)</f>
        <v>Safwat</v>
      </c>
      <c r="D40" s="45" t="s">
        <v>128</v>
      </c>
      <c r="E40" s="16">
        <v>46301</v>
      </c>
      <c r="F40" s="7" t="s">
        <v>129</v>
      </c>
      <c r="G40" s="22" t="s">
        <v>173</v>
      </c>
      <c r="H40" s="22" t="s">
        <v>331</v>
      </c>
    </row>
    <row r="41" spans="1:8">
      <c r="A41" s="182" t="s">
        <v>368</v>
      </c>
      <c r="B41" s="3" t="str">
        <f t="shared" si="4"/>
        <v>Hesham</v>
      </c>
      <c r="C41" s="3" t="str">
        <f t="shared" si="5"/>
        <v>Mustafa</v>
      </c>
      <c r="D41" s="45" t="s">
        <v>131</v>
      </c>
      <c r="E41" s="16">
        <v>46301</v>
      </c>
      <c r="F41" s="144" t="s">
        <v>10</v>
      </c>
      <c r="G41" s="184" t="s">
        <v>173</v>
      </c>
      <c r="H41" s="22" t="s">
        <v>331</v>
      </c>
    </row>
    <row r="42" spans="1:8">
      <c r="A42" s="143" t="s">
        <v>132</v>
      </c>
      <c r="B42" s="3" t="str">
        <f t="shared" si="4"/>
        <v>Mohamed</v>
      </c>
      <c r="C42" s="3" t="str">
        <f t="shared" si="5"/>
        <v>Badr</v>
      </c>
      <c r="D42" s="45" t="s">
        <v>133</v>
      </c>
      <c r="E42" s="16">
        <v>46301</v>
      </c>
      <c r="F42" s="7" t="s">
        <v>66</v>
      </c>
      <c r="G42" s="22" t="s">
        <v>173</v>
      </c>
      <c r="H42" s="22" t="s">
        <v>331</v>
      </c>
    </row>
    <row r="43" spans="1:8">
      <c r="A43" s="143" t="s">
        <v>134</v>
      </c>
      <c r="B43" s="3" t="str">
        <f t="shared" si="4"/>
        <v>Merna</v>
      </c>
      <c r="C43" s="3" t="str">
        <f t="shared" si="5"/>
        <v>Ashraf</v>
      </c>
      <c r="D43" s="45" t="s">
        <v>135</v>
      </c>
      <c r="E43" s="16">
        <v>46301</v>
      </c>
      <c r="F43" s="7" t="s">
        <v>22</v>
      </c>
      <c r="G43" s="22" t="s">
        <v>173</v>
      </c>
      <c r="H43" s="22" t="s">
        <v>331</v>
      </c>
    </row>
    <row r="44" spans="1:8">
      <c r="A44" s="143" t="s">
        <v>136</v>
      </c>
      <c r="B44" s="3" t="str">
        <f t="shared" si="4"/>
        <v>Ziad</v>
      </c>
      <c r="C44" s="3" t="str">
        <f t="shared" si="5"/>
        <v>Eid</v>
      </c>
      <c r="D44" s="45" t="s">
        <v>137</v>
      </c>
      <c r="E44" s="16">
        <v>46301</v>
      </c>
      <c r="F44" s="144" t="s">
        <v>138</v>
      </c>
      <c r="G44" s="22" t="s">
        <v>173</v>
      </c>
      <c r="H44" s="22" t="s">
        <v>331</v>
      </c>
    </row>
    <row r="45" spans="1:8">
      <c r="A45" s="143" t="s">
        <v>139</v>
      </c>
      <c r="B45" s="3" t="str">
        <f t="shared" si="4"/>
        <v>Kyrillos</v>
      </c>
      <c r="C45" s="3" t="str">
        <f t="shared" si="5"/>
        <v>Wagdy</v>
      </c>
      <c r="D45" s="45" t="s">
        <v>140</v>
      </c>
      <c r="E45" s="16">
        <v>46301</v>
      </c>
      <c r="F45" s="7" t="s">
        <v>22</v>
      </c>
      <c r="G45" s="22" t="s">
        <v>173</v>
      </c>
      <c r="H45" s="22" t="s">
        <v>331</v>
      </c>
    </row>
    <row r="46" spans="1:8">
      <c r="A46" s="143" t="s">
        <v>141</v>
      </c>
      <c r="B46" s="3" t="str">
        <f t="shared" si="4"/>
        <v>Mahmoud</v>
      </c>
      <c r="C46" s="3" t="str">
        <f t="shared" si="5"/>
        <v>Salah</v>
      </c>
      <c r="D46" s="45" t="s">
        <v>142</v>
      </c>
      <c r="E46" s="16">
        <v>46301</v>
      </c>
      <c r="F46" s="7" t="s">
        <v>22</v>
      </c>
      <c r="G46" s="161" t="s">
        <v>173</v>
      </c>
      <c r="H46" s="22" t="s">
        <v>331</v>
      </c>
    </row>
    <row r="47" spans="1:8">
      <c r="A47" s="143" t="s">
        <v>143</v>
      </c>
      <c r="B47" s="3" t="str">
        <f t="shared" si="4"/>
        <v>Nada</v>
      </c>
      <c r="C47" s="3" t="str">
        <f t="shared" si="5"/>
        <v>Gamal</v>
      </c>
      <c r="D47" s="45" t="s">
        <v>144</v>
      </c>
      <c r="E47" s="16">
        <v>46301</v>
      </c>
      <c r="F47" s="7" t="s">
        <v>22</v>
      </c>
      <c r="G47" s="161" t="s">
        <v>173</v>
      </c>
      <c r="H47" s="22" t="s">
        <v>331</v>
      </c>
    </row>
    <row r="48" spans="1:8">
      <c r="A48" s="182" t="s">
        <v>369</v>
      </c>
      <c r="B48" s="3" t="str">
        <f t="shared" si="4"/>
        <v>Ahmed</v>
      </c>
      <c r="C48" s="3" t="str">
        <f t="shared" si="5"/>
        <v>Esmail</v>
      </c>
      <c r="D48" s="45" t="s">
        <v>370</v>
      </c>
      <c r="E48" s="16">
        <v>46301</v>
      </c>
      <c r="F48" s="7" t="s">
        <v>22</v>
      </c>
      <c r="G48" s="184" t="s">
        <v>173</v>
      </c>
      <c r="H48" s="22" t="s">
        <v>331</v>
      </c>
    </row>
    <row r="49" spans="1:8" ht="15">
      <c r="A49" s="169" t="s">
        <v>147</v>
      </c>
      <c r="B49" s="169" t="str">
        <f t="shared" si="4"/>
        <v>Nada</v>
      </c>
      <c r="C49" s="169" t="str">
        <f t="shared" si="5"/>
        <v>Amer</v>
      </c>
      <c r="D49" s="168" t="s">
        <v>148</v>
      </c>
      <c r="E49" s="19">
        <v>46302</v>
      </c>
      <c r="F49" s="13" t="s">
        <v>22</v>
      </c>
      <c r="G49" s="184" t="s">
        <v>173</v>
      </c>
      <c r="H49" s="22" t="s">
        <v>331</v>
      </c>
    </row>
    <row r="50" spans="1:8" ht="15">
      <c r="A50" s="176" t="s">
        <v>149</v>
      </c>
      <c r="B50" s="3" t="str">
        <f>PROPER(_xlfn.TEXTBEFORE(TRIM(A50), " ", 1))</f>
        <v>Amira</v>
      </c>
      <c r="C50" s="3" t="str">
        <f>_xlfn.TEXTAFTER(TRIM(A50), " ", -1)</f>
        <v>Karim</v>
      </c>
      <c r="D50" s="82"/>
      <c r="E50" s="181">
        <v>46308</v>
      </c>
      <c r="F50" s="174" t="s">
        <v>60</v>
      </c>
      <c r="G50" s="174" t="s">
        <v>371</v>
      </c>
      <c r="H50" s="174" t="s">
        <v>331</v>
      </c>
    </row>
    <row r="51" spans="1:8" ht="15">
      <c r="A51" s="176" t="s">
        <v>150</v>
      </c>
      <c r="B51" s="3" t="str">
        <f>PROPER(_xlfn.TEXTBEFORE(TRIM(A51), " ", 1))</f>
        <v>Saleh</v>
      </c>
      <c r="C51" s="3" t="str">
        <f>_xlfn.TEXTAFTER(TRIM(A51), " ", -1)</f>
        <v>Essam</v>
      </c>
      <c r="D51" s="82"/>
      <c r="E51" s="181">
        <v>46308</v>
      </c>
      <c r="F51" s="3" t="s">
        <v>22</v>
      </c>
      <c r="G51" s="174" t="s">
        <v>371</v>
      </c>
      <c r="H51" s="174" t="s">
        <v>331</v>
      </c>
    </row>
    <row r="52" spans="1:8" ht="15">
      <c r="A52" s="176" t="s">
        <v>151</v>
      </c>
      <c r="B52" s="3" t="str">
        <f>PROPER(_xlfn.TEXTBEFORE(TRIM(A52), " ", 1))</f>
        <v>Doha</v>
      </c>
      <c r="C52" s="3" t="str">
        <f>_xlfn.TEXTAFTER(TRIM(A52), " ", -1)</f>
        <v>Abdelbary</v>
      </c>
      <c r="D52" s="82"/>
      <c r="E52" s="181">
        <v>46308</v>
      </c>
      <c r="F52" s="3" t="s">
        <v>22</v>
      </c>
      <c r="G52" s="174" t="s">
        <v>371</v>
      </c>
      <c r="H52" s="174" t="s">
        <v>331</v>
      </c>
    </row>
    <row r="53" spans="1:8" ht="15">
      <c r="A53" s="176" t="s">
        <v>152</v>
      </c>
      <c r="B53" s="3" t="str">
        <f>PROPER(_xlfn.TEXTBEFORE(TRIM(A53), " ", 1))</f>
        <v>Noran</v>
      </c>
      <c r="C53" s="3" t="str">
        <f>_xlfn.TEXTAFTER(TRIM(A53), " ", -1)</f>
        <v>Ashraf</v>
      </c>
      <c r="D53" s="82"/>
      <c r="E53" s="181">
        <v>46308</v>
      </c>
      <c r="F53" s="3" t="s">
        <v>22</v>
      </c>
      <c r="G53" s="174" t="s">
        <v>371</v>
      </c>
      <c r="H53" s="174" t="s">
        <v>331</v>
      </c>
    </row>
    <row r="54" spans="1:8">
      <c r="A54" s="176" t="s">
        <v>153</v>
      </c>
      <c r="B54" s="3" t="str">
        <f>PROPER(_xlfn.TEXTBEFORE(TRIM(A54), " ", 1))</f>
        <v>Eman</v>
      </c>
      <c r="C54" s="3" t="str">
        <f>_xlfn.TEXTAFTER(TRIM(A54), " ", -1)</f>
        <v>Mahmoud</v>
      </c>
      <c r="D54" s="82"/>
      <c r="E54" s="181">
        <v>46308</v>
      </c>
      <c r="F54" s="174" t="s">
        <v>60</v>
      </c>
      <c r="G54" s="174" t="s">
        <v>371</v>
      </c>
      <c r="H54" s="174" t="s">
        <v>331</v>
      </c>
    </row>
    <row r="55" spans="1:8">
      <c r="A55" s="176" t="s">
        <v>154</v>
      </c>
      <c r="B55" s="3" t="str">
        <f>PROPER(_xlfn.TEXTBEFORE(TRIM(A55), " ", 1))</f>
        <v>Rawan</v>
      </c>
      <c r="C55" s="3" t="str">
        <f>_xlfn.TEXTAFTER(TRIM(A55), " ", -1)</f>
        <v>Ehab</v>
      </c>
      <c r="D55" s="82"/>
      <c r="E55" s="181">
        <v>46308</v>
      </c>
      <c r="F55" s="3" t="s">
        <v>22</v>
      </c>
      <c r="G55" s="174" t="s">
        <v>371</v>
      </c>
      <c r="H55" s="174" t="s">
        <v>331</v>
      </c>
    </row>
    <row r="56" spans="1:8">
      <c r="A56" s="183" t="s">
        <v>155</v>
      </c>
      <c r="B56" s="3" t="str">
        <f>PROPER(_xlfn.TEXTBEFORE(TRIM(A56), " ", 1))</f>
        <v>Nancy</v>
      </c>
      <c r="C56" s="3" t="str">
        <f>_xlfn.TEXTAFTER(TRIM(A56), " ", -1)</f>
        <v>Elsharqawy</v>
      </c>
      <c r="D56" s="82"/>
      <c r="E56" s="181">
        <v>46308</v>
      </c>
      <c r="F56" s="3" t="s">
        <v>22</v>
      </c>
      <c r="G56" s="174" t="s">
        <v>371</v>
      </c>
      <c r="H56" s="174" t="s">
        <v>331</v>
      </c>
    </row>
    <row r="57" spans="1:8">
      <c r="A57" s="176" t="s">
        <v>156</v>
      </c>
      <c r="B57" s="3" t="str">
        <f>PROPER(_xlfn.TEXTBEFORE(TRIM(A57), " ", 1))</f>
        <v>Rokia</v>
      </c>
      <c r="C57" s="3" t="str">
        <f>_xlfn.TEXTAFTER(TRIM(A57), " ", -1)</f>
        <v>Sobhy</v>
      </c>
      <c r="D57" s="82"/>
      <c r="E57" s="181">
        <v>46308</v>
      </c>
      <c r="F57" s="3" t="s">
        <v>22</v>
      </c>
      <c r="G57" s="174" t="s">
        <v>371</v>
      </c>
      <c r="H57" s="174" t="s">
        <v>331</v>
      </c>
    </row>
    <row r="58" spans="1:8">
      <c r="A58" s="176" t="s">
        <v>157</v>
      </c>
      <c r="B58" s="3" t="str">
        <f>PROPER(_xlfn.TEXTBEFORE(TRIM(A58), " ", 1))</f>
        <v>Radwa</v>
      </c>
      <c r="C58" s="3" t="str">
        <f>_xlfn.TEXTAFTER(TRIM(A58), " ", -1)</f>
        <v>Tarek</v>
      </c>
      <c r="D58" s="82"/>
      <c r="E58" s="181">
        <v>46308</v>
      </c>
      <c r="F58" s="3" t="s">
        <v>22</v>
      </c>
      <c r="G58" s="174" t="s">
        <v>371</v>
      </c>
      <c r="H58" s="174" t="s">
        <v>331</v>
      </c>
    </row>
    <row r="59" spans="1:8">
      <c r="A59" s="176" t="s">
        <v>158</v>
      </c>
      <c r="B59" s="3" t="str">
        <f>PROPER(_xlfn.TEXTBEFORE(TRIM(A59), " ", 1))</f>
        <v>Mohamed</v>
      </c>
      <c r="C59" s="3" t="str">
        <f>_xlfn.TEXTAFTER(TRIM(A59), " ", -1)</f>
        <v>Taha</v>
      </c>
      <c r="D59" s="82"/>
      <c r="E59" s="181">
        <v>46308</v>
      </c>
      <c r="F59" s="3" t="s">
        <v>22</v>
      </c>
      <c r="G59" s="174" t="s">
        <v>371</v>
      </c>
      <c r="H59" s="174" t="s">
        <v>331</v>
      </c>
    </row>
    <row r="60" spans="1:8">
      <c r="A60" s="176" t="s">
        <v>159</v>
      </c>
      <c r="B60" s="3" t="str">
        <f>PROPER(_xlfn.TEXTBEFORE(TRIM(A60), " ", 1))</f>
        <v>Mawada</v>
      </c>
      <c r="C60" s="3" t="str">
        <f>_xlfn.TEXTAFTER(TRIM(A60), " ", -1)</f>
        <v>Mohamed</v>
      </c>
      <c r="D60" s="82"/>
      <c r="E60" s="181">
        <v>46308</v>
      </c>
      <c r="F60" s="3" t="s">
        <v>22</v>
      </c>
      <c r="G60" s="174" t="s">
        <v>371</v>
      </c>
      <c r="H60" s="174" t="s">
        <v>331</v>
      </c>
    </row>
    <row r="61" spans="1:8">
      <c r="A61" s="176" t="s">
        <v>160</v>
      </c>
      <c r="B61" s="3" t="str">
        <f>PROPER(_xlfn.TEXTBEFORE(TRIM(A61), " ", 1))</f>
        <v>Mohamed</v>
      </c>
      <c r="C61" s="3" t="str">
        <f>_xlfn.TEXTAFTER(TRIM(A61), " ", -1)</f>
        <v>Zidan</v>
      </c>
      <c r="D61" s="82"/>
      <c r="E61" s="181">
        <v>46308</v>
      </c>
      <c r="F61" s="3" t="s">
        <v>22</v>
      </c>
      <c r="G61" s="174" t="s">
        <v>371</v>
      </c>
      <c r="H61" s="174" t="s">
        <v>331</v>
      </c>
    </row>
    <row r="62" spans="1:8">
      <c r="A62" s="176" t="s">
        <v>161</v>
      </c>
      <c r="B62" s="3" t="str">
        <f>PROPER(_xlfn.TEXTBEFORE(TRIM(A62), " ", 1))</f>
        <v>Rana</v>
      </c>
      <c r="C62" s="3" t="str">
        <f>_xlfn.TEXTAFTER(TRIM(A62), " ", -1)</f>
        <v>Mohamed</v>
      </c>
      <c r="D62" s="82"/>
      <c r="E62" s="181">
        <v>46308</v>
      </c>
      <c r="F62" s="3" t="s">
        <v>22</v>
      </c>
      <c r="G62" s="174" t="s">
        <v>371</v>
      </c>
      <c r="H62" s="174" t="s">
        <v>331</v>
      </c>
    </row>
    <row r="63" spans="1:8">
      <c r="A63" s="176" t="s">
        <v>162</v>
      </c>
      <c r="B63" s="3" t="str">
        <f>PROPER(_xlfn.TEXTBEFORE(TRIM(A63), " ", 1))</f>
        <v>Belal</v>
      </c>
      <c r="C63" s="3" t="str">
        <f>_xlfn.TEXTAFTER(TRIM(A63), " ", -1)</f>
        <v>Hamdy</v>
      </c>
      <c r="D63" s="82"/>
      <c r="E63" s="181">
        <v>46308</v>
      </c>
      <c r="F63" s="3" t="s">
        <v>22</v>
      </c>
      <c r="G63" s="174" t="s">
        <v>371</v>
      </c>
      <c r="H63" s="174" t="s">
        <v>331</v>
      </c>
    </row>
    <row r="64" spans="1:8">
      <c r="A64" s="176" t="s">
        <v>163</v>
      </c>
      <c r="B64" s="3" t="str">
        <f>PROPER(_xlfn.TEXTBEFORE(TRIM(A64), " ", 1))</f>
        <v>Mahmoud</v>
      </c>
      <c r="C64" s="3" t="str">
        <f>_xlfn.TEXTAFTER(TRIM(A64), " ", -1)</f>
        <v>Tablawy</v>
      </c>
      <c r="D64" s="82"/>
      <c r="E64" s="181">
        <v>46308</v>
      </c>
      <c r="F64" s="3" t="s">
        <v>22</v>
      </c>
      <c r="G64" s="174" t="s">
        <v>371</v>
      </c>
      <c r="H64" s="174" t="s">
        <v>331</v>
      </c>
    </row>
    <row r="65" spans="1:8" ht="15">
      <c r="A65" s="5" t="s">
        <v>164</v>
      </c>
      <c r="B65" s="3" t="str">
        <f t="shared" ref="B65:B67" si="6">PROPER(_xlfn.TEXTBEFORE(TRIM(A65), " ", 1))</f>
        <v>Maryam</v>
      </c>
      <c r="C65" s="3" t="str">
        <f t="shared" ref="C65:C67" si="7">_xlfn.TEXTAFTER(TRIM(A65), " ", -1)</f>
        <v>Fayad</v>
      </c>
      <c r="D65" s="82"/>
      <c r="E65" s="16">
        <v>46309</v>
      </c>
      <c r="F65" s="3" t="s">
        <v>22</v>
      </c>
      <c r="G65" s="174" t="s">
        <v>371</v>
      </c>
      <c r="H65" s="174" t="s">
        <v>331</v>
      </c>
    </row>
    <row r="66" spans="1:8" ht="15">
      <c r="A66" s="5" t="s">
        <v>165</v>
      </c>
      <c r="B66" s="3" t="str">
        <f t="shared" si="6"/>
        <v>Zekra</v>
      </c>
      <c r="C66" s="3" t="str">
        <f t="shared" si="7"/>
        <v>Abdelhamid</v>
      </c>
      <c r="D66" s="82"/>
      <c r="E66" s="16">
        <v>46309</v>
      </c>
      <c r="F66" s="3" t="s">
        <v>22</v>
      </c>
      <c r="G66" s="174" t="s">
        <v>371</v>
      </c>
      <c r="H66" s="174" t="s">
        <v>331</v>
      </c>
    </row>
    <row r="67" spans="1:8" ht="15">
      <c r="A67" s="5" t="s">
        <v>166</v>
      </c>
      <c r="B67" s="3" t="str">
        <f t="shared" si="6"/>
        <v>Yasmine</v>
      </c>
      <c r="C67" s="3" t="str">
        <f t="shared" si="7"/>
        <v>Elsafty</v>
      </c>
      <c r="D67" s="82"/>
      <c r="E67" s="16">
        <v>46309</v>
      </c>
      <c r="F67" s="3" t="s">
        <v>22</v>
      </c>
      <c r="G67" s="174" t="s">
        <v>371</v>
      </c>
      <c r="H67" s="174" t="s">
        <v>331</v>
      </c>
    </row>
  </sheetData>
  <conditionalFormatting sqref="E40:E49">
    <cfRule type="cellIs" dxfId="29" priority="7" operator="equal">
      <formula>"Off"</formula>
    </cfRule>
    <cfRule type="cellIs" dxfId="28" priority="8" operator="equal">
      <formula>"Emergency"</formula>
    </cfRule>
    <cfRule type="cellIs" dxfId="27" priority="9" operator="equal">
      <formula>"NCNS"</formula>
    </cfRule>
    <cfRule type="cellIs" dxfId="26" priority="10" operator="equal">
      <formula>"Sick"</formula>
    </cfRule>
    <cfRule type="cellIs" dxfId="25" priority="11" operator="equal">
      <formula>"Annual"</formula>
    </cfRule>
    <cfRule type="cellIs" dxfId="24" priority="12" operator="equal">
      <formula>"Attended"</formula>
    </cfRule>
  </conditionalFormatting>
  <conditionalFormatting sqref="F40">
    <cfRule type="cellIs" dxfId="23" priority="61" operator="equal">
      <formula>"Off"</formula>
    </cfRule>
    <cfRule type="cellIs" dxfId="22" priority="62" operator="equal">
      <formula>"Emergency"</formula>
    </cfRule>
    <cfRule type="cellIs" dxfId="21" priority="63" operator="equal">
      <formula>"NCNS"</formula>
    </cfRule>
    <cfRule type="cellIs" dxfId="20" priority="64" operator="equal">
      <formula>"Sick"</formula>
    </cfRule>
    <cfRule type="cellIs" dxfId="19" priority="65" operator="equal">
      <formula>"Annual"</formula>
    </cfRule>
    <cfRule type="cellIs" dxfId="18" priority="66" operator="equal">
      <formula>"Attended"</formula>
    </cfRule>
  </conditionalFormatting>
  <conditionalFormatting sqref="F43">
    <cfRule type="cellIs" dxfId="17" priority="55" operator="equal">
      <formula>"Off"</formula>
    </cfRule>
    <cfRule type="cellIs" dxfId="16" priority="56" operator="equal">
      <formula>"Emergency"</formula>
    </cfRule>
    <cfRule type="cellIs" dxfId="15" priority="57" operator="equal">
      <formula>"NCNS"</formula>
    </cfRule>
    <cfRule type="cellIs" dxfId="14" priority="58" operator="equal">
      <formula>"Sick"</formula>
    </cfRule>
    <cfRule type="cellIs" dxfId="13" priority="59" operator="equal">
      <formula>"Annual"</formula>
    </cfRule>
    <cfRule type="cellIs" dxfId="12" priority="60" operator="equal">
      <formula>"Attended"</formula>
    </cfRule>
  </conditionalFormatting>
  <conditionalFormatting sqref="F45:F49 F51:F53 F55:F64">
    <cfRule type="cellIs" dxfId="11" priority="13" operator="equal">
      <formula>"Off"</formula>
    </cfRule>
    <cfRule type="cellIs" dxfId="10" priority="14" operator="equal">
      <formula>"Emergency"</formula>
    </cfRule>
    <cfRule type="cellIs" dxfId="9" priority="15" operator="equal">
      <formula>"NCNS"</formula>
    </cfRule>
    <cfRule type="cellIs" dxfId="8" priority="16" operator="equal">
      <formula>"Sick"</formula>
    </cfRule>
    <cfRule type="cellIs" dxfId="7" priority="17" operator="equal">
      <formula>"Annual"</formula>
    </cfRule>
    <cfRule type="cellIs" dxfId="6" priority="18" operator="equal">
      <formula>"Attended"</formula>
    </cfRule>
  </conditionalFormatting>
  <conditionalFormatting sqref="F65:F67">
    <cfRule type="cellIs" dxfId="5" priority="1" operator="equal">
      <formula>"Off"</formula>
    </cfRule>
    <cfRule type="cellIs" dxfId="4" priority="2" operator="equal">
      <formula>"Emergency"</formula>
    </cfRule>
    <cfRule type="cellIs" dxfId="3" priority="3" operator="equal">
      <formula>"NCNS"</formula>
    </cfRule>
    <cfRule type="cellIs" dxfId="2" priority="4" operator="equal">
      <formula>"Sick"</formula>
    </cfRule>
    <cfRule type="cellIs" dxfId="1" priority="5" operator="equal">
      <formula>"Annual"</formula>
    </cfRule>
    <cfRule type="cellIs" dxfId="0" priority="6" operator="equal">
      <formula>"Attended"</formula>
    </cfRule>
  </conditionalFormatting>
  <hyperlinks>
    <hyperlink ref="D2" r:id="rId1" xr:uid="{F233C68E-7BAC-4CBE-90B9-37E2E104B059}"/>
    <hyperlink ref="D3" r:id="rId2" xr:uid="{31752C56-226F-4D80-A666-8690EB795526}"/>
    <hyperlink ref="D4" r:id="rId3" xr:uid="{D30DA1C5-0538-4F17-B45C-287B8F4DF930}"/>
    <hyperlink ref="D5" r:id="rId4" xr:uid="{87A8D926-9B0B-4368-A5EE-E6AA20028B18}"/>
    <hyperlink ref="D6" r:id="rId5" xr:uid="{A41A717D-8486-4A1E-9941-4F606C5E8159}"/>
    <hyperlink ref="D7" r:id="rId6" xr:uid="{EC1B84FE-0375-40AE-8690-A1578804EFC7}"/>
    <hyperlink ref="D8" r:id="rId7" xr:uid="{DD0A820B-F2F6-42BB-855F-F049912000FC}"/>
    <hyperlink ref="D9" r:id="rId8" xr:uid="{6ACAF9AB-F9A1-4897-AE92-A9248D7CC903}"/>
    <hyperlink ref="D10" r:id="rId9" xr:uid="{1536433D-51A5-456A-B974-70D3C5F995E4}"/>
    <hyperlink ref="A13" r:id="rId10" xr:uid="{221093C2-13E2-4FF8-BA00-C0619EB9F2C4}"/>
    <hyperlink ref="D13" r:id="rId11" xr:uid="{0CC358B0-4A03-4C20-BD08-05ED7873B6A0}"/>
    <hyperlink ref="A15" r:id="rId12" xr:uid="{B34E4604-055D-45EE-8646-AFB418DFC035}"/>
    <hyperlink ref="D15" r:id="rId13" xr:uid="{39BA7AAC-994A-49F7-B9CA-97276B464FED}"/>
    <hyperlink ref="D16" r:id="rId14" xr:uid="{4BF7AAD8-F3A8-4C98-86DB-37DE4A19572D}"/>
    <hyperlink ref="D17" r:id="rId15" xr:uid="{4F9DE7FB-1E02-42EE-B76E-C98BAAD5B3FA}"/>
    <hyperlink ref="D18" r:id="rId16" xr:uid="{8874AE78-3CBB-40F0-824C-4B26B7FB6E20}"/>
    <hyperlink ref="D19" r:id="rId17" xr:uid="{6951F083-A5E3-49BB-9458-F8B6EDF8E834}"/>
    <hyperlink ref="D20" r:id="rId18" xr:uid="{83BB3211-91A6-4F84-9F74-A6D880B99861}"/>
    <hyperlink ref="D21" r:id="rId19" xr:uid="{9DB0E876-CDEA-4A2C-AD73-58C42A4F1B4E}"/>
    <hyperlink ref="D22" r:id="rId20" xr:uid="{00955642-5C4C-49E3-B857-FEDF71227C08}"/>
    <hyperlink ref="D23" r:id="rId21" xr:uid="{F4D7CCF3-E79D-4FED-82D8-70D3C339CF1F}"/>
    <hyperlink ref="D24" r:id="rId22" xr:uid="{5A78468B-5A77-4D8C-A32B-D1DF37E1FF41}"/>
    <hyperlink ref="D25" r:id="rId23" xr:uid="{4C0745C7-3D28-45D0-AAAF-B4969ED650F7}"/>
    <hyperlink ref="D26" r:id="rId24" xr:uid="{F1745FDE-250C-43A4-9520-F9EE287494D8}"/>
    <hyperlink ref="D27" r:id="rId25" xr:uid="{B0FCE2BA-A0F3-412E-95DB-BDC090BFC36F}"/>
    <hyperlink ref="D28" r:id="rId26" xr:uid="{E2C5B6C8-E6C0-4607-BCA4-5303D2450D94}"/>
    <hyperlink ref="D39" r:id="rId27" xr:uid="{84CBF191-AEEB-4374-B95D-D3CB5383EBE9}"/>
    <hyperlink ref="D34" r:id="rId28" xr:uid="{0B3DCE0C-643C-457A-9D31-845D42A009F0}"/>
    <hyperlink ref="D30" r:id="rId29" xr:uid="{4A3078DD-0BE9-4763-A97B-CDF95045FA78}"/>
    <hyperlink ref="D32" r:id="rId30" xr:uid="{E3A2AF24-D973-4528-924D-F644FE75FD91}"/>
    <hyperlink ref="D29" r:id="rId31" xr:uid="{E46FDA5E-1910-4E78-92B2-0ACEB1E6F242}"/>
    <hyperlink ref="D31" r:id="rId32" xr:uid="{3C40E43D-A4F5-4861-A381-F2177082A039}"/>
    <hyperlink ref="D35" r:id="rId33" xr:uid="{5636FFD7-18B0-4961-94C8-C39C2B7BCBB0}"/>
    <hyperlink ref="D33" r:id="rId34" xr:uid="{D5E196D0-B60D-44DF-B98F-8018E7CD781E}"/>
    <hyperlink ref="D52" r:id="rId35" display="mailto:amr.kotb@capgemini.com" xr:uid="{5B19AE40-AF69-4A78-B9B8-157785C332E3}"/>
    <hyperlink ref="D50" r:id="rId36" display="mailto:salma.dawaly@capgemini.com" xr:uid="{66057A3F-FD9E-413E-9A91-1C570C8775D1}"/>
    <hyperlink ref="D53" r:id="rId37" display="mailto:khaled.abdelgalil@capgemini.com" xr:uid="{FB3F0772-1051-4037-A293-9AF3BB9C1922}"/>
    <hyperlink ref="D51" r:id="rId38" display="mailto:ammar.ali@capgemini.com" xr:uid="{A7BABFFD-FF0B-48B2-AA2D-6333188E2E99}"/>
    <hyperlink ref="D37" r:id="rId39" xr:uid="{81F98480-226A-4399-A129-13D4FA4E5ABD}"/>
    <hyperlink ref="D38" r:id="rId40" xr:uid="{7F28D2C0-D1DC-42BF-B12E-0166FECA429A}"/>
    <hyperlink ref="D36" r:id="rId41" xr:uid="{3E17540D-3BFA-46B3-AAEC-CC4FD4832C7E}"/>
    <hyperlink ref="D45" r:id="rId42" xr:uid="{47075D67-338F-406A-92EB-74A3969558A5}"/>
    <hyperlink ref="D44" r:id="rId43" xr:uid="{A62CF09C-AA43-4090-8B73-E45025E85102}"/>
    <hyperlink ref="D46" r:id="rId44" xr:uid="{D277394A-60EA-4A13-830E-44F62BB2542B}"/>
    <hyperlink ref="D43" r:id="rId45" xr:uid="{66CBEC4E-C532-434F-B589-5E3660F743A2}"/>
    <hyperlink ref="D40" r:id="rId46" xr:uid="{2A4B9D0C-08A8-4E56-8C66-3E929D378847}"/>
    <hyperlink ref="D42" r:id="rId47" xr:uid="{B4F71F1A-814E-4188-A6C5-41673BDC8866}"/>
    <hyperlink ref="D47" r:id="rId48" xr:uid="{3625E1ED-8B24-4D6B-BFB8-7E9ACA6A334A}"/>
    <hyperlink ref="D41" r:id="rId49" xr:uid="{82CC407C-49DC-4065-A907-FBB0AE607368}"/>
    <hyperlink ref="D48" r:id="rId50" xr:uid="{12B6F8EE-288E-4D5D-8771-B602FDD04378}"/>
    <hyperlink ref="D49" r:id="rId51" xr:uid="{CFFCAEB1-28B0-4E7E-97F5-66A75C8644E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29622-A3FA-4E85-96FC-DCC8BDB275A5}">
  <dimension ref="A1:E67"/>
  <sheetViews>
    <sheetView tabSelected="1" topLeftCell="A50" workbookViewId="0">
      <selection activeCell="A61" sqref="A61"/>
    </sheetView>
  </sheetViews>
  <sheetFormatPr defaultRowHeight="14.45"/>
  <cols>
    <col min="1" max="1" width="25.7109375" customWidth="1"/>
    <col min="2" max="2" width="10.140625" style="105" customWidth="1"/>
    <col min="3" max="3" width="20.42578125" customWidth="1"/>
    <col min="4" max="4" width="17.5703125" customWidth="1"/>
    <col min="5" max="5" width="44.28515625" customWidth="1"/>
  </cols>
  <sheetData>
    <row r="1" spans="1:5">
      <c r="A1" s="114" t="s">
        <v>1</v>
      </c>
      <c r="B1" s="113" t="s">
        <v>282</v>
      </c>
      <c r="C1" s="115" t="s">
        <v>312</v>
      </c>
      <c r="D1" s="98" t="s">
        <v>372</v>
      </c>
      <c r="E1" s="99" t="s">
        <v>373</v>
      </c>
    </row>
    <row r="2" spans="1:5">
      <c r="A2" s="100" t="s">
        <v>20</v>
      </c>
      <c r="B2" s="116">
        <v>1</v>
      </c>
      <c r="C2" s="108" t="s">
        <v>313</v>
      </c>
      <c r="D2" s="103" t="s">
        <v>374</v>
      </c>
      <c r="E2" s="91" t="s">
        <v>375</v>
      </c>
    </row>
    <row r="3" spans="1:5">
      <c r="A3" s="96" t="s">
        <v>118</v>
      </c>
      <c r="B3" s="5">
        <v>1</v>
      </c>
      <c r="C3" s="109" t="s">
        <v>313</v>
      </c>
      <c r="D3" s="103" t="s">
        <v>374</v>
      </c>
      <c r="E3" s="91" t="s">
        <v>376</v>
      </c>
    </row>
    <row r="4" spans="1:5">
      <c r="A4" s="96" t="s">
        <v>26</v>
      </c>
      <c r="B4" s="5">
        <v>1</v>
      </c>
      <c r="C4" s="109" t="s">
        <v>313</v>
      </c>
      <c r="D4" s="103" t="s">
        <v>374</v>
      </c>
      <c r="E4" s="91" t="s">
        <v>377</v>
      </c>
    </row>
    <row r="5" spans="1:5">
      <c r="A5" s="96" t="s">
        <v>29</v>
      </c>
      <c r="B5" s="5">
        <v>1</v>
      </c>
      <c r="C5" s="109" t="s">
        <v>313</v>
      </c>
      <c r="D5" s="103" t="s">
        <v>378</v>
      </c>
      <c r="E5" s="91" t="s">
        <v>379</v>
      </c>
    </row>
    <row r="6" spans="1:5">
      <c r="A6" s="96" t="s">
        <v>32</v>
      </c>
      <c r="B6" s="5">
        <v>1</v>
      </c>
      <c r="C6" s="109" t="s">
        <v>313</v>
      </c>
      <c r="D6" s="103" t="s">
        <v>374</v>
      </c>
      <c r="E6" s="91" t="s">
        <v>380</v>
      </c>
    </row>
    <row r="7" spans="1:5">
      <c r="A7" s="96" t="s">
        <v>35</v>
      </c>
      <c r="B7" s="5">
        <v>1</v>
      </c>
      <c r="C7" s="109" t="s">
        <v>313</v>
      </c>
      <c r="D7" s="102" t="s">
        <v>240</v>
      </c>
      <c r="E7" s="95" t="s">
        <v>381</v>
      </c>
    </row>
    <row r="8" spans="1:5">
      <c r="A8" s="96" t="s">
        <v>39</v>
      </c>
      <c r="B8" s="5">
        <v>1</v>
      </c>
      <c r="C8" s="109" t="s">
        <v>313</v>
      </c>
      <c r="D8" s="104" t="s">
        <v>382</v>
      </c>
      <c r="E8" s="91" t="s">
        <v>383</v>
      </c>
    </row>
    <row r="9" spans="1:5">
      <c r="A9" s="96" t="s">
        <v>42</v>
      </c>
      <c r="B9" s="5">
        <v>1</v>
      </c>
      <c r="C9" s="109" t="s">
        <v>313</v>
      </c>
      <c r="D9" s="103" t="s">
        <v>374</v>
      </c>
      <c r="E9" s="91" t="s">
        <v>384</v>
      </c>
    </row>
    <row r="10" spans="1:5" ht="29.1">
      <c r="A10" s="96" t="s">
        <v>47</v>
      </c>
      <c r="B10" s="5">
        <v>1</v>
      </c>
      <c r="C10" s="109" t="s">
        <v>313</v>
      </c>
      <c r="D10" s="103" t="s">
        <v>374</v>
      </c>
      <c r="E10" s="106" t="s">
        <v>385</v>
      </c>
    </row>
    <row r="11" spans="1:5">
      <c r="A11" s="96" t="s">
        <v>52</v>
      </c>
      <c r="B11" s="5">
        <v>1</v>
      </c>
      <c r="C11" s="109" t="s">
        <v>313</v>
      </c>
      <c r="D11" t="s">
        <v>386</v>
      </c>
      <c r="E11" s="91" t="s">
        <v>387</v>
      </c>
    </row>
    <row r="12" spans="1:5">
      <c r="A12" s="96" t="s">
        <v>56</v>
      </c>
      <c r="B12" s="5">
        <v>1</v>
      </c>
      <c r="C12" s="109" t="s">
        <v>313</v>
      </c>
      <c r="E12" s="92"/>
    </row>
    <row r="13" spans="1:5">
      <c r="A13" s="96" t="s">
        <v>61</v>
      </c>
      <c r="B13" s="5">
        <v>1</v>
      </c>
      <c r="C13" s="109" t="s">
        <v>313</v>
      </c>
      <c r="E13" s="92"/>
    </row>
    <row r="14" spans="1:5">
      <c r="A14" s="96" t="s">
        <v>64</v>
      </c>
      <c r="B14" s="5">
        <v>1</v>
      </c>
      <c r="C14" s="109" t="s">
        <v>313</v>
      </c>
      <c r="E14" s="92"/>
    </row>
    <row r="15" spans="1:5">
      <c r="A15" s="96" t="s">
        <v>67</v>
      </c>
      <c r="B15" s="5">
        <v>1</v>
      </c>
      <c r="C15" s="109" t="s">
        <v>313</v>
      </c>
      <c r="E15" s="92"/>
    </row>
    <row r="16" spans="1:5">
      <c r="A16" s="96" t="s">
        <v>70</v>
      </c>
      <c r="B16" s="5">
        <v>1</v>
      </c>
      <c r="C16" s="109" t="s">
        <v>313</v>
      </c>
      <c r="E16" s="92"/>
    </row>
    <row r="17" spans="1:5">
      <c r="A17" s="96" t="s">
        <v>72</v>
      </c>
      <c r="B17" s="5">
        <v>1</v>
      </c>
      <c r="C17" s="109" t="s">
        <v>313</v>
      </c>
      <c r="E17" s="92"/>
    </row>
    <row r="18" spans="1:5">
      <c r="A18" s="96" t="s">
        <v>75</v>
      </c>
      <c r="B18" s="5">
        <v>1</v>
      </c>
      <c r="C18" s="109" t="s">
        <v>313</v>
      </c>
      <c r="E18" s="92"/>
    </row>
    <row r="19" spans="1:5">
      <c r="A19" s="96" t="s">
        <v>78</v>
      </c>
      <c r="B19" s="5">
        <v>1</v>
      </c>
      <c r="C19" s="109" t="s">
        <v>313</v>
      </c>
      <c r="E19" s="92"/>
    </row>
    <row r="20" spans="1:5">
      <c r="A20" s="96" t="s">
        <v>80</v>
      </c>
      <c r="B20" s="5">
        <v>1</v>
      </c>
      <c r="C20" s="109" t="s">
        <v>313</v>
      </c>
      <c r="E20" s="92"/>
    </row>
    <row r="21" spans="1:5">
      <c r="A21" s="96" t="s">
        <v>82</v>
      </c>
      <c r="B21" s="5">
        <v>1</v>
      </c>
      <c r="C21" s="109" t="s">
        <v>313</v>
      </c>
      <c r="E21" s="92"/>
    </row>
    <row r="22" spans="1:5">
      <c r="A22" s="96" t="s">
        <v>84</v>
      </c>
      <c r="B22" s="5">
        <v>1</v>
      </c>
      <c r="C22" s="109" t="s">
        <v>313</v>
      </c>
      <c r="E22" s="92"/>
    </row>
    <row r="23" spans="1:5">
      <c r="A23" s="96" t="s">
        <v>86</v>
      </c>
      <c r="B23" s="5">
        <v>1</v>
      </c>
      <c r="C23" s="109" t="s">
        <v>313</v>
      </c>
      <c r="E23" s="92"/>
    </row>
    <row r="24" spans="1:5">
      <c r="A24" s="96" t="s">
        <v>88</v>
      </c>
      <c r="B24" s="5">
        <v>1</v>
      </c>
      <c r="C24" s="109" t="s">
        <v>313</v>
      </c>
      <c r="E24" s="92"/>
    </row>
    <row r="25" spans="1:5" ht="15" thickBot="1">
      <c r="A25" s="97" t="s">
        <v>90</v>
      </c>
      <c r="B25" s="165">
        <v>1</v>
      </c>
      <c r="C25" s="110" t="s">
        <v>313</v>
      </c>
      <c r="E25" s="92"/>
    </row>
    <row r="26" spans="1:5">
      <c r="A26" s="197" t="s">
        <v>106</v>
      </c>
      <c r="B26" s="188">
        <v>1</v>
      </c>
      <c r="C26" s="111" t="s">
        <v>388</v>
      </c>
      <c r="D26" s="93" t="s">
        <v>389</v>
      </c>
      <c r="E26" s="94" t="s">
        <v>390</v>
      </c>
    </row>
    <row r="27" spans="1:5">
      <c r="A27" s="107" t="s">
        <v>94</v>
      </c>
      <c r="B27" s="5">
        <v>2</v>
      </c>
      <c r="C27" s="112" t="s">
        <v>388</v>
      </c>
      <c r="D27" s="186" t="s">
        <v>391</v>
      </c>
      <c r="E27" s="95" t="s">
        <v>392</v>
      </c>
    </row>
    <row r="28" spans="1:5">
      <c r="A28" s="107" t="s">
        <v>96</v>
      </c>
      <c r="B28" s="5">
        <v>2</v>
      </c>
      <c r="C28" s="112" t="s">
        <v>388</v>
      </c>
      <c r="D28" s="186" t="s">
        <v>391</v>
      </c>
      <c r="E28" s="91" t="s">
        <v>314</v>
      </c>
    </row>
    <row r="29" spans="1:5">
      <c r="A29" s="107" t="s">
        <v>98</v>
      </c>
      <c r="B29" s="5">
        <v>2</v>
      </c>
      <c r="C29" s="112" t="s">
        <v>388</v>
      </c>
      <c r="D29" s="189" t="s">
        <v>391</v>
      </c>
      <c r="E29" s="101" t="s">
        <v>380</v>
      </c>
    </row>
    <row r="30" spans="1:5">
      <c r="A30" s="107" t="s">
        <v>119</v>
      </c>
      <c r="B30" s="5">
        <v>2</v>
      </c>
      <c r="C30" s="112" t="s">
        <v>388</v>
      </c>
      <c r="D30" s="104" t="s">
        <v>382</v>
      </c>
      <c r="E30" s="91" t="s">
        <v>383</v>
      </c>
    </row>
    <row r="31" spans="1:5">
      <c r="A31" s="107" t="s">
        <v>102</v>
      </c>
      <c r="B31" s="5">
        <v>2</v>
      </c>
      <c r="C31" s="112" t="s">
        <v>388</v>
      </c>
      <c r="E31" s="91" t="s">
        <v>376</v>
      </c>
    </row>
    <row r="32" spans="1:5">
      <c r="A32" s="190" t="s">
        <v>104</v>
      </c>
      <c r="B32" s="105">
        <v>2</v>
      </c>
      <c r="C32" s="185" t="s">
        <v>388</v>
      </c>
      <c r="E32" s="91" t="s">
        <v>393</v>
      </c>
    </row>
    <row r="33" spans="1:5">
      <c r="A33" s="190" t="s">
        <v>92</v>
      </c>
      <c r="B33" s="105">
        <v>2</v>
      </c>
      <c r="C33" s="185" t="s">
        <v>388</v>
      </c>
      <c r="E33" s="92"/>
    </row>
    <row r="34" spans="1:5">
      <c r="A34" s="190" t="s">
        <v>109</v>
      </c>
      <c r="B34" s="105">
        <v>2</v>
      </c>
      <c r="C34" s="185" t="s">
        <v>388</v>
      </c>
      <c r="E34" s="92"/>
    </row>
    <row r="35" spans="1:5">
      <c r="A35" s="190" t="s">
        <v>123</v>
      </c>
      <c r="B35" s="105">
        <v>2</v>
      </c>
      <c r="C35" s="185" t="s">
        <v>388</v>
      </c>
      <c r="E35" s="92"/>
    </row>
    <row r="36" spans="1:5">
      <c r="A36" s="190" t="s">
        <v>114</v>
      </c>
      <c r="B36" s="105">
        <v>2</v>
      </c>
      <c r="C36" s="185" t="s">
        <v>388</v>
      </c>
      <c r="E36" s="92"/>
    </row>
    <row r="37" spans="1:5">
      <c r="A37" s="191" t="s">
        <v>394</v>
      </c>
      <c r="C37" s="185" t="s">
        <v>388</v>
      </c>
      <c r="D37" s="187" t="s">
        <v>210</v>
      </c>
      <c r="E37" s="91" t="s">
        <v>395</v>
      </c>
    </row>
    <row r="38" spans="1:5">
      <c r="A38" s="193" t="s">
        <v>127</v>
      </c>
      <c r="B38" s="105">
        <v>3</v>
      </c>
      <c r="C38" s="185" t="s">
        <v>388</v>
      </c>
      <c r="E38" s="92"/>
    </row>
    <row r="39" spans="1:5">
      <c r="A39" s="193" t="s">
        <v>130</v>
      </c>
      <c r="B39" s="105">
        <v>3</v>
      </c>
      <c r="C39" s="185" t="s">
        <v>388</v>
      </c>
      <c r="E39" s="92"/>
    </row>
    <row r="40" spans="1:5">
      <c r="A40" s="193" t="s">
        <v>132</v>
      </c>
      <c r="B40" s="105">
        <v>3</v>
      </c>
      <c r="C40" s="185" t="s">
        <v>388</v>
      </c>
      <c r="E40" s="92"/>
    </row>
    <row r="41" spans="1:5">
      <c r="A41" s="193" t="s">
        <v>134</v>
      </c>
      <c r="B41" s="105">
        <v>3</v>
      </c>
      <c r="C41" s="185" t="s">
        <v>388</v>
      </c>
      <c r="E41" s="92"/>
    </row>
    <row r="42" spans="1:5">
      <c r="A42" s="193" t="s">
        <v>136</v>
      </c>
      <c r="B42" s="105">
        <v>3</v>
      </c>
      <c r="C42" s="185" t="s">
        <v>388</v>
      </c>
      <c r="E42" s="92"/>
    </row>
    <row r="43" spans="1:5">
      <c r="A43" s="193" t="s">
        <v>139</v>
      </c>
      <c r="B43" s="105">
        <v>3</v>
      </c>
      <c r="C43" s="185" t="s">
        <v>388</v>
      </c>
      <c r="E43" s="92"/>
    </row>
    <row r="44" spans="1:5">
      <c r="A44" s="193" t="s">
        <v>141</v>
      </c>
      <c r="B44" s="105">
        <v>3</v>
      </c>
      <c r="C44" s="185" t="s">
        <v>388</v>
      </c>
      <c r="E44" s="92"/>
    </row>
    <row r="45" spans="1:5">
      <c r="A45" s="193" t="s">
        <v>143</v>
      </c>
      <c r="B45" s="105">
        <v>3</v>
      </c>
      <c r="C45" s="185" t="s">
        <v>388</v>
      </c>
      <c r="E45" s="92"/>
    </row>
    <row r="46" spans="1:5">
      <c r="A46" s="193" t="s">
        <v>145</v>
      </c>
      <c r="B46" s="105">
        <v>3</v>
      </c>
      <c r="C46" s="185" t="s">
        <v>388</v>
      </c>
      <c r="E46" s="92"/>
    </row>
    <row r="47" spans="1:5">
      <c r="A47" s="194" t="s">
        <v>324</v>
      </c>
      <c r="B47" s="167">
        <v>3</v>
      </c>
      <c r="C47" s="185" t="s">
        <v>388</v>
      </c>
      <c r="E47" s="92"/>
    </row>
    <row r="48" spans="1:5" ht="15">
      <c r="A48" s="195" t="s">
        <v>149</v>
      </c>
      <c r="B48" s="105">
        <v>4</v>
      </c>
      <c r="C48" s="185" t="s">
        <v>388</v>
      </c>
      <c r="E48" s="92"/>
    </row>
    <row r="49" spans="1:5" ht="15">
      <c r="A49" s="195" t="s">
        <v>150</v>
      </c>
      <c r="B49" s="105">
        <v>4</v>
      </c>
      <c r="C49" s="185" t="s">
        <v>388</v>
      </c>
      <c r="E49" s="92"/>
    </row>
    <row r="50" spans="1:5" ht="15">
      <c r="A50" s="195" t="s">
        <v>151</v>
      </c>
      <c r="B50" s="105">
        <v>4</v>
      </c>
      <c r="C50" s="185" t="s">
        <v>388</v>
      </c>
      <c r="E50" s="92"/>
    </row>
    <row r="51" spans="1:5" ht="15">
      <c r="A51" s="195" t="s">
        <v>152</v>
      </c>
      <c r="B51" s="105">
        <v>4</v>
      </c>
      <c r="C51" s="185" t="s">
        <v>388</v>
      </c>
      <c r="E51" s="92"/>
    </row>
    <row r="52" spans="1:5">
      <c r="A52" s="195" t="s">
        <v>153</v>
      </c>
      <c r="B52" s="105">
        <v>4</v>
      </c>
      <c r="C52" s="185" t="s">
        <v>388</v>
      </c>
      <c r="E52" s="92"/>
    </row>
    <row r="53" spans="1:5">
      <c r="A53" s="195" t="s">
        <v>154</v>
      </c>
      <c r="B53" s="105">
        <v>4</v>
      </c>
      <c r="C53" s="185" t="s">
        <v>388</v>
      </c>
      <c r="E53" s="92"/>
    </row>
    <row r="54" spans="1:5">
      <c r="A54" s="196" t="s">
        <v>155</v>
      </c>
      <c r="B54" s="105">
        <v>4</v>
      </c>
      <c r="C54" s="185" t="s">
        <v>388</v>
      </c>
      <c r="E54" s="92"/>
    </row>
    <row r="55" spans="1:5" ht="15">
      <c r="A55" s="195" t="s">
        <v>156</v>
      </c>
      <c r="B55" s="105">
        <v>4</v>
      </c>
      <c r="C55" s="185" t="s">
        <v>388</v>
      </c>
      <c r="E55" s="92"/>
    </row>
    <row r="56" spans="1:5">
      <c r="A56" s="195" t="s">
        <v>157</v>
      </c>
      <c r="B56" s="105">
        <v>4</v>
      </c>
      <c r="C56" s="185" t="s">
        <v>388</v>
      </c>
      <c r="E56" s="92"/>
    </row>
    <row r="57" spans="1:5">
      <c r="A57" s="195" t="s">
        <v>158</v>
      </c>
      <c r="B57" s="105">
        <v>4</v>
      </c>
      <c r="C57" s="185" t="s">
        <v>388</v>
      </c>
      <c r="E57" s="92"/>
    </row>
    <row r="58" spans="1:5">
      <c r="A58" s="195" t="s">
        <v>159</v>
      </c>
      <c r="B58" s="105">
        <v>4</v>
      </c>
      <c r="C58" s="185" t="s">
        <v>388</v>
      </c>
      <c r="E58" s="92"/>
    </row>
    <row r="59" spans="1:5">
      <c r="A59" s="195" t="s">
        <v>160</v>
      </c>
      <c r="B59" s="105">
        <v>4</v>
      </c>
      <c r="C59" s="185" t="s">
        <v>388</v>
      </c>
      <c r="E59" s="92"/>
    </row>
    <row r="60" spans="1:5" ht="15">
      <c r="A60" s="195" t="s">
        <v>161</v>
      </c>
      <c r="B60" s="105">
        <v>4</v>
      </c>
      <c r="C60" s="185" t="s">
        <v>388</v>
      </c>
      <c r="E60" s="92"/>
    </row>
    <row r="61" spans="1:5" ht="15">
      <c r="A61" s="201" t="s">
        <v>162</v>
      </c>
      <c r="B61" s="5">
        <v>4</v>
      </c>
      <c r="C61" s="202" t="s">
        <v>388</v>
      </c>
      <c r="E61" s="92"/>
    </row>
    <row r="62" spans="1:5" ht="15">
      <c r="A62" s="201" t="s">
        <v>163</v>
      </c>
      <c r="B62" s="5">
        <v>4</v>
      </c>
      <c r="C62" s="202" t="s">
        <v>388</v>
      </c>
      <c r="E62" s="92"/>
    </row>
    <row r="63" spans="1:5" ht="15">
      <c r="A63" s="201" t="s">
        <v>164</v>
      </c>
      <c r="B63" s="5">
        <v>4</v>
      </c>
      <c r="C63" s="202" t="s">
        <v>388</v>
      </c>
      <c r="D63" s="203"/>
      <c r="E63" s="200"/>
    </row>
    <row r="64" spans="1:5" ht="15">
      <c r="A64" s="201" t="s">
        <v>165</v>
      </c>
      <c r="B64" s="5">
        <v>4</v>
      </c>
      <c r="C64" s="202" t="s">
        <v>388</v>
      </c>
      <c r="E64" s="92"/>
    </row>
    <row r="65" spans="1:5" ht="15">
      <c r="A65" s="201" t="s">
        <v>166</v>
      </c>
      <c r="B65" s="5">
        <v>4</v>
      </c>
      <c r="C65" s="202" t="s">
        <v>388</v>
      </c>
      <c r="D65" s="192"/>
      <c r="E65" s="145"/>
    </row>
    <row r="66" spans="1:5" ht="15"/>
    <row r="67" spans="1:5" ht="15"/>
  </sheetData>
  <hyperlinks>
    <hyperlink ref="A12" r:id="rId1" display="alaa.madkour@capgemini.com" xr:uid="{870DDFC0-35FA-48E1-A868-EC5F74F06869}"/>
    <hyperlink ref="A10" r:id="rId2" display="mohamed.abdelgawad@capgemini.com" xr:uid="{0736376F-062E-438D-849A-A5712565C412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C92C2-7A11-4726-9D24-63F27A850D94}">
  <dimension ref="A1:H25"/>
  <sheetViews>
    <sheetView topLeftCell="A23" workbookViewId="0">
      <selection activeCell="B1" sqref="A1:H1"/>
    </sheetView>
  </sheetViews>
  <sheetFormatPr defaultRowHeight="14.45"/>
  <cols>
    <col min="1" max="1" width="3.7109375" customWidth="1"/>
    <col min="2" max="2" width="25.5703125" customWidth="1"/>
    <col min="3" max="3" width="13.7109375" customWidth="1"/>
    <col min="4" max="4" width="16.140625" customWidth="1"/>
    <col min="5" max="5" width="44.42578125" customWidth="1"/>
    <col min="6" max="6" width="12.28515625" bestFit="1" customWidth="1"/>
    <col min="7" max="7" width="10.140625" bestFit="1" customWidth="1"/>
    <col min="8" max="8" width="18" bestFit="1" customWidth="1"/>
  </cols>
  <sheetData>
    <row r="1" spans="1:8" ht="24" customHeight="1">
      <c r="A1" s="224" t="s">
        <v>396</v>
      </c>
      <c r="B1" s="224"/>
      <c r="C1" s="224"/>
      <c r="D1" s="224"/>
      <c r="E1" s="224"/>
      <c r="F1" s="224"/>
      <c r="G1" s="224"/>
      <c r="H1" s="224"/>
    </row>
    <row r="2" spans="1:8">
      <c r="A2" s="130" t="s">
        <v>397</v>
      </c>
      <c r="B2" s="131" t="s">
        <v>398</v>
      </c>
      <c r="C2" s="131" t="s">
        <v>399</v>
      </c>
      <c r="D2" s="131" t="s">
        <v>400</v>
      </c>
      <c r="E2" s="131" t="s">
        <v>401</v>
      </c>
      <c r="F2" s="138" t="s">
        <v>402</v>
      </c>
      <c r="G2" s="138" t="s">
        <v>403</v>
      </c>
      <c r="H2" s="138" t="s">
        <v>404</v>
      </c>
    </row>
    <row r="3" spans="1:8">
      <c r="A3" s="132">
        <v>1</v>
      </c>
      <c r="B3" s="133" t="s">
        <v>20</v>
      </c>
      <c r="C3" s="133" t="s">
        <v>215</v>
      </c>
      <c r="D3" s="133" t="s">
        <v>216</v>
      </c>
      <c r="E3" s="133" t="s">
        <v>21</v>
      </c>
      <c r="F3" s="105" t="s">
        <v>405</v>
      </c>
      <c r="G3" s="105" t="s">
        <v>405</v>
      </c>
      <c r="H3" s="105" t="s">
        <v>405</v>
      </c>
    </row>
    <row r="4" spans="1:8">
      <c r="A4" s="134">
        <v>2</v>
      </c>
      <c r="B4" s="135" t="s">
        <v>118</v>
      </c>
      <c r="C4" s="135" t="s">
        <v>48</v>
      </c>
      <c r="D4" t="s">
        <v>229</v>
      </c>
      <c r="E4" s="135" t="s">
        <v>24</v>
      </c>
      <c r="F4" s="105" t="s">
        <v>405</v>
      </c>
      <c r="G4" s="105" t="s">
        <v>405</v>
      </c>
      <c r="H4" s="105" t="s">
        <v>405</v>
      </c>
    </row>
    <row r="5" spans="1:8">
      <c r="A5" s="132">
        <v>3</v>
      </c>
      <c r="B5" s="133" t="s">
        <v>26</v>
      </c>
      <c r="C5" s="133" t="s">
        <v>351</v>
      </c>
      <c r="D5" s="133" t="s">
        <v>224</v>
      </c>
      <c r="E5" s="133" t="s">
        <v>27</v>
      </c>
      <c r="F5" s="105" t="s">
        <v>405</v>
      </c>
      <c r="G5" s="105" t="s">
        <v>405</v>
      </c>
      <c r="H5" s="105" t="s">
        <v>405</v>
      </c>
    </row>
    <row r="6" spans="1:8">
      <c r="A6" s="134">
        <v>4</v>
      </c>
      <c r="B6" s="135" t="s">
        <v>29</v>
      </c>
      <c r="C6" s="135" t="s">
        <v>275</v>
      </c>
      <c r="D6" s="135" t="s">
        <v>276</v>
      </c>
      <c r="E6" s="135" t="s">
        <v>30</v>
      </c>
      <c r="F6" s="105" t="s">
        <v>405</v>
      </c>
      <c r="G6" s="105" t="s">
        <v>405</v>
      </c>
      <c r="H6" s="105" t="s">
        <v>405</v>
      </c>
    </row>
    <row r="7" spans="1:8">
      <c r="A7" s="132">
        <v>5</v>
      </c>
      <c r="B7" s="133" t="s">
        <v>32</v>
      </c>
      <c r="C7" s="133" t="s">
        <v>266</v>
      </c>
      <c r="D7" s="133" t="s">
        <v>267</v>
      </c>
      <c r="E7" s="133" t="s">
        <v>33</v>
      </c>
      <c r="F7" s="105" t="s">
        <v>405</v>
      </c>
      <c r="G7" s="105" t="s">
        <v>405</v>
      </c>
      <c r="H7" s="105" t="s">
        <v>405</v>
      </c>
    </row>
    <row r="8" spans="1:8">
      <c r="A8" s="134">
        <v>6</v>
      </c>
      <c r="B8" s="135" t="s">
        <v>35</v>
      </c>
      <c r="C8" s="135" t="s">
        <v>204</v>
      </c>
      <c r="D8" s="135" t="s">
        <v>205</v>
      </c>
      <c r="E8" s="135" t="s">
        <v>36</v>
      </c>
      <c r="F8" s="105" t="s">
        <v>405</v>
      </c>
      <c r="G8" s="105" t="s">
        <v>405</v>
      </c>
      <c r="H8" s="105" t="s">
        <v>405</v>
      </c>
    </row>
    <row r="9" spans="1:8">
      <c r="A9" s="132">
        <v>7</v>
      </c>
      <c r="B9" s="133" t="s">
        <v>352</v>
      </c>
      <c r="C9" s="133" t="s">
        <v>48</v>
      </c>
      <c r="D9" s="133" t="s">
        <v>238</v>
      </c>
      <c r="E9" s="133" t="s">
        <v>353</v>
      </c>
      <c r="F9" s="105" t="s">
        <v>405</v>
      </c>
      <c r="G9" s="105"/>
      <c r="H9" s="105" t="s">
        <v>405</v>
      </c>
    </row>
    <row r="10" spans="1:8">
      <c r="A10" s="134">
        <v>8</v>
      </c>
      <c r="B10" s="135" t="s">
        <v>354</v>
      </c>
      <c r="C10" s="135" t="s">
        <v>43</v>
      </c>
      <c r="D10" s="135" t="s">
        <v>44</v>
      </c>
      <c r="E10" s="135" t="s">
        <v>355</v>
      </c>
      <c r="F10" s="105" t="s">
        <v>405</v>
      </c>
      <c r="G10" s="105"/>
      <c r="H10" s="105" t="s">
        <v>405</v>
      </c>
    </row>
    <row r="11" spans="1:8">
      <c r="A11" s="132">
        <v>9</v>
      </c>
      <c r="B11" s="133" t="s">
        <v>47</v>
      </c>
      <c r="C11" s="133" t="s">
        <v>48</v>
      </c>
      <c r="D11" s="133" t="s">
        <v>49</v>
      </c>
      <c r="E11" s="133" t="s">
        <v>50</v>
      </c>
      <c r="F11" s="105" t="s">
        <v>405</v>
      </c>
      <c r="G11" s="105"/>
      <c r="H11" s="105" t="s">
        <v>405</v>
      </c>
    </row>
    <row r="12" spans="1:8">
      <c r="A12" s="134">
        <v>10</v>
      </c>
      <c r="B12" s="135" t="s">
        <v>52</v>
      </c>
      <c r="C12" s="135" t="s">
        <v>53</v>
      </c>
      <c r="D12" s="135" t="s">
        <v>54</v>
      </c>
      <c r="E12" s="135" t="s">
        <v>55</v>
      </c>
      <c r="F12" s="105" t="s">
        <v>405</v>
      </c>
      <c r="G12" s="105"/>
      <c r="H12" s="105" t="s">
        <v>405</v>
      </c>
    </row>
    <row r="13" spans="1:8">
      <c r="A13" s="132">
        <v>11</v>
      </c>
      <c r="B13" s="133" t="s">
        <v>56</v>
      </c>
      <c r="C13" s="133" t="s">
        <v>57</v>
      </c>
      <c r="D13" s="133" t="s">
        <v>58</v>
      </c>
      <c r="E13" s="133" t="s">
        <v>59</v>
      </c>
      <c r="F13" s="105" t="s">
        <v>405</v>
      </c>
      <c r="G13" s="105"/>
      <c r="H13" s="105" t="s">
        <v>405</v>
      </c>
    </row>
    <row r="14" spans="1:8">
      <c r="A14" s="134">
        <v>12</v>
      </c>
      <c r="B14" s="135" t="s">
        <v>61</v>
      </c>
      <c r="C14" s="135" t="s">
        <v>110</v>
      </c>
      <c r="D14" s="135" t="s">
        <v>62</v>
      </c>
      <c r="E14" s="135" t="s">
        <v>63</v>
      </c>
      <c r="F14" s="105" t="s">
        <v>405</v>
      </c>
      <c r="G14" s="105"/>
      <c r="H14" s="105" t="s">
        <v>405</v>
      </c>
    </row>
    <row r="15" spans="1:8">
      <c r="A15" s="132">
        <v>13</v>
      </c>
      <c r="B15" s="133" t="s">
        <v>67</v>
      </c>
      <c r="C15" s="133" t="s">
        <v>243</v>
      </c>
      <c r="D15" s="133" t="s">
        <v>227</v>
      </c>
      <c r="E15" s="133" t="s">
        <v>68</v>
      </c>
      <c r="F15" s="105" t="s">
        <v>405</v>
      </c>
      <c r="G15" s="105"/>
      <c r="H15" s="105" t="s">
        <v>405</v>
      </c>
    </row>
    <row r="16" spans="1:8">
      <c r="A16" s="134">
        <v>14</v>
      </c>
      <c r="B16" s="135" t="s">
        <v>70</v>
      </c>
      <c r="C16" s="135" t="s">
        <v>198</v>
      </c>
      <c r="D16" s="135" t="s">
        <v>360</v>
      </c>
      <c r="E16" s="135" t="s">
        <v>71</v>
      </c>
      <c r="F16" s="105" t="s">
        <v>405</v>
      </c>
      <c r="G16" s="105"/>
      <c r="H16" s="105" t="s">
        <v>405</v>
      </c>
    </row>
    <row r="17" spans="1:8">
      <c r="A17" s="132">
        <v>15</v>
      </c>
      <c r="B17" s="133" t="s">
        <v>72</v>
      </c>
      <c r="C17" s="133" t="s">
        <v>43</v>
      </c>
      <c r="D17" s="133" t="s">
        <v>73</v>
      </c>
      <c r="E17" s="133" t="s">
        <v>74</v>
      </c>
      <c r="F17" s="105" t="s">
        <v>405</v>
      </c>
      <c r="G17" s="105"/>
      <c r="H17" s="105" t="s">
        <v>405</v>
      </c>
    </row>
    <row r="18" spans="1:8">
      <c r="A18" s="134">
        <v>16</v>
      </c>
      <c r="B18" s="135" t="s">
        <v>75</v>
      </c>
      <c r="C18" s="135" t="s">
        <v>48</v>
      </c>
      <c r="D18" s="135" t="s">
        <v>169</v>
      </c>
      <c r="E18" s="135" t="s">
        <v>76</v>
      </c>
      <c r="F18" s="105" t="s">
        <v>405</v>
      </c>
      <c r="G18" s="105"/>
      <c r="H18" s="105" t="s">
        <v>405</v>
      </c>
    </row>
    <row r="19" spans="1:8">
      <c r="A19" s="132">
        <v>17</v>
      </c>
      <c r="B19" s="133" t="s">
        <v>78</v>
      </c>
      <c r="C19" s="133" t="s">
        <v>201</v>
      </c>
      <c r="D19" s="133" t="s">
        <v>202</v>
      </c>
      <c r="E19" s="133" t="s">
        <v>79</v>
      </c>
      <c r="F19" s="105" t="s">
        <v>405</v>
      </c>
      <c r="G19" s="105"/>
      <c r="H19" s="105" t="s">
        <v>405</v>
      </c>
    </row>
    <row r="20" spans="1:8">
      <c r="A20" s="134">
        <v>18</v>
      </c>
      <c r="B20" s="135" t="s">
        <v>80</v>
      </c>
      <c r="C20" s="135" t="s">
        <v>43</v>
      </c>
      <c r="D20" s="135" t="s">
        <v>362</v>
      </c>
      <c r="E20" s="135" t="s">
        <v>81</v>
      </c>
      <c r="F20" s="105" t="s">
        <v>405</v>
      </c>
      <c r="G20" s="105"/>
      <c r="H20" s="105" t="s">
        <v>405</v>
      </c>
    </row>
    <row r="21" spans="1:8">
      <c r="A21" s="132">
        <v>19</v>
      </c>
      <c r="B21" s="133" t="s">
        <v>82</v>
      </c>
      <c r="C21" s="133" t="s">
        <v>43</v>
      </c>
      <c r="D21" s="133" t="s">
        <v>49</v>
      </c>
      <c r="E21" s="133" t="s">
        <v>83</v>
      </c>
      <c r="F21" s="105" t="s">
        <v>405</v>
      </c>
      <c r="G21" s="105"/>
      <c r="H21" s="105" t="s">
        <v>405</v>
      </c>
    </row>
    <row r="22" spans="1:8">
      <c r="A22" s="134">
        <v>20</v>
      </c>
      <c r="B22" s="135" t="s">
        <v>84</v>
      </c>
      <c r="C22" s="135" t="s">
        <v>351</v>
      </c>
      <c r="D22" s="135" t="s">
        <v>48</v>
      </c>
      <c r="E22" s="135" t="s">
        <v>85</v>
      </c>
      <c r="F22" s="105" t="s">
        <v>405</v>
      </c>
      <c r="G22" s="105"/>
      <c r="H22" s="105" t="s">
        <v>405</v>
      </c>
    </row>
    <row r="23" spans="1:8">
      <c r="A23" s="132">
        <v>21</v>
      </c>
      <c r="B23" s="133" t="s">
        <v>86</v>
      </c>
      <c r="C23" s="133" t="s">
        <v>48</v>
      </c>
      <c r="D23" s="133" t="s">
        <v>227</v>
      </c>
      <c r="E23" s="133" t="s">
        <v>87</v>
      </c>
      <c r="F23" s="105" t="s">
        <v>405</v>
      </c>
      <c r="G23" s="105"/>
      <c r="H23" s="105" t="s">
        <v>405</v>
      </c>
    </row>
    <row r="24" spans="1:8">
      <c r="A24" s="134">
        <v>22</v>
      </c>
      <c r="B24" s="135" t="s">
        <v>88</v>
      </c>
      <c r="C24" s="135" t="s">
        <v>231</v>
      </c>
      <c r="D24" s="135" t="s">
        <v>365</v>
      </c>
      <c r="E24" s="135" t="s">
        <v>89</v>
      </c>
      <c r="F24" s="105" t="s">
        <v>405</v>
      </c>
      <c r="G24" s="105"/>
      <c r="H24" s="105" t="s">
        <v>405</v>
      </c>
    </row>
    <row r="25" spans="1:8">
      <c r="A25" s="136">
        <v>23</v>
      </c>
      <c r="B25" s="137" t="s">
        <v>90</v>
      </c>
      <c r="C25" s="137" t="s">
        <v>366</v>
      </c>
      <c r="D25" s="137" t="s">
        <v>43</v>
      </c>
      <c r="E25" s="137" t="s">
        <v>91</v>
      </c>
      <c r="F25" s="105" t="s">
        <v>405</v>
      </c>
      <c r="G25" s="105"/>
      <c r="H25" s="105" t="s">
        <v>405</v>
      </c>
    </row>
  </sheetData>
  <mergeCells count="1">
    <mergeCell ref="A1:H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2026-10-14T09:16:55Z</dcterms:created>
  <dcterms:modified xsi:type="dcterms:W3CDTF">2026-10-14T14:36:40Z</dcterms:modified>
  <cp:category/>
  <cp:contentStatus/>
</cp:coreProperties>
</file>