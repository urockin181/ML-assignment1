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.sharepoint.com/sites/delavalegsd/Shared Documents/Measurement and Reporting/Scorecard Backend/FCR/2026/"/>
    </mc:Choice>
  </mc:AlternateContent>
  <xr:revisionPtr revIDLastSave="790" documentId="13_ncr:1_{71D7BC4C-9F45-484E-AD28-0AF9F012F4AC}" xr6:coauthVersionLast="47" xr6:coauthVersionMax="47" xr10:uidLastSave="{55461559-5D51-4FDE-8127-B35B597DA389}"/>
  <bookViews>
    <workbookView xWindow="-110" yWindow="-110" windowWidth="19420" windowHeight="11500" activeTab="1" xr2:uid="{8FFE897E-D4F9-41E6-B209-1205C7BBD38E}"/>
  </bookViews>
  <sheets>
    <sheet name="All Team" sheetId="1" r:id="rId1"/>
    <sheet name="L2 Tas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11" i="1" s="1"/>
  <c r="I3" i="1"/>
  <c r="I2" i="1"/>
  <c r="D3" i="1"/>
  <c r="D2" i="1"/>
  <c r="I4" i="1" l="1"/>
  <c r="D4" i="1"/>
</calcChain>
</file>

<file path=xl/sharedStrings.xml><?xml version="1.0" encoding="utf-8"?>
<sst xmlns="http://schemas.openxmlformats.org/spreadsheetml/2006/main" count="27" uniqueCount="18">
  <si>
    <t>Team FCR</t>
  </si>
  <si>
    <t>Tasks</t>
  </si>
  <si>
    <t>Incidents</t>
  </si>
  <si>
    <t>SD Contributions</t>
  </si>
  <si>
    <t>FCR</t>
  </si>
  <si>
    <t>Resolved by Service Desk</t>
  </si>
  <si>
    <t>Non FCR</t>
  </si>
  <si>
    <t>Resolved by other groups</t>
  </si>
  <si>
    <t>SD Contributions w/o Hardware</t>
  </si>
  <si>
    <t>Name</t>
  </si>
  <si>
    <t>Solved Assigned</t>
  </si>
  <si>
    <t>Total Assigned</t>
  </si>
  <si>
    <t>FCR Percentage</t>
  </si>
  <si>
    <t>Mohamed Elezaby</t>
  </si>
  <si>
    <t>Fady Farid</t>
  </si>
  <si>
    <t>Mohamed Aly</t>
  </si>
  <si>
    <t>Amr Elsherbiny</t>
  </si>
  <si>
    <t>Avg, 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</si>
</sst>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1" applyNumberFormat="1" applyFont="1"/>
    <xf numFmtId="10" fontId="0" fillId="0" borderId="3" xfId="1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3FF1-F2E0-448E-B4F4-97A3BE99F830}">
  <dimension ref="A1:J12"/>
  <sheetViews>
    <sheetView zoomScale="79" zoomScaleNormal="130" workbookViewId="0">
      <selection activeCell="E23" sqref="E23"/>
    </sheetView>
  </sheetViews>
  <sheetFormatPr defaultRowHeight="14.45"/>
  <cols>
    <col min="1" max="1" width="23.85546875" bestFit="1" customWidth="1"/>
    <col min="4" max="4" width="11.42578125" bestFit="1" customWidth="1"/>
    <col min="6" max="6" width="29.42578125" bestFit="1" customWidth="1"/>
  </cols>
  <sheetData>
    <row r="1" spans="1:10">
      <c r="A1" s="1" t="s">
        <v>0</v>
      </c>
      <c r="B1" s="15" t="s">
        <v>1</v>
      </c>
      <c r="C1" s="16" t="s">
        <v>2</v>
      </c>
      <c r="D1" s="1"/>
      <c r="F1" s="1" t="s">
        <v>3</v>
      </c>
      <c r="G1" s="15" t="s">
        <v>1</v>
      </c>
      <c r="H1" s="16" t="s">
        <v>2</v>
      </c>
      <c r="I1" s="1"/>
    </row>
    <row r="2" spans="1:10">
      <c r="A2" s="15" t="s">
        <v>4</v>
      </c>
      <c r="B2" s="3">
        <v>453</v>
      </c>
      <c r="C2" s="3">
        <v>186</v>
      </c>
      <c r="D2" s="17">
        <f>B2+C2</f>
        <v>639</v>
      </c>
      <c r="F2" s="15" t="s">
        <v>5</v>
      </c>
      <c r="G2" s="3">
        <v>453</v>
      </c>
      <c r="H2" s="3">
        <v>186</v>
      </c>
      <c r="I2" s="17">
        <f>G2+H2</f>
        <v>639</v>
      </c>
    </row>
    <row r="3" spans="1:10">
      <c r="A3" s="18" t="s">
        <v>6</v>
      </c>
      <c r="B3" s="3">
        <v>462</v>
      </c>
      <c r="C3" s="5">
        <v>209</v>
      </c>
      <c r="D3" s="17">
        <f>B3+C3</f>
        <v>671</v>
      </c>
      <c r="F3" s="18" t="s">
        <v>7</v>
      </c>
      <c r="G3" s="3">
        <v>537</v>
      </c>
      <c r="H3" s="5">
        <v>365</v>
      </c>
      <c r="I3" s="17">
        <f>G3+H3</f>
        <v>902</v>
      </c>
    </row>
    <row r="4" spans="1:10">
      <c r="A4" s="1"/>
      <c r="B4" s="1"/>
      <c r="C4" s="19" t="s">
        <v>4</v>
      </c>
      <c r="D4" s="20">
        <f>D2/D3*100</f>
        <v>95.230998509687041</v>
      </c>
      <c r="F4" s="1"/>
      <c r="G4" s="1"/>
      <c r="H4" s="19" t="s">
        <v>4</v>
      </c>
      <c r="I4" s="20">
        <f>I2/I3*100</f>
        <v>70.842572062084258</v>
      </c>
    </row>
    <row r="7" spans="1:10">
      <c r="E7" s="21"/>
      <c r="F7" s="22"/>
      <c r="G7" s="22"/>
      <c r="H7" s="22"/>
      <c r="I7" s="22"/>
      <c r="J7" s="23"/>
    </row>
    <row r="8" spans="1:10">
      <c r="E8" s="24"/>
      <c r="F8" s="1" t="s">
        <v>8</v>
      </c>
      <c r="G8" s="15" t="s">
        <v>1</v>
      </c>
      <c r="H8" s="16" t="s">
        <v>2</v>
      </c>
      <c r="I8" s="1"/>
      <c r="J8" s="25"/>
    </row>
    <row r="9" spans="1:10">
      <c r="E9" s="24"/>
      <c r="F9" s="15" t="s">
        <v>5</v>
      </c>
      <c r="G9" s="3">
        <v>512</v>
      </c>
      <c r="H9" s="3">
        <v>277</v>
      </c>
      <c r="I9" s="17">
        <f>G9+H9</f>
        <v>789</v>
      </c>
      <c r="J9" s="25"/>
    </row>
    <row r="10" spans="1:10">
      <c r="E10" s="24"/>
      <c r="F10" s="18" t="s">
        <v>7</v>
      </c>
      <c r="G10" s="3">
        <v>489</v>
      </c>
      <c r="H10" s="5">
        <v>702</v>
      </c>
      <c r="I10" s="17">
        <f>G10+H10</f>
        <v>1191</v>
      </c>
      <c r="J10" s="25"/>
    </row>
    <row r="11" spans="1:10">
      <c r="E11" s="24"/>
      <c r="F11" s="1"/>
      <c r="G11" s="1"/>
      <c r="H11" s="19" t="s">
        <v>4</v>
      </c>
      <c r="I11" s="20">
        <f>I9/I10*100</f>
        <v>66.246851385390428</v>
      </c>
      <c r="J11" s="25"/>
    </row>
    <row r="12" spans="1:10">
      <c r="E12" s="26"/>
      <c r="F12" s="27"/>
      <c r="G12" s="27"/>
      <c r="H12" s="27"/>
      <c r="I12" s="27"/>
      <c r="J12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2855-BD81-4D1E-BE2A-A946BDC052DB}">
  <dimension ref="A1:F8"/>
  <sheetViews>
    <sheetView tabSelected="1" zoomScale="88" zoomScaleNormal="130" workbookViewId="0">
      <selection activeCell="E8" sqref="E8"/>
    </sheetView>
  </sheetViews>
  <sheetFormatPr defaultRowHeight="14.45"/>
  <cols>
    <col min="2" max="2" width="19.85546875" customWidth="1"/>
    <col min="3" max="3" width="15.5703125" bestFit="1" customWidth="1"/>
    <col min="4" max="4" width="14" bestFit="1" customWidth="1"/>
    <col min="5" max="5" width="14.85546875" bestFit="1" customWidth="1"/>
    <col min="6" max="6" width="144.42578125" bestFit="1" customWidth="1"/>
  </cols>
  <sheetData>
    <row r="1" spans="1:6">
      <c r="A1" s="2"/>
      <c r="B1" s="11" t="s">
        <v>9</v>
      </c>
      <c r="C1" s="11" t="s">
        <v>10</v>
      </c>
      <c r="D1" s="11" t="s">
        <v>11</v>
      </c>
      <c r="E1" s="11" t="s">
        <v>12</v>
      </c>
      <c r="F1" s="12"/>
    </row>
    <row r="2" spans="1:6">
      <c r="A2" s="1"/>
      <c r="B2" s="3" t="s">
        <v>13</v>
      </c>
      <c r="C2" s="3">
        <v>20</v>
      </c>
      <c r="D2" s="3">
        <v>20</v>
      </c>
      <c r="E2" s="10">
        <v>1</v>
      </c>
      <c r="F2" s="7"/>
    </row>
    <row r="3" spans="1:6">
      <c r="A3" s="1"/>
      <c r="B3" s="3" t="s">
        <v>14</v>
      </c>
      <c r="C3" s="3">
        <v>46</v>
      </c>
      <c r="D3" s="3">
        <v>46</v>
      </c>
      <c r="E3" s="4">
        <v>1</v>
      </c>
      <c r="F3" s="7"/>
    </row>
    <row r="4" spans="1:6">
      <c r="A4" s="1"/>
      <c r="B4" s="3" t="s">
        <v>15</v>
      </c>
      <c r="C4" s="3">
        <v>61</v>
      </c>
      <c r="D4" s="3">
        <v>63</v>
      </c>
      <c r="E4" s="4">
        <v>0.96819999999999995</v>
      </c>
      <c r="F4" s="8"/>
    </row>
    <row r="5" spans="1:6">
      <c r="A5" s="1"/>
      <c r="B5" s="3" t="s">
        <v>16</v>
      </c>
      <c r="C5" s="3">
        <v>35</v>
      </c>
      <c r="D5" s="5">
        <v>35</v>
      </c>
      <c r="E5" s="6">
        <v>1</v>
      </c>
      <c r="F5" s="8"/>
    </row>
    <row r="6" spans="1:6">
      <c r="D6" s="13" t="s">
        <v>17</v>
      </c>
      <c r="E6" s="14">
        <v>0.99209999999999998</v>
      </c>
    </row>
    <row r="8" spans="1:6">
      <c r="D8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3ca2b-5fce-4a9b-a347-41567bd26e83" xsi:nil="true"/>
    <lcf76f155ced4ddcb4097134ff3c332f xmlns="3f5a69d0-e1ac-4b3f-83fc-166928e167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A3843435C98448DDDBB617AEABBB0" ma:contentTypeVersion="14" ma:contentTypeDescription="Create a new document." ma:contentTypeScope="" ma:versionID="8fa7374002ef148184fcd254132e9339">
  <xsd:schema xmlns:xsd="http://www.w3.org/2001/XMLSchema" xmlns:xs="http://www.w3.org/2001/XMLSchema" xmlns:p="http://schemas.microsoft.com/office/2006/metadata/properties" xmlns:ns2="3f5a69d0-e1ac-4b3f-83fc-166928e16781" xmlns:ns3="e8c3ca2b-5fce-4a9b-a347-41567bd26e83" targetNamespace="http://schemas.microsoft.com/office/2006/metadata/properties" ma:root="true" ma:fieldsID="f7375f114d7a313394bd15f2f175ab41" ns2:_="" ns3:_="">
    <xsd:import namespace="3f5a69d0-e1ac-4b3f-83fc-166928e16781"/>
    <xsd:import namespace="e8c3ca2b-5fce-4a9b-a347-41567bd26e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a69d0-e1ac-4b3f-83fc-166928e16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3ca2b-5fce-4a9b-a347-41567bd26e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07b69f-5ba5-43e0-9f94-2a93b7af0a3b}" ma:internalName="TaxCatchAll" ma:showField="CatchAllData" ma:web="e8c3ca2b-5fce-4a9b-a347-41567bd26e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CA9060-6125-43F7-BDE7-EBC1C2CE8F24}"/>
</file>

<file path=customXml/itemProps2.xml><?xml version="1.0" encoding="utf-8"?>
<ds:datastoreItem xmlns:ds="http://schemas.openxmlformats.org/officeDocument/2006/customXml" ds:itemID="{F1DD991A-7DB7-4793-AD1B-226B7DB57D72}"/>
</file>

<file path=customXml/itemProps3.xml><?xml version="1.0" encoding="utf-8"?>
<ds:datastoreItem xmlns:ds="http://schemas.openxmlformats.org/officeDocument/2006/customXml" ds:itemID="{85D1F538-B237-47C7-B58D-DCF572F84E6D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Khodir, Omar</dc:creator>
  <cp:keywords/>
  <dc:description/>
  <cp:lastModifiedBy>Dahshan, Maha</cp:lastModifiedBy>
  <cp:revision/>
  <dcterms:created xsi:type="dcterms:W3CDTF">2024-06-03T12:29:49Z</dcterms:created>
  <dcterms:modified xsi:type="dcterms:W3CDTF">2026-10-12T08:24:27Z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0x010100259A3843435C98448DDDBB617AEABBB0</vt:lpwstr>
  </property>
  <property fmtid="{D5CDD505-2E9C-101B-9397-08002B2CF9AE}" pid="3" name="MediaServiceImageTags">
    <vt:lpwstr/>
  </property>
</Properties>
</file>