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okhodir\OneDrive - Capgemini\Desktop\Rotas\2026\"/>
    </mc:Choice>
  </mc:AlternateContent>
  <xr:revisionPtr revIDLastSave="223" documentId="13_ncr:1_{7C9D248D-98CD-4A0B-BE2C-65EC8BC6D869}" xr6:coauthVersionLast="47" xr6:coauthVersionMax="47" xr10:uidLastSave="{A7EB93FC-8BC0-483E-931D-96AEC983390E}"/>
  <bookViews>
    <workbookView xWindow="28680" yWindow="750" windowWidth="29040" windowHeight="15720" tabRatio="224" activeTab="4" xr2:uid="{00000000-000D-0000-FFFF-FFFF00000000}"/>
  </bookViews>
  <sheets>
    <sheet name="L1" sheetId="1" r:id="rId1"/>
    <sheet name="L2" sheetId="9" r:id="rId2"/>
    <sheet name="BO" sheetId="10" r:id="rId3"/>
    <sheet name="WFH" sheetId="13" state="hidden" r:id="rId4"/>
    <sheet name="Testing" sheetId="14" r:id="rId5"/>
  </sheets>
  <externalReferences>
    <externalReference r:id="rId6"/>
  </externalReferences>
  <definedNames>
    <definedName name="_xlnm._FilterDatabase" localSheetId="0" hidden="1">'L1'!$C$11:$AG$32</definedName>
    <definedName name="_xlnm._FilterDatabase" localSheetId="4" hidden="1">Testing!$A$1:$C$466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" i="1" l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I10" i="1"/>
  <c r="BJ10" i="1"/>
  <c r="BK10" i="1"/>
  <c r="BL10" i="1"/>
  <c r="BI9" i="1"/>
  <c r="BJ9" i="1"/>
  <c r="BK9" i="1"/>
  <c r="BL9" i="1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L20" i="1"/>
  <c r="M20" i="1"/>
  <c r="T14" i="1"/>
  <c r="Z17" i="1"/>
  <c r="BI8" i="1"/>
  <c r="BJ8" i="1"/>
  <c r="AD20" i="1" s="1"/>
  <c r="BK8" i="1"/>
  <c r="BL8" i="1"/>
  <c r="AO7" i="10"/>
  <c r="AP7" i="10"/>
  <c r="AQ7" i="10"/>
  <c r="AR7" i="10"/>
  <c r="AS7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BJ7" i="10"/>
  <c r="BK7" i="10"/>
  <c r="BL7" i="10"/>
  <c r="E20" i="1"/>
  <c r="F20" i="1"/>
  <c r="G20" i="1"/>
  <c r="H20" i="1"/>
  <c r="I20" i="1"/>
  <c r="J20" i="1"/>
  <c r="K20" i="1"/>
  <c r="N20" i="1"/>
  <c r="O20" i="1"/>
  <c r="P20" i="1"/>
  <c r="Q20" i="1"/>
  <c r="R20" i="1"/>
  <c r="S20" i="1"/>
  <c r="U20" i="1"/>
  <c r="V20" i="1"/>
  <c r="W20" i="1"/>
  <c r="X20" i="1"/>
  <c r="Y20" i="1"/>
  <c r="AA20" i="1"/>
  <c r="AC20" i="1"/>
  <c r="AE20" i="1"/>
  <c r="AF20" i="1"/>
  <c r="AG20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C13" i="1"/>
  <c r="AE13" i="1"/>
  <c r="AF13" i="1"/>
  <c r="AG13" i="1"/>
  <c r="T22" i="1"/>
  <c r="U22" i="1"/>
  <c r="V22" i="1"/>
  <c r="W22" i="1"/>
  <c r="X22" i="1"/>
  <c r="Y22" i="1"/>
  <c r="Z22" i="1"/>
  <c r="D14" i="1"/>
  <c r="D15" i="1"/>
  <c r="D16" i="1"/>
  <c r="D17" i="1"/>
  <c r="D18" i="1"/>
  <c r="D19" i="1"/>
  <c r="D20" i="1"/>
  <c r="G14" i="1"/>
  <c r="H14" i="1"/>
  <c r="G15" i="1"/>
  <c r="H15" i="1"/>
  <c r="G16" i="1"/>
  <c r="H16" i="1"/>
  <c r="G17" i="1"/>
  <c r="H17" i="1"/>
  <c r="G18" i="1"/>
  <c r="H18" i="1"/>
  <c r="G19" i="1"/>
  <c r="H19" i="1"/>
  <c r="I14" i="1"/>
  <c r="I15" i="1"/>
  <c r="I16" i="1"/>
  <c r="I17" i="1"/>
  <c r="I18" i="1"/>
  <c r="I19" i="1"/>
  <c r="D13" i="1"/>
  <c r="D21" i="1"/>
  <c r="D22" i="1"/>
  <c r="D23" i="1"/>
  <c r="D24" i="1"/>
  <c r="D25" i="1"/>
  <c r="D26" i="1"/>
  <c r="D27" i="1"/>
  <c r="D28" i="1"/>
  <c r="D29" i="1"/>
  <c r="D30" i="1"/>
  <c r="D31" i="1"/>
  <c r="E13" i="1"/>
  <c r="F13" i="1"/>
  <c r="G13" i="1"/>
  <c r="H13" i="1"/>
  <c r="E14" i="1"/>
  <c r="F14" i="1"/>
  <c r="J14" i="1"/>
  <c r="K14" i="1"/>
  <c r="L14" i="1"/>
  <c r="M14" i="1"/>
  <c r="N14" i="1"/>
  <c r="O14" i="1"/>
  <c r="P14" i="1"/>
  <c r="Q14" i="1"/>
  <c r="R14" i="1"/>
  <c r="S14" i="1"/>
  <c r="U14" i="1"/>
  <c r="V14" i="1"/>
  <c r="W14" i="1"/>
  <c r="X14" i="1"/>
  <c r="Y14" i="1"/>
  <c r="Z14" i="1"/>
  <c r="AA14" i="1"/>
  <c r="AC14" i="1"/>
  <c r="AD14" i="1"/>
  <c r="AE14" i="1"/>
  <c r="AF14" i="1"/>
  <c r="AG14" i="1"/>
  <c r="E15" i="1"/>
  <c r="F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C15" i="1"/>
  <c r="AD15" i="1"/>
  <c r="AE15" i="1"/>
  <c r="AF15" i="1"/>
  <c r="AG15" i="1"/>
  <c r="E16" i="1"/>
  <c r="F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C16" i="1"/>
  <c r="AD16" i="1"/>
  <c r="AE16" i="1"/>
  <c r="AF16" i="1"/>
  <c r="AG16" i="1"/>
  <c r="E17" i="1"/>
  <c r="F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AA17" i="1"/>
  <c r="AC17" i="1"/>
  <c r="AD17" i="1"/>
  <c r="AE17" i="1"/>
  <c r="AF17" i="1"/>
  <c r="AG17" i="1"/>
  <c r="E18" i="1"/>
  <c r="F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C18" i="1"/>
  <c r="AD18" i="1"/>
  <c r="AE18" i="1"/>
  <c r="AF18" i="1"/>
  <c r="AG18" i="1"/>
  <c r="E19" i="1"/>
  <c r="F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C19" i="1"/>
  <c r="AD19" i="1"/>
  <c r="AE19" i="1"/>
  <c r="AF19" i="1"/>
  <c r="AG19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C21" i="1"/>
  <c r="AD21" i="1"/>
  <c r="AE21" i="1"/>
  <c r="AF21" i="1"/>
  <c r="AG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AA22" i="1"/>
  <c r="AB22" i="1"/>
  <c r="AC22" i="1"/>
  <c r="AD22" i="1"/>
  <c r="AE22" i="1"/>
  <c r="AF22" i="1"/>
  <c r="AG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I6" i="1"/>
  <c r="BJ6" i="1"/>
  <c r="BK6" i="1"/>
  <c r="BL6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I7" i="1"/>
  <c r="BJ7" i="1"/>
  <c r="BK7" i="1"/>
  <c r="BL7" i="1"/>
  <c r="BL4" i="1"/>
  <c r="BL5" i="1"/>
  <c r="BL3" i="1"/>
  <c r="BK4" i="1"/>
  <c r="BK5" i="1"/>
  <c r="BK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AP4" i="1"/>
  <c r="AP5" i="1"/>
  <c r="AP3" i="1"/>
  <c r="BK4" i="9"/>
  <c r="BK5" i="9"/>
  <c r="BK6" i="9"/>
  <c r="BK3" i="9"/>
  <c r="BJ4" i="9"/>
  <c r="BJ5" i="9"/>
  <c r="BJ6" i="9"/>
  <c r="BJ3" i="9"/>
  <c r="BH4" i="9"/>
  <c r="BH5" i="9"/>
  <c r="BH6" i="9"/>
  <c r="BH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AM4" i="9"/>
  <c r="AM5" i="9"/>
  <c r="AM6" i="9"/>
  <c r="BL4" i="10"/>
  <c r="BL5" i="10"/>
  <c r="BL6" i="10"/>
  <c r="BL3" i="10"/>
  <c r="BK4" i="10"/>
  <c r="BK5" i="10"/>
  <c r="BK6" i="10"/>
  <c r="BK3" i="10"/>
  <c r="BJ4" i="10"/>
  <c r="BJ5" i="10"/>
  <c r="BJ6" i="10"/>
  <c r="BJ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E3" i="10"/>
  <c r="BF3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BD4" i="10"/>
  <c r="BE4" i="10"/>
  <c r="BF4" i="10"/>
  <c r="AP5" i="10"/>
  <c r="AQ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AP6" i="10"/>
  <c r="AQ6" i="10"/>
  <c r="AR6" i="10"/>
  <c r="AS6" i="10"/>
  <c r="AT6" i="10"/>
  <c r="AU6" i="10"/>
  <c r="AV6" i="10"/>
  <c r="AW6" i="10"/>
  <c r="AX6" i="10"/>
  <c r="AY6" i="10"/>
  <c r="AZ6" i="10"/>
  <c r="BA6" i="10"/>
  <c r="BB6" i="10"/>
  <c r="BC6" i="10"/>
  <c r="BD6" i="10"/>
  <c r="BE6" i="10"/>
  <c r="BF6" i="10"/>
  <c r="AO4" i="10"/>
  <c r="AO5" i="10"/>
  <c r="AO6" i="10"/>
  <c r="AO3" i="10"/>
  <c r="V10" i="9"/>
  <c r="W10" i="9"/>
  <c r="X10" i="9"/>
  <c r="Y10" i="9"/>
  <c r="Z10" i="9"/>
  <c r="AA10" i="9"/>
  <c r="AB10" i="9"/>
  <c r="AC10" i="9"/>
  <c r="AD10" i="9"/>
  <c r="AE10" i="9"/>
  <c r="AF10" i="9"/>
  <c r="AG10" i="9"/>
  <c r="V11" i="9"/>
  <c r="W11" i="9"/>
  <c r="X11" i="9"/>
  <c r="Y11" i="9"/>
  <c r="Z11" i="9"/>
  <c r="AA11" i="9"/>
  <c r="AB11" i="9"/>
  <c r="AC11" i="9"/>
  <c r="AD11" i="9"/>
  <c r="AE11" i="9"/>
  <c r="AF11" i="9"/>
  <c r="AG11" i="9"/>
  <c r="V12" i="9"/>
  <c r="W12" i="9"/>
  <c r="X12" i="9"/>
  <c r="Y12" i="9"/>
  <c r="Z12" i="9"/>
  <c r="AA12" i="9"/>
  <c r="AB12" i="9"/>
  <c r="AC12" i="9"/>
  <c r="AD12" i="9"/>
  <c r="AE12" i="9"/>
  <c r="AF12" i="9"/>
  <c r="AG12" i="9"/>
  <c r="V13" i="9"/>
  <c r="W13" i="9"/>
  <c r="X13" i="9"/>
  <c r="Y13" i="9"/>
  <c r="Z13" i="9"/>
  <c r="AA13" i="9"/>
  <c r="AB13" i="9"/>
  <c r="AC13" i="9"/>
  <c r="AD13" i="9"/>
  <c r="AE13" i="9"/>
  <c r="AF13" i="9"/>
  <c r="AG13" i="9"/>
  <c r="F16" i="9"/>
  <c r="D10" i="9"/>
  <c r="E10" i="9"/>
  <c r="BI4" i="9"/>
  <c r="BI5" i="9"/>
  <c r="BI6" i="9"/>
  <c r="BI3" i="9"/>
  <c r="I22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E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E22" i="9"/>
  <c r="F22" i="9"/>
  <c r="G22" i="9"/>
  <c r="H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AM3" i="9"/>
  <c r="BI4" i="1"/>
  <c r="BI5" i="1"/>
  <c r="BI3" i="1"/>
  <c r="BJ3" i="1"/>
  <c r="BJ4" i="1"/>
  <c r="BJ5" i="1"/>
  <c r="K12" i="13"/>
  <c r="K11" i="13"/>
  <c r="K7" i="13"/>
  <c r="K8" i="13"/>
  <c r="K9" i="13"/>
  <c r="K2" i="13"/>
  <c r="K3" i="13"/>
  <c r="K4" i="13"/>
  <c r="K5" i="13"/>
  <c r="K6" i="13"/>
  <c r="D10" i="13"/>
  <c r="E10" i="13"/>
  <c r="D11" i="13"/>
  <c r="E11" i="13"/>
  <c r="D12" i="13"/>
  <c r="E12" i="13"/>
  <c r="D13" i="13"/>
  <c r="E13" i="13"/>
  <c r="D14" i="13"/>
  <c r="E14" i="13"/>
  <c r="C11" i="13"/>
  <c r="C12" i="13"/>
  <c r="C13" i="13"/>
  <c r="C14" i="13"/>
  <c r="C10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C16" i="13"/>
  <c r="C17" i="13"/>
  <c r="C18" i="13"/>
  <c r="C15" i="13"/>
  <c r="D5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F11" i="13"/>
  <c r="G11" i="13"/>
  <c r="H11" i="13"/>
  <c r="I11" i="13"/>
  <c r="J11" i="13"/>
  <c r="L11" i="13"/>
  <c r="M11" i="13"/>
  <c r="N11" i="13"/>
  <c r="O11" i="13"/>
  <c r="P11" i="13"/>
  <c r="Q11" i="13"/>
  <c r="R11" i="13"/>
  <c r="S11" i="13"/>
  <c r="T11" i="13"/>
  <c r="U11" i="13"/>
  <c r="F12" i="13"/>
  <c r="G12" i="13"/>
  <c r="H12" i="13"/>
  <c r="I12" i="13"/>
  <c r="J12" i="13"/>
  <c r="L12" i="13"/>
  <c r="M12" i="13"/>
  <c r="N12" i="13"/>
  <c r="O12" i="13"/>
  <c r="P12" i="13"/>
  <c r="Q12" i="13"/>
  <c r="R12" i="13"/>
  <c r="S12" i="13"/>
  <c r="T12" i="13"/>
  <c r="U12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D2" i="13"/>
  <c r="E2" i="13"/>
  <c r="F2" i="13"/>
  <c r="G2" i="13"/>
  <c r="H2" i="13"/>
  <c r="I2" i="13"/>
  <c r="J2" i="13"/>
  <c r="L2" i="13"/>
  <c r="M2" i="13"/>
  <c r="N2" i="13"/>
  <c r="O2" i="13"/>
  <c r="P2" i="13"/>
  <c r="Q2" i="13"/>
  <c r="R2" i="13"/>
  <c r="S2" i="13"/>
  <c r="T2" i="13"/>
  <c r="U2" i="13"/>
  <c r="D3" i="13"/>
  <c r="E3" i="13"/>
  <c r="F3" i="13"/>
  <c r="G3" i="13"/>
  <c r="H3" i="13"/>
  <c r="I3" i="13"/>
  <c r="J3" i="13"/>
  <c r="L3" i="13"/>
  <c r="M3" i="13"/>
  <c r="N3" i="13"/>
  <c r="O3" i="13"/>
  <c r="P3" i="13"/>
  <c r="Q3" i="13"/>
  <c r="R3" i="13"/>
  <c r="S3" i="13"/>
  <c r="T3" i="13"/>
  <c r="U3" i="13"/>
  <c r="D4" i="13"/>
  <c r="E4" i="13"/>
  <c r="F4" i="13"/>
  <c r="G4" i="13"/>
  <c r="H4" i="13"/>
  <c r="I4" i="13"/>
  <c r="J4" i="13"/>
  <c r="L4" i="13"/>
  <c r="M4" i="13"/>
  <c r="N4" i="13"/>
  <c r="O4" i="13"/>
  <c r="P4" i="13"/>
  <c r="Q4" i="13"/>
  <c r="R4" i="13"/>
  <c r="S4" i="13"/>
  <c r="T4" i="13"/>
  <c r="U4" i="13"/>
  <c r="E5" i="13"/>
  <c r="F5" i="13"/>
  <c r="G5" i="13"/>
  <c r="H5" i="13"/>
  <c r="I5" i="13"/>
  <c r="J5" i="13"/>
  <c r="L5" i="13"/>
  <c r="M5" i="13"/>
  <c r="N5" i="13"/>
  <c r="O5" i="13"/>
  <c r="P5" i="13"/>
  <c r="Q5" i="13"/>
  <c r="R5" i="13"/>
  <c r="S5" i="13"/>
  <c r="T5" i="13"/>
  <c r="U5" i="13"/>
  <c r="D6" i="13"/>
  <c r="E6" i="13"/>
  <c r="F6" i="13"/>
  <c r="G6" i="13"/>
  <c r="H6" i="13"/>
  <c r="I6" i="13"/>
  <c r="J6" i="13"/>
  <c r="L6" i="13"/>
  <c r="M6" i="13"/>
  <c r="N6" i="13"/>
  <c r="O6" i="13"/>
  <c r="P6" i="13"/>
  <c r="Q6" i="13"/>
  <c r="R6" i="13"/>
  <c r="S6" i="13"/>
  <c r="T6" i="13"/>
  <c r="U6" i="13"/>
  <c r="D7" i="13"/>
  <c r="E7" i="13"/>
  <c r="F7" i="13"/>
  <c r="G7" i="13"/>
  <c r="H7" i="13"/>
  <c r="I7" i="13"/>
  <c r="J7" i="13"/>
  <c r="L7" i="13"/>
  <c r="M7" i="13"/>
  <c r="N7" i="13"/>
  <c r="O7" i="13"/>
  <c r="P7" i="13"/>
  <c r="Q7" i="13"/>
  <c r="R7" i="13"/>
  <c r="S7" i="13"/>
  <c r="T7" i="13"/>
  <c r="U7" i="13"/>
  <c r="D8" i="13"/>
  <c r="E8" i="13"/>
  <c r="F8" i="13"/>
  <c r="G8" i="13"/>
  <c r="H8" i="13"/>
  <c r="I8" i="13"/>
  <c r="J8" i="13"/>
  <c r="L8" i="13"/>
  <c r="M8" i="13"/>
  <c r="N8" i="13"/>
  <c r="O8" i="13"/>
  <c r="P8" i="13"/>
  <c r="Q8" i="13"/>
  <c r="R8" i="13"/>
  <c r="S8" i="13"/>
  <c r="T8" i="13"/>
  <c r="U8" i="13"/>
  <c r="D9" i="13"/>
  <c r="E9" i="13"/>
  <c r="F9" i="13"/>
  <c r="G9" i="13"/>
  <c r="H9" i="13"/>
  <c r="I9" i="13"/>
  <c r="J9" i="13"/>
  <c r="L9" i="13"/>
  <c r="M9" i="13"/>
  <c r="N9" i="13"/>
  <c r="O9" i="13"/>
  <c r="P9" i="13"/>
  <c r="Q9" i="13"/>
  <c r="R9" i="13"/>
  <c r="S9" i="13"/>
  <c r="T9" i="13"/>
  <c r="U9" i="13"/>
  <c r="C3" i="13"/>
  <c r="C4" i="13"/>
  <c r="C5" i="13"/>
  <c r="C6" i="13"/>
  <c r="C7" i="13"/>
  <c r="C8" i="13"/>
  <c r="C9" i="13"/>
  <c r="C2" i="13"/>
  <c r="AG1" i="13"/>
  <c r="AF1" i="13"/>
  <c r="Z1" i="13"/>
  <c r="AA1" i="13"/>
  <c r="AB1" i="13"/>
  <c r="AC1" i="13"/>
  <c r="AD1" i="13"/>
  <c r="AE1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C1" i="13"/>
  <c r="A18" i="13"/>
  <c r="A16" i="13"/>
  <c r="A17" i="13"/>
  <c r="A15" i="13"/>
  <c r="A11" i="13"/>
  <c r="A12" i="13"/>
  <c r="A13" i="13"/>
  <c r="A14" i="13"/>
  <c r="A10" i="13"/>
  <c r="A3" i="13"/>
  <c r="A4" i="13"/>
  <c r="A5" i="13"/>
  <c r="A6" i="13"/>
  <c r="A7" i="13"/>
  <c r="A8" i="13"/>
  <c r="A9" i="13"/>
  <c r="A2" i="13"/>
  <c r="T20" i="1" l="1"/>
  <c r="AD13" i="1"/>
  <c r="Z20" i="1"/>
  <c r="BH9" i="1"/>
  <c r="BH10" i="1"/>
  <c r="BH8" i="1"/>
  <c r="BI7" i="10"/>
  <c r="BH7" i="1"/>
  <c r="BH6" i="1"/>
  <c r="BI3" i="10"/>
  <c r="BI6" i="10"/>
  <c r="BI5" i="10"/>
  <c r="BG4" i="9"/>
  <c r="BI4" i="10"/>
  <c r="BG6" i="9"/>
  <c r="BG3" i="9"/>
  <c r="BG5" i="9"/>
  <c r="BH5" i="1"/>
  <c r="BH4" i="1"/>
  <c r="AB16" i="1" l="1"/>
  <c r="AB17" i="1"/>
  <c r="AB18" i="1"/>
  <c r="AB20" i="1"/>
  <c r="AB13" i="1"/>
  <c r="AB19" i="1"/>
  <c r="AB14" i="1"/>
  <c r="AB15" i="1"/>
  <c r="AB21" i="1"/>
  <c r="BH3" i="1"/>
</calcChain>
</file>

<file path=xl/sharedStrings.xml><?xml version="1.0" encoding="utf-8"?>
<sst xmlns="http://schemas.openxmlformats.org/spreadsheetml/2006/main" count="942" uniqueCount="55">
  <si>
    <t>Monday</t>
  </si>
  <si>
    <t>Tuesday</t>
  </si>
  <si>
    <t>Wednesday</t>
  </si>
  <si>
    <t>Thursday</t>
  </si>
  <si>
    <t>Friday</t>
  </si>
  <si>
    <t>Saturday</t>
  </si>
  <si>
    <t>Sunday</t>
  </si>
  <si>
    <t>Name</t>
  </si>
  <si>
    <t>Grade</t>
  </si>
  <si>
    <t>GGID</t>
  </si>
  <si>
    <t>WFO</t>
  </si>
  <si>
    <t>WFH</t>
  </si>
  <si>
    <t>WD</t>
  </si>
  <si>
    <t>OFF</t>
  </si>
  <si>
    <t>Annual</t>
  </si>
  <si>
    <t>Public Holiday</t>
  </si>
  <si>
    <t>Compensation</t>
  </si>
  <si>
    <t>Amr Abdelwahab</t>
  </si>
  <si>
    <t>L1</t>
  </si>
  <si>
    <t>Sarah Elmaasrawy</t>
  </si>
  <si>
    <t>Sick</t>
  </si>
  <si>
    <t>Habiba Sebak</t>
  </si>
  <si>
    <t>Ahmed Habil</t>
  </si>
  <si>
    <t>Mohamed Halim</t>
  </si>
  <si>
    <t>Mohannad Ali</t>
  </si>
  <si>
    <t>Sherine Khaled</t>
  </si>
  <si>
    <t>z</t>
  </si>
  <si>
    <t> </t>
  </si>
  <si>
    <t>Start</t>
  </si>
  <si>
    <t>End</t>
  </si>
  <si>
    <t>Meals</t>
  </si>
  <si>
    <t>Work from home</t>
  </si>
  <si>
    <t>Training</t>
  </si>
  <si>
    <t>New Joiners Fixed Shift</t>
  </si>
  <si>
    <t>Available Slot</t>
  </si>
  <si>
    <t>Username</t>
  </si>
  <si>
    <t>Mohamed Elezaby</t>
  </si>
  <si>
    <t>L2</t>
  </si>
  <si>
    <t>Mohamed Aly</t>
  </si>
  <si>
    <t>Amr Elsherbiny</t>
  </si>
  <si>
    <t>Fady Farid</t>
  </si>
  <si>
    <t>Mohamed Abdellatif</t>
  </si>
  <si>
    <t>KM</t>
  </si>
  <si>
    <t>Wessam Ahmed</t>
  </si>
  <si>
    <t>IM CO</t>
  </si>
  <si>
    <t>Reham Baghdady</t>
  </si>
  <si>
    <t>IM</t>
  </si>
  <si>
    <t>Maha Dahshan</t>
  </si>
  <si>
    <t>PM</t>
  </si>
  <si>
    <t>Omar Khodir</t>
  </si>
  <si>
    <t>TM</t>
  </si>
  <si>
    <t>Eid Vacation</t>
  </si>
  <si>
    <t>Date</t>
  </si>
  <si>
    <t>Shift</t>
  </si>
  <si>
    <t>Mahnoud Hadhood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</si>
</sst>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  <font>
      <sz val="11"/>
      <color theme="0"/>
      <name val="Calibri"/>
      <scheme val="minor"/>
    </font>
    <font>
      <sz val="11"/>
      <color rgb="FF000000"/>
      <name val="Calibri"/>
      <scheme val="minor"/>
    </font>
    <font>
      <sz val="11"/>
      <color theme="0"/>
      <name val="Calibri"/>
      <family val="2"/>
      <charset val="1"/>
    </font>
    <font>
      <sz val="11"/>
      <color theme="0"/>
      <name val="Aptos Narrow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rgb="FF00808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16" fontId="6" fillId="8" borderId="2" xfId="0" applyNumberFormat="1" applyFont="1" applyFill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20" fontId="3" fillId="7" borderId="1" xfId="0" applyNumberFormat="1" applyFont="1" applyFill="1" applyBorder="1" applyAlignment="1">
      <alignment horizontal="center"/>
    </xf>
    <xf numFmtId="20" fontId="5" fillId="7" borderId="2" xfId="0" applyNumberFormat="1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20" fontId="3" fillId="2" borderId="1" xfId="0" applyNumberFormat="1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 vertical="center"/>
    </xf>
    <xf numFmtId="20" fontId="3" fillId="7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20" fontId="5" fillId="10" borderId="1" xfId="0" applyNumberFormat="1" applyFont="1" applyFill="1" applyBorder="1" applyAlignment="1">
      <alignment horizontal="center"/>
    </xf>
    <xf numFmtId="20" fontId="5" fillId="11" borderId="1" xfId="0" applyNumberFormat="1" applyFont="1" applyFill="1" applyBorder="1" applyAlignment="1">
      <alignment horizontal="center"/>
    </xf>
    <xf numFmtId="20" fontId="3" fillId="10" borderId="1" xfId="0" applyNumberFormat="1" applyFont="1" applyFill="1" applyBorder="1" applyAlignment="1">
      <alignment horizontal="center"/>
    </xf>
    <xf numFmtId="20" fontId="3" fillId="12" borderId="1" xfId="0" applyNumberFormat="1" applyFont="1" applyFill="1" applyBorder="1" applyAlignment="1">
      <alignment horizontal="center"/>
    </xf>
    <xf numFmtId="20" fontId="3" fillId="10" borderId="1" xfId="0" applyNumberFormat="1" applyFont="1" applyFill="1" applyBorder="1" applyAlignment="1">
      <alignment horizontal="center" vertical="center"/>
    </xf>
    <xf numFmtId="20" fontId="3" fillId="1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" fontId="8" fillId="14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0" fontId="10" fillId="2" borderId="0" xfId="0" applyNumberFormat="1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20" fontId="10" fillId="16" borderId="2" xfId="0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20" fontId="10" fillId="19" borderId="2" xfId="0" applyNumberFormat="1" applyFont="1" applyFill="1" applyBorder="1" applyAlignment="1">
      <alignment horizontal="center"/>
    </xf>
    <xf numFmtId="0" fontId="13" fillId="2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 textRotation="45"/>
    </xf>
    <xf numFmtId="1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20" fontId="14" fillId="2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0" fontId="12" fillId="19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16" fontId="11" fillId="14" borderId="1" xfId="0" applyNumberFormat="1" applyFont="1" applyFill="1" applyBorder="1" applyAlignment="1">
      <alignment horizontal="center" vertical="center"/>
    </xf>
    <xf numFmtId="20" fontId="12" fillId="16" borderId="1" xfId="0" applyNumberFormat="1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0" fontId="12" fillId="18" borderId="1" xfId="0" applyNumberFormat="1" applyFont="1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" fontId="16" fillId="3" borderId="1" xfId="0" applyNumberFormat="1" applyFont="1" applyFill="1" applyBorder="1" applyAlignment="1">
      <alignment horizontal="center" vertical="center"/>
    </xf>
    <xf numFmtId="20" fontId="17" fillId="7" borderId="1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3" fillId="2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9" fontId="0" fillId="0" borderId="10" xfId="0" applyNumberForma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16" fontId="16" fillId="0" borderId="11" xfId="0" applyNumberFormat="1" applyFont="1" applyBorder="1" applyAlignment="1">
      <alignment horizontal="center" vertical="center"/>
    </xf>
    <xf numFmtId="20" fontId="15" fillId="0" borderId="11" xfId="0" applyNumberFormat="1" applyFont="1" applyBorder="1" applyAlignment="1">
      <alignment horizontal="center" vertical="center"/>
    </xf>
    <xf numFmtId="20" fontId="3" fillId="0" borderId="11" xfId="0" applyNumberFormat="1" applyFont="1" applyBorder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20" fontId="10" fillId="7" borderId="1" xfId="0" applyNumberFormat="1" applyFont="1" applyFill="1" applyBorder="1" applyAlignment="1">
      <alignment horizontal="center"/>
    </xf>
    <xf numFmtId="16" fontId="16" fillId="0" borderId="1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20" fontId="17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/>
    </xf>
    <xf numFmtId="20" fontId="3" fillId="0" borderId="0" xfId="0" applyNumberFormat="1" applyFont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20" fontId="11" fillId="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18" fillId="25" borderId="0" xfId="0" applyFont="1" applyFill="1" applyAlignment="1">
      <alignment horizontal="center"/>
    </xf>
    <xf numFmtId="16" fontId="18" fillId="25" borderId="0" xfId="0" applyNumberFormat="1" applyFont="1" applyFill="1" applyAlignment="1">
      <alignment horizontal="center"/>
    </xf>
    <xf numFmtId="20" fontId="19" fillId="25" borderId="0" xfId="0" applyNumberFormat="1" applyFont="1" applyFill="1" applyAlignment="1">
      <alignment horizontal="center" vertical="center"/>
    </xf>
    <xf numFmtId="16" fontId="0" fillId="0" borderId="0" xfId="0" applyNumberFormat="1"/>
    <xf numFmtId="20" fontId="0" fillId="0" borderId="0" xfId="0" applyNumberFormat="1"/>
    <xf numFmtId="0" fontId="1" fillId="0" borderId="1" xfId="0" applyFont="1" applyBorder="1" applyAlignment="1">
      <alignment horizontal="center" vertical="center"/>
    </xf>
    <xf numFmtId="20" fontId="1" fillId="7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F8F00"/>
      <color rgb="FFFCDC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1"/>
      <sheetName val="L2"/>
      <sheetName val="BO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BO59"/>
  <sheetViews>
    <sheetView zoomScale="110" zoomScaleNormal="110" workbookViewId="0">
      <pane xSplit="1" topLeftCell="B1" activePane="topRight" state="frozen"/>
      <selection pane="topRight" activeCell="D2" sqref="D2:F2"/>
    </sheetView>
  </sheetViews>
  <sheetFormatPr defaultColWidth="8.7109375" defaultRowHeight="15"/>
  <cols>
    <col min="1" max="1" width="22.140625" style="25" bestFit="1" customWidth="1"/>
    <col min="2" max="2" width="6.42578125" style="25" bestFit="1" customWidth="1"/>
    <col min="3" max="3" width="10.140625" style="25" bestFit="1" customWidth="1"/>
    <col min="4" max="4" width="13.7109375" style="25" bestFit="1" customWidth="1"/>
    <col min="5" max="5" width="13.42578125" style="25" bestFit="1" customWidth="1"/>
    <col min="6" max="8" width="14" style="25" bestFit="1" customWidth="1"/>
    <col min="9" max="9" width="13.7109375" style="25" bestFit="1" customWidth="1"/>
    <col min="10" max="12" width="14.5703125" style="25" bestFit="1" customWidth="1"/>
    <col min="13" max="13" width="13.28515625" style="25" customWidth="1"/>
    <col min="14" max="14" width="14" style="25" bestFit="1" customWidth="1"/>
    <col min="15" max="18" width="13.42578125" style="25" bestFit="1" customWidth="1"/>
    <col min="19" max="20" width="13.85546875" style="25" bestFit="1" customWidth="1"/>
    <col min="21" max="21" width="13.42578125" style="25" customWidth="1"/>
    <col min="22" max="22" width="13.85546875" style="25" customWidth="1"/>
    <col min="23" max="25" width="13.85546875" style="25" bestFit="1" customWidth="1"/>
    <col min="26" max="26" width="13.42578125" style="25" bestFit="1" customWidth="1"/>
    <col min="27" max="27" width="13.28515625" style="25" customWidth="1"/>
    <col min="28" max="28" width="13.85546875" style="25" bestFit="1" customWidth="1"/>
    <col min="29" max="29" width="13.42578125" style="25" bestFit="1" customWidth="1"/>
    <col min="30" max="30" width="13.85546875" style="25" bestFit="1" customWidth="1"/>
    <col min="31" max="31" width="12.42578125" style="25" customWidth="1"/>
    <col min="32" max="33" width="14" style="25" bestFit="1" customWidth="1"/>
    <col min="34" max="34" width="14" style="25" customWidth="1"/>
    <col min="35" max="35" width="13.42578125" style="25" customWidth="1"/>
    <col min="36" max="36" width="13.85546875" style="25" bestFit="1" customWidth="1"/>
    <col min="37" max="37" width="8.85546875" style="59" customWidth="1"/>
    <col min="38" max="38" width="8.7109375" style="25"/>
    <col min="39" max="39" width="16.28515625" style="25" bestFit="1" customWidth="1"/>
    <col min="40" max="40" width="8.7109375" style="25" bestFit="1" customWidth="1"/>
    <col min="41" max="41" width="9.28515625" style="25" bestFit="1" customWidth="1"/>
    <col min="42" max="42" width="10.140625" style="25" customWidth="1"/>
    <col min="43" max="43" width="8.85546875" style="25" bestFit="1" customWidth="1"/>
    <col min="44" max="44" width="5" style="25" bestFit="1" customWidth="1"/>
    <col min="45" max="58" width="6" style="25" bestFit="1" customWidth="1"/>
    <col min="59" max="59" width="4.42578125" style="25" bestFit="1" customWidth="1"/>
    <col min="60" max="60" width="4.5703125" style="25" bestFit="1" customWidth="1"/>
    <col min="61" max="61" width="7.28515625" style="25" bestFit="1" customWidth="1"/>
    <col min="62" max="62" width="13.5703125" style="25" customWidth="1"/>
    <col min="63" max="64" width="13.85546875" style="25" bestFit="1" customWidth="1"/>
    <col min="65" max="70" width="6" style="25" bestFit="1" customWidth="1"/>
    <col min="71" max="71" width="5" style="25" bestFit="1" customWidth="1"/>
    <col min="72" max="72" width="8.7109375" style="25"/>
    <col min="73" max="73" width="4.42578125" style="25" bestFit="1" customWidth="1"/>
    <col min="74" max="74" width="4.5703125" style="25" bestFit="1" customWidth="1"/>
    <col min="75" max="75" width="7.28515625" style="25" bestFit="1" customWidth="1"/>
    <col min="76" max="16384" width="8.7109375" style="25"/>
  </cols>
  <sheetData>
    <row r="1" spans="1:67">
      <c r="A1" s="86"/>
      <c r="B1" s="86"/>
      <c r="C1" s="86"/>
      <c r="D1" s="86" t="s">
        <v>0</v>
      </c>
      <c r="E1" s="86" t="s">
        <v>1</v>
      </c>
      <c r="F1" s="86" t="s">
        <v>2</v>
      </c>
      <c r="G1" s="86" t="s">
        <v>3</v>
      </c>
      <c r="H1" s="86" t="s">
        <v>4</v>
      </c>
      <c r="I1" s="86" t="s">
        <v>5</v>
      </c>
      <c r="J1" s="86" t="s">
        <v>6</v>
      </c>
      <c r="K1" s="86" t="s">
        <v>0</v>
      </c>
      <c r="L1" s="86" t="s">
        <v>1</v>
      </c>
      <c r="M1" s="86" t="s">
        <v>2</v>
      </c>
      <c r="N1" s="86" t="s">
        <v>3</v>
      </c>
      <c r="O1" s="86" t="s">
        <v>4</v>
      </c>
      <c r="P1" s="86" t="s">
        <v>5</v>
      </c>
      <c r="Q1" s="86" t="s">
        <v>6</v>
      </c>
      <c r="R1" s="86" t="s">
        <v>0</v>
      </c>
      <c r="S1" s="86" t="s">
        <v>1</v>
      </c>
      <c r="T1" s="86" t="s">
        <v>2</v>
      </c>
      <c r="U1" s="86" t="s">
        <v>3</v>
      </c>
      <c r="V1" s="86" t="s">
        <v>4</v>
      </c>
      <c r="W1" s="86" t="s">
        <v>5</v>
      </c>
      <c r="X1" s="86" t="s">
        <v>6</v>
      </c>
      <c r="Y1" s="86" t="s">
        <v>0</v>
      </c>
      <c r="Z1" s="86" t="s">
        <v>1</v>
      </c>
      <c r="AA1" s="86" t="s">
        <v>2</v>
      </c>
      <c r="AB1" s="86" t="s">
        <v>3</v>
      </c>
      <c r="AC1" s="86" t="s">
        <v>4</v>
      </c>
      <c r="AD1" s="86" t="s">
        <v>5</v>
      </c>
      <c r="AE1" s="86" t="s">
        <v>6</v>
      </c>
      <c r="AF1" s="86" t="s">
        <v>0</v>
      </c>
      <c r="AG1" s="86" t="s">
        <v>1</v>
      </c>
      <c r="AH1" s="86" t="s">
        <v>2</v>
      </c>
      <c r="AI1" s="109" t="s">
        <v>3</v>
      </c>
      <c r="AJ1" s="109" t="s">
        <v>4</v>
      </c>
      <c r="AK1" s="25"/>
      <c r="AL1" s="56"/>
      <c r="AM1" s="56"/>
      <c r="AN1" s="56"/>
      <c r="AO1" s="56"/>
    </row>
    <row r="2" spans="1:67">
      <c r="A2" s="86" t="s">
        <v>7</v>
      </c>
      <c r="B2" s="86" t="s">
        <v>8</v>
      </c>
      <c r="C2" s="86" t="s">
        <v>9</v>
      </c>
      <c r="D2" s="87">
        <v>46265</v>
      </c>
      <c r="E2" s="87">
        <v>46266</v>
      </c>
      <c r="F2" s="87">
        <v>46267</v>
      </c>
      <c r="G2" s="87">
        <v>46268</v>
      </c>
      <c r="H2" s="87">
        <v>46269</v>
      </c>
      <c r="I2" s="87">
        <v>46270</v>
      </c>
      <c r="J2" s="87">
        <v>46271</v>
      </c>
      <c r="K2" s="87">
        <v>46272</v>
      </c>
      <c r="L2" s="87">
        <v>46273</v>
      </c>
      <c r="M2" s="87">
        <v>46274</v>
      </c>
      <c r="N2" s="87">
        <v>46275</v>
      </c>
      <c r="O2" s="87">
        <v>46276</v>
      </c>
      <c r="P2" s="87">
        <v>46277</v>
      </c>
      <c r="Q2" s="87">
        <v>46278</v>
      </c>
      <c r="R2" s="87">
        <v>46279</v>
      </c>
      <c r="S2" s="87">
        <v>46280</v>
      </c>
      <c r="T2" s="87">
        <v>46281</v>
      </c>
      <c r="U2" s="87">
        <v>46282</v>
      </c>
      <c r="V2" s="87">
        <v>46283</v>
      </c>
      <c r="W2" s="87">
        <v>46284</v>
      </c>
      <c r="X2" s="87">
        <v>46285</v>
      </c>
      <c r="Y2" s="87">
        <v>46286</v>
      </c>
      <c r="Z2" s="87">
        <v>46287</v>
      </c>
      <c r="AA2" s="87">
        <v>46288</v>
      </c>
      <c r="AB2" s="87">
        <v>46289</v>
      </c>
      <c r="AC2" s="87">
        <v>46290</v>
      </c>
      <c r="AD2" s="87">
        <v>46291</v>
      </c>
      <c r="AE2" s="87">
        <v>46292</v>
      </c>
      <c r="AF2" s="87">
        <v>46293</v>
      </c>
      <c r="AG2" s="87">
        <v>46294</v>
      </c>
      <c r="AH2" s="87">
        <v>46295</v>
      </c>
      <c r="AI2" s="106">
        <v>46268</v>
      </c>
      <c r="AJ2" s="106">
        <v>46269</v>
      </c>
      <c r="AK2" s="25"/>
      <c r="AL2" s="66" t="s">
        <v>10</v>
      </c>
      <c r="AM2" s="66" t="s">
        <v>11</v>
      </c>
      <c r="AP2" s="2">
        <v>0.29166666666666669</v>
      </c>
      <c r="AQ2" s="2">
        <v>0.33333333333333298</v>
      </c>
      <c r="AR2" s="2">
        <v>0.375</v>
      </c>
      <c r="AS2" s="2">
        <v>0.41666666666666702</v>
      </c>
      <c r="AT2" s="2">
        <v>0.45833333333333331</v>
      </c>
      <c r="AU2" s="2">
        <v>0.499999999999998</v>
      </c>
      <c r="AV2" s="2">
        <v>0.54166666666666496</v>
      </c>
      <c r="AW2" s="2">
        <v>0.58333333333333337</v>
      </c>
      <c r="AX2" s="2">
        <v>0.624999999999997</v>
      </c>
      <c r="AY2" s="2">
        <v>0.66666666666666663</v>
      </c>
      <c r="AZ2" s="2">
        <v>0.70833333333333004</v>
      </c>
      <c r="BA2" s="2">
        <v>0.75</v>
      </c>
      <c r="BB2" s="2">
        <v>0.79166666666666663</v>
      </c>
      <c r="BC2" s="2">
        <v>0.83333333333332904</v>
      </c>
      <c r="BD2" s="2">
        <v>0.874999999999995</v>
      </c>
      <c r="BE2" s="2">
        <v>0.91666666666666097</v>
      </c>
      <c r="BF2" s="2">
        <v>0.95833333333333337</v>
      </c>
      <c r="BH2" s="26" t="s">
        <v>12</v>
      </c>
      <c r="BI2" s="26" t="s">
        <v>13</v>
      </c>
      <c r="BJ2" s="26" t="s">
        <v>14</v>
      </c>
      <c r="BK2" s="26" t="s">
        <v>15</v>
      </c>
      <c r="BL2" s="26" t="s">
        <v>16</v>
      </c>
    </row>
    <row r="3" spans="1:67">
      <c r="A3" s="121" t="s">
        <v>17</v>
      </c>
      <c r="B3" s="121" t="s">
        <v>18</v>
      </c>
      <c r="C3" s="121">
        <v>1859559</v>
      </c>
      <c r="D3" s="15">
        <v>0.45833333333333331</v>
      </c>
      <c r="E3" s="16">
        <v>0.29166666666666669</v>
      </c>
      <c r="F3" s="15">
        <v>0.45833333333333331</v>
      </c>
      <c r="G3" s="15">
        <v>0.45833333333333331</v>
      </c>
      <c r="H3" s="16">
        <v>0.45833333333333331</v>
      </c>
      <c r="I3" s="90" t="s">
        <v>13</v>
      </c>
      <c r="J3" s="90" t="s">
        <v>13</v>
      </c>
      <c r="K3" s="74" t="s">
        <v>14</v>
      </c>
      <c r="L3" s="88">
        <v>0.58333333333333337</v>
      </c>
      <c r="M3" s="74" t="s">
        <v>14</v>
      </c>
      <c r="N3" s="108">
        <v>0.58333333333333337</v>
      </c>
      <c r="O3" s="88">
        <v>0.29166666666666669</v>
      </c>
      <c r="P3" s="90" t="s">
        <v>13</v>
      </c>
      <c r="Q3" s="90" t="s">
        <v>13</v>
      </c>
      <c r="R3" s="108">
        <v>0.45833333333333331</v>
      </c>
      <c r="S3" s="88">
        <v>0.29166666666666669</v>
      </c>
      <c r="T3" s="108">
        <v>0.29166666666666669</v>
      </c>
      <c r="U3" s="108">
        <v>0.29166666666666669</v>
      </c>
      <c r="V3" s="122">
        <v>0.375</v>
      </c>
      <c r="W3" s="90" t="s">
        <v>13</v>
      </c>
      <c r="X3" s="90" t="s">
        <v>13</v>
      </c>
      <c r="Y3" s="122">
        <v>0.58333333333333337</v>
      </c>
      <c r="Z3" s="113">
        <v>0.29166666666666669</v>
      </c>
      <c r="AA3" s="112">
        <v>0.29166666666666669</v>
      </c>
      <c r="AB3" s="112">
        <v>0.29166666666666669</v>
      </c>
      <c r="AC3" s="113">
        <v>0.29166666666666669</v>
      </c>
      <c r="AD3" s="90" t="s">
        <v>13</v>
      </c>
      <c r="AE3" s="90" t="s">
        <v>13</v>
      </c>
      <c r="AF3" s="123">
        <v>0.58333333333333337</v>
      </c>
      <c r="AG3" s="122">
        <v>0.58333333333333337</v>
      </c>
      <c r="AH3" s="112">
        <v>0.45833333333333331</v>
      </c>
      <c r="AI3" s="15"/>
      <c r="AJ3" s="15"/>
      <c r="AK3" s="25"/>
      <c r="AL3" s="30">
        <v>5</v>
      </c>
      <c r="AM3" s="30">
        <v>16</v>
      </c>
      <c r="AP3" s="1">
        <f t="shared" ref="AP3:AY10" si="0">COUNTIF($D3:$AJ3,AP$2)</f>
        <v>9</v>
      </c>
      <c r="AQ3" s="1">
        <f t="shared" si="0"/>
        <v>0</v>
      </c>
      <c r="AR3" s="1">
        <f t="shared" si="0"/>
        <v>1</v>
      </c>
      <c r="AS3" s="1">
        <f t="shared" si="0"/>
        <v>0</v>
      </c>
      <c r="AT3" s="1">
        <f t="shared" si="0"/>
        <v>6</v>
      </c>
      <c r="AU3" s="1">
        <f t="shared" si="0"/>
        <v>0</v>
      </c>
      <c r="AV3" s="1">
        <f t="shared" si="0"/>
        <v>0</v>
      </c>
      <c r="AW3" s="1">
        <f t="shared" si="0"/>
        <v>5</v>
      </c>
      <c r="AX3" s="1">
        <f t="shared" si="0"/>
        <v>0</v>
      </c>
      <c r="AY3" s="1">
        <f t="shared" si="0"/>
        <v>0</v>
      </c>
      <c r="AZ3" s="1">
        <f t="shared" ref="AZ3:BF10" si="1">COUNTIF($D3:$AJ3,AZ$2)</f>
        <v>0</v>
      </c>
      <c r="BA3" s="1">
        <f t="shared" si="1"/>
        <v>0</v>
      </c>
      <c r="BB3" s="1">
        <f t="shared" si="1"/>
        <v>0</v>
      </c>
      <c r="BC3" s="1">
        <f t="shared" si="1"/>
        <v>0</v>
      </c>
      <c r="BD3" s="1">
        <f t="shared" si="1"/>
        <v>0</v>
      </c>
      <c r="BE3" s="1">
        <f t="shared" si="1"/>
        <v>0</v>
      </c>
      <c r="BF3" s="1">
        <f t="shared" si="1"/>
        <v>0</v>
      </c>
      <c r="BH3" s="1">
        <f t="shared" ref="BH3:BH5" si="2">SUM(AP3:BF3)</f>
        <v>21</v>
      </c>
      <c r="BI3" s="1">
        <f t="shared" ref="BI3:BI10" si="3">COUNTIF(D3:AJ3,$BI$2)</f>
        <v>8</v>
      </c>
      <c r="BJ3" s="1">
        <f t="shared" ref="BJ3:BJ10" si="4">COUNTIF(D3:AJ3,$BJ$2)</f>
        <v>2</v>
      </c>
      <c r="BK3" s="1">
        <f t="shared" ref="BK3:BK10" si="5">COUNTIF(D3:AJ3,$BK$2)</f>
        <v>0</v>
      </c>
      <c r="BL3" s="1">
        <f t="shared" ref="BL3:BL10" si="6">COUNTIF(D3:AJ3,$BL$2)</f>
        <v>0</v>
      </c>
      <c r="BN3" s="57"/>
      <c r="BO3" s="58"/>
    </row>
    <row r="4" spans="1:67">
      <c r="A4" s="121" t="s">
        <v>19</v>
      </c>
      <c r="B4" s="121" t="s">
        <v>18</v>
      </c>
      <c r="C4" s="121">
        <v>30041021</v>
      </c>
      <c r="D4" s="114" t="s">
        <v>20</v>
      </c>
      <c r="E4" s="114" t="s">
        <v>20</v>
      </c>
      <c r="F4" s="114" t="s">
        <v>20</v>
      </c>
      <c r="G4" s="114" t="s">
        <v>20</v>
      </c>
      <c r="H4" s="15">
        <v>0.45833333333333331</v>
      </c>
      <c r="I4" s="90" t="s">
        <v>13</v>
      </c>
      <c r="J4" s="90" t="s">
        <v>13</v>
      </c>
      <c r="K4" s="108">
        <v>0.375</v>
      </c>
      <c r="L4" s="88">
        <v>0.375</v>
      </c>
      <c r="M4" s="108">
        <v>0.375</v>
      </c>
      <c r="N4" s="74" t="s">
        <v>14</v>
      </c>
      <c r="O4" s="74" t="s">
        <v>14</v>
      </c>
      <c r="P4" s="90" t="s">
        <v>13</v>
      </c>
      <c r="Q4" s="90" t="s">
        <v>13</v>
      </c>
      <c r="R4" s="108">
        <v>0.29166666666666669</v>
      </c>
      <c r="S4" s="88">
        <v>0.29166666666666669</v>
      </c>
      <c r="T4" s="108">
        <v>0.29166666666666669</v>
      </c>
      <c r="U4" s="88">
        <v>0.29166666666666669</v>
      </c>
      <c r="V4" s="108">
        <v>0.58333333333333337</v>
      </c>
      <c r="W4" s="90" t="s">
        <v>13</v>
      </c>
      <c r="X4" s="90" t="s">
        <v>13</v>
      </c>
      <c r="Y4" s="123">
        <v>0.58333333333333337</v>
      </c>
      <c r="Z4" s="122">
        <v>0.58333333333333337</v>
      </c>
      <c r="AA4" s="123">
        <v>0.58333333333333337</v>
      </c>
      <c r="AB4" s="122">
        <v>0.58333333333333337</v>
      </c>
      <c r="AC4" s="123">
        <v>0.58333333333333337</v>
      </c>
      <c r="AD4" s="90" t="s">
        <v>13</v>
      </c>
      <c r="AE4" s="90" t="s">
        <v>13</v>
      </c>
      <c r="AF4" s="112">
        <v>0.45833333333333331</v>
      </c>
      <c r="AG4" s="113">
        <v>0.45833333333333331</v>
      </c>
      <c r="AH4" s="112">
        <v>0.45833333333333331</v>
      </c>
      <c r="AI4" s="15"/>
      <c r="AJ4" s="15"/>
      <c r="AK4" s="25"/>
      <c r="AL4" s="30">
        <v>5</v>
      </c>
      <c r="AM4" s="30">
        <v>16</v>
      </c>
      <c r="AP4" s="1">
        <f t="shared" si="0"/>
        <v>4</v>
      </c>
      <c r="AQ4" s="1">
        <f t="shared" si="0"/>
        <v>0</v>
      </c>
      <c r="AR4" s="1">
        <f t="shared" si="0"/>
        <v>3</v>
      </c>
      <c r="AS4" s="1">
        <f t="shared" si="0"/>
        <v>0</v>
      </c>
      <c r="AT4" s="1">
        <f t="shared" si="0"/>
        <v>4</v>
      </c>
      <c r="AU4" s="1">
        <f t="shared" si="0"/>
        <v>0</v>
      </c>
      <c r="AV4" s="1">
        <f t="shared" si="0"/>
        <v>0</v>
      </c>
      <c r="AW4" s="1">
        <f t="shared" si="0"/>
        <v>6</v>
      </c>
      <c r="AX4" s="1">
        <f t="shared" si="0"/>
        <v>0</v>
      </c>
      <c r="AY4" s="1">
        <f t="shared" si="0"/>
        <v>0</v>
      </c>
      <c r="AZ4" s="1">
        <f t="shared" si="1"/>
        <v>0</v>
      </c>
      <c r="BA4" s="1">
        <f t="shared" si="1"/>
        <v>0</v>
      </c>
      <c r="BB4" s="1">
        <f t="shared" si="1"/>
        <v>0</v>
      </c>
      <c r="BC4" s="1">
        <f t="shared" si="1"/>
        <v>0</v>
      </c>
      <c r="BD4" s="1">
        <f t="shared" si="1"/>
        <v>0</v>
      </c>
      <c r="BE4" s="1">
        <f t="shared" si="1"/>
        <v>0</v>
      </c>
      <c r="BF4" s="1">
        <f t="shared" si="1"/>
        <v>0</v>
      </c>
      <c r="BH4" s="1">
        <f t="shared" si="2"/>
        <v>17</v>
      </c>
      <c r="BI4" s="1">
        <f t="shared" si="3"/>
        <v>8</v>
      </c>
      <c r="BJ4" s="1">
        <f t="shared" si="4"/>
        <v>2</v>
      </c>
      <c r="BK4" s="1">
        <f t="shared" si="5"/>
        <v>0</v>
      </c>
      <c r="BL4" s="1">
        <f t="shared" si="6"/>
        <v>0</v>
      </c>
    </row>
    <row r="5" spans="1:67">
      <c r="A5" s="121" t="s">
        <v>21</v>
      </c>
      <c r="B5" s="121" t="s">
        <v>18</v>
      </c>
      <c r="C5" s="89">
        <v>30120618</v>
      </c>
      <c r="D5" s="108">
        <v>0.58333333333333337</v>
      </c>
      <c r="E5" s="108">
        <v>0.58333333333333337</v>
      </c>
      <c r="F5" s="108">
        <v>0.58333333333333337</v>
      </c>
      <c r="G5" s="88">
        <v>0.58333333333333337</v>
      </c>
      <c r="H5" s="88">
        <v>0.58333333333333337</v>
      </c>
      <c r="I5" s="90" t="s">
        <v>13</v>
      </c>
      <c r="J5" s="90" t="s">
        <v>13</v>
      </c>
      <c r="K5" s="108">
        <v>0.29166666666666669</v>
      </c>
      <c r="L5" s="108">
        <v>0.29166666666666669</v>
      </c>
      <c r="M5" s="108">
        <v>0.58333333333333337</v>
      </c>
      <c r="N5" s="88">
        <v>0.29166666666666669</v>
      </c>
      <c r="O5" s="88">
        <v>0.58333333333333337</v>
      </c>
      <c r="P5" s="90" t="s">
        <v>13</v>
      </c>
      <c r="Q5" s="90" t="s">
        <v>13</v>
      </c>
      <c r="R5" s="123">
        <v>0.375</v>
      </c>
      <c r="S5" s="74" t="s">
        <v>14</v>
      </c>
      <c r="T5" s="123">
        <v>0.375</v>
      </c>
      <c r="U5" s="122">
        <v>0.375</v>
      </c>
      <c r="V5" s="122">
        <v>0.58333333333333337</v>
      </c>
      <c r="W5" s="90" t="s">
        <v>13</v>
      </c>
      <c r="X5" s="90" t="s">
        <v>13</v>
      </c>
      <c r="Y5" s="15">
        <v>0.45833333333333331</v>
      </c>
      <c r="Z5" s="15">
        <v>0.45833333333333331</v>
      </c>
      <c r="AA5" s="15">
        <v>0.45833333333333331</v>
      </c>
      <c r="AB5" s="16">
        <v>0.45833333333333331</v>
      </c>
      <c r="AC5" s="16">
        <v>0.45833333333333331</v>
      </c>
      <c r="AD5" s="90" t="s">
        <v>13</v>
      </c>
      <c r="AE5" s="90" t="s">
        <v>13</v>
      </c>
      <c r="AF5" s="108">
        <v>0.58333333333333337</v>
      </c>
      <c r="AG5" s="108">
        <v>0.58333333333333337</v>
      </c>
      <c r="AH5" s="108">
        <v>0.58333333333333337</v>
      </c>
      <c r="AI5" s="15"/>
      <c r="AJ5" s="15"/>
      <c r="AK5" s="25"/>
      <c r="AL5" s="30">
        <v>5</v>
      </c>
      <c r="AM5" s="30">
        <v>16</v>
      </c>
      <c r="AP5" s="1">
        <f t="shared" si="0"/>
        <v>3</v>
      </c>
      <c r="AQ5" s="1">
        <f t="shared" si="0"/>
        <v>0</v>
      </c>
      <c r="AR5" s="1">
        <f t="shared" si="0"/>
        <v>3</v>
      </c>
      <c r="AS5" s="1">
        <f t="shared" si="0"/>
        <v>0</v>
      </c>
      <c r="AT5" s="1">
        <f t="shared" si="0"/>
        <v>5</v>
      </c>
      <c r="AU5" s="1">
        <f t="shared" si="0"/>
        <v>0</v>
      </c>
      <c r="AV5" s="1">
        <f t="shared" si="0"/>
        <v>0</v>
      </c>
      <c r="AW5" s="1">
        <f t="shared" si="0"/>
        <v>11</v>
      </c>
      <c r="AX5" s="1">
        <f t="shared" si="0"/>
        <v>0</v>
      </c>
      <c r="AY5" s="1">
        <f t="shared" si="0"/>
        <v>0</v>
      </c>
      <c r="AZ5" s="1">
        <f t="shared" si="1"/>
        <v>0</v>
      </c>
      <c r="BA5" s="1">
        <f t="shared" si="1"/>
        <v>0</v>
      </c>
      <c r="BB5" s="1">
        <f t="shared" si="1"/>
        <v>0</v>
      </c>
      <c r="BC5" s="1">
        <f t="shared" si="1"/>
        <v>0</v>
      </c>
      <c r="BD5" s="1">
        <f t="shared" si="1"/>
        <v>0</v>
      </c>
      <c r="BE5" s="1">
        <f t="shared" si="1"/>
        <v>0</v>
      </c>
      <c r="BF5" s="1">
        <f t="shared" si="1"/>
        <v>0</v>
      </c>
      <c r="BH5" s="1">
        <f t="shared" si="2"/>
        <v>22</v>
      </c>
      <c r="BI5" s="1">
        <f t="shared" si="3"/>
        <v>8</v>
      </c>
      <c r="BJ5" s="1">
        <f t="shared" si="4"/>
        <v>1</v>
      </c>
      <c r="BK5" s="1">
        <f t="shared" si="5"/>
        <v>0</v>
      </c>
      <c r="BL5" s="1">
        <f t="shared" si="6"/>
        <v>0</v>
      </c>
    </row>
    <row r="6" spans="1:67">
      <c r="A6" s="121" t="s">
        <v>22</v>
      </c>
      <c r="B6" s="121" t="s">
        <v>18</v>
      </c>
      <c r="C6" s="124">
        <v>30000369</v>
      </c>
      <c r="D6" s="108">
        <v>0.58333333333333337</v>
      </c>
      <c r="E6" s="108">
        <v>0.58333333333333337</v>
      </c>
      <c r="F6" s="108">
        <v>0.58333333333333337</v>
      </c>
      <c r="G6" s="88">
        <v>0.58333333333333337</v>
      </c>
      <c r="H6" s="88">
        <v>0.58333333333333337</v>
      </c>
      <c r="I6" s="90" t="s">
        <v>13</v>
      </c>
      <c r="J6" s="90" t="s">
        <v>13</v>
      </c>
      <c r="K6" s="108">
        <v>0.29166666666666669</v>
      </c>
      <c r="L6" s="108">
        <v>0.29166666666666669</v>
      </c>
      <c r="M6" s="88">
        <v>0.29166666666666669</v>
      </c>
      <c r="N6" s="108">
        <v>0.29166666666666669</v>
      </c>
      <c r="O6" s="88">
        <v>0.29166666666666669</v>
      </c>
      <c r="P6" s="90" t="s">
        <v>13</v>
      </c>
      <c r="Q6" s="90" t="s">
        <v>13</v>
      </c>
      <c r="R6" s="16">
        <v>0.29166666666666669</v>
      </c>
      <c r="S6" s="15">
        <v>0.45833333333333331</v>
      </c>
      <c r="T6" s="16">
        <v>0.45833333333333331</v>
      </c>
      <c r="U6" s="15">
        <v>0.45833333333333331</v>
      </c>
      <c r="V6" s="15">
        <v>0.45833333333333331</v>
      </c>
      <c r="W6" s="90" t="s">
        <v>13</v>
      </c>
      <c r="X6" s="90" t="s">
        <v>13</v>
      </c>
      <c r="Y6" s="112">
        <v>0.29166666666666669</v>
      </c>
      <c r="Z6" s="123">
        <v>0.58333333333333337</v>
      </c>
      <c r="AA6" s="122">
        <v>0.58333333333333337</v>
      </c>
      <c r="AB6" s="123">
        <v>0.58333333333333337</v>
      </c>
      <c r="AC6" s="122">
        <v>0.58333333333333337</v>
      </c>
      <c r="AD6" s="90" t="s">
        <v>13</v>
      </c>
      <c r="AE6" s="90" t="s">
        <v>13</v>
      </c>
      <c r="AF6" s="108">
        <v>0.375</v>
      </c>
      <c r="AG6" s="108">
        <v>0.375</v>
      </c>
      <c r="AH6" s="108">
        <v>0.375</v>
      </c>
      <c r="AI6" s="15"/>
      <c r="AJ6" s="15"/>
      <c r="AK6" s="25"/>
      <c r="AL6" s="30">
        <v>5</v>
      </c>
      <c r="AM6" s="30">
        <v>16</v>
      </c>
      <c r="AP6" s="1">
        <f t="shared" si="0"/>
        <v>7</v>
      </c>
      <c r="AQ6" s="1">
        <f t="shared" si="0"/>
        <v>0</v>
      </c>
      <c r="AR6" s="1">
        <f t="shared" si="0"/>
        <v>3</v>
      </c>
      <c r="AS6" s="1">
        <f t="shared" si="0"/>
        <v>0</v>
      </c>
      <c r="AT6" s="1">
        <f t="shared" si="0"/>
        <v>4</v>
      </c>
      <c r="AU6" s="1">
        <f t="shared" si="0"/>
        <v>0</v>
      </c>
      <c r="AV6" s="1">
        <f t="shared" si="0"/>
        <v>0</v>
      </c>
      <c r="AW6" s="1">
        <f t="shared" si="0"/>
        <v>9</v>
      </c>
      <c r="AX6" s="1">
        <f t="shared" si="0"/>
        <v>0</v>
      </c>
      <c r="AY6" s="1">
        <f t="shared" si="0"/>
        <v>0</v>
      </c>
      <c r="AZ6" s="1">
        <f t="shared" si="1"/>
        <v>0</v>
      </c>
      <c r="BA6" s="1">
        <f t="shared" si="1"/>
        <v>0</v>
      </c>
      <c r="BB6" s="1">
        <f t="shared" si="1"/>
        <v>0</v>
      </c>
      <c r="BC6" s="1">
        <f t="shared" si="1"/>
        <v>0</v>
      </c>
      <c r="BD6" s="1">
        <f t="shared" si="1"/>
        <v>0</v>
      </c>
      <c r="BE6" s="1">
        <f t="shared" si="1"/>
        <v>0</v>
      </c>
      <c r="BF6" s="1">
        <f t="shared" si="1"/>
        <v>0</v>
      </c>
      <c r="BH6" s="1">
        <f t="shared" ref="BH6:BH10" si="7">SUM(AP6:BF6)</f>
        <v>23</v>
      </c>
      <c r="BI6" s="1">
        <f t="shared" si="3"/>
        <v>8</v>
      </c>
      <c r="BJ6" s="1">
        <f t="shared" si="4"/>
        <v>0</v>
      </c>
      <c r="BK6" s="1">
        <f t="shared" si="5"/>
        <v>0</v>
      </c>
      <c r="BL6" s="1">
        <f t="shared" si="6"/>
        <v>0</v>
      </c>
    </row>
    <row r="7" spans="1:67">
      <c r="A7" s="121" t="s">
        <v>23</v>
      </c>
      <c r="B7" s="121" t="s">
        <v>18</v>
      </c>
      <c r="C7" s="121">
        <v>1842168</v>
      </c>
      <c r="D7" s="122">
        <v>0.375</v>
      </c>
      <c r="E7" s="123">
        <v>0.375</v>
      </c>
      <c r="F7" s="74" t="s">
        <v>14</v>
      </c>
      <c r="G7" s="74" t="s">
        <v>14</v>
      </c>
      <c r="H7" s="74" t="s">
        <v>14</v>
      </c>
      <c r="I7" s="90" t="s">
        <v>13</v>
      </c>
      <c r="J7" s="90" t="s">
        <v>13</v>
      </c>
      <c r="K7" s="122">
        <v>0.58333333333333337</v>
      </c>
      <c r="L7" s="123">
        <v>0.58333333333333337</v>
      </c>
      <c r="M7" s="123">
        <v>0.58333333333333337</v>
      </c>
      <c r="N7" s="123">
        <v>0.58333333333333337</v>
      </c>
      <c r="O7" s="122">
        <v>0.58333333333333337</v>
      </c>
      <c r="P7" s="90" t="s">
        <v>13</v>
      </c>
      <c r="Q7" s="90" t="s">
        <v>13</v>
      </c>
      <c r="R7" s="16">
        <v>0.45833333333333331</v>
      </c>
      <c r="S7" s="15">
        <v>0.45833333333333331</v>
      </c>
      <c r="T7" s="114" t="s">
        <v>20</v>
      </c>
      <c r="U7" s="114" t="s">
        <v>20</v>
      </c>
      <c r="V7" s="114" t="s">
        <v>20</v>
      </c>
      <c r="W7" s="90" t="s">
        <v>13</v>
      </c>
      <c r="X7" s="90" t="s">
        <v>13</v>
      </c>
      <c r="Y7" s="114" t="s">
        <v>20</v>
      </c>
      <c r="Z7" s="114" t="s">
        <v>20</v>
      </c>
      <c r="AA7" s="114" t="s">
        <v>20</v>
      </c>
      <c r="AB7" s="114" t="s">
        <v>20</v>
      </c>
      <c r="AC7" s="114" t="s">
        <v>20</v>
      </c>
      <c r="AD7" s="90" t="s">
        <v>13</v>
      </c>
      <c r="AE7" s="90" t="s">
        <v>13</v>
      </c>
      <c r="AF7" s="114" t="s">
        <v>20</v>
      </c>
      <c r="AG7" s="114" t="s">
        <v>20</v>
      </c>
      <c r="AH7" s="108">
        <v>0.58333333333333337</v>
      </c>
      <c r="AI7" s="15"/>
      <c r="AJ7" s="15"/>
      <c r="AK7" s="25"/>
      <c r="AL7" s="30">
        <v>5</v>
      </c>
      <c r="AM7" s="30">
        <v>16</v>
      </c>
      <c r="AP7" s="1">
        <f t="shared" si="0"/>
        <v>0</v>
      </c>
      <c r="AQ7" s="1">
        <f t="shared" si="0"/>
        <v>0</v>
      </c>
      <c r="AR7" s="1">
        <f t="shared" si="0"/>
        <v>2</v>
      </c>
      <c r="AS7" s="1">
        <f t="shared" si="0"/>
        <v>0</v>
      </c>
      <c r="AT7" s="1">
        <f t="shared" si="0"/>
        <v>2</v>
      </c>
      <c r="AU7" s="1">
        <f t="shared" si="0"/>
        <v>0</v>
      </c>
      <c r="AV7" s="1">
        <f t="shared" si="0"/>
        <v>0</v>
      </c>
      <c r="AW7" s="1">
        <f t="shared" si="0"/>
        <v>6</v>
      </c>
      <c r="AX7" s="1">
        <f t="shared" si="0"/>
        <v>0</v>
      </c>
      <c r="AY7" s="1">
        <f t="shared" si="0"/>
        <v>0</v>
      </c>
      <c r="AZ7" s="1">
        <f t="shared" si="1"/>
        <v>0</v>
      </c>
      <c r="BA7" s="1">
        <f t="shared" si="1"/>
        <v>0</v>
      </c>
      <c r="BB7" s="1">
        <f t="shared" si="1"/>
        <v>0</v>
      </c>
      <c r="BC7" s="1">
        <f t="shared" si="1"/>
        <v>0</v>
      </c>
      <c r="BD7" s="1">
        <f t="shared" si="1"/>
        <v>0</v>
      </c>
      <c r="BE7" s="1">
        <f t="shared" si="1"/>
        <v>0</v>
      </c>
      <c r="BF7" s="1">
        <f t="shared" si="1"/>
        <v>0</v>
      </c>
      <c r="BH7" s="1">
        <f t="shared" si="7"/>
        <v>10</v>
      </c>
      <c r="BI7" s="1">
        <f t="shared" si="3"/>
        <v>8</v>
      </c>
      <c r="BJ7" s="1">
        <f t="shared" si="4"/>
        <v>3</v>
      </c>
      <c r="BK7" s="1">
        <f t="shared" si="5"/>
        <v>0</v>
      </c>
      <c r="BL7" s="1">
        <f t="shared" si="6"/>
        <v>0</v>
      </c>
    </row>
    <row r="8" spans="1:67">
      <c r="A8" s="121" t="s">
        <v>24</v>
      </c>
      <c r="B8" s="121" t="s">
        <v>18</v>
      </c>
      <c r="C8" s="121">
        <v>30041020</v>
      </c>
      <c r="D8" s="108">
        <v>0.29166666666666669</v>
      </c>
      <c r="E8" s="108">
        <v>0.29166666666666669</v>
      </c>
      <c r="F8" s="88">
        <v>0.29166666666666669</v>
      </c>
      <c r="G8" s="108">
        <v>0.29166666666666669</v>
      </c>
      <c r="H8" s="88">
        <v>0.29166666666666669</v>
      </c>
      <c r="I8" s="90" t="s">
        <v>13</v>
      </c>
      <c r="J8" s="90" t="s">
        <v>13</v>
      </c>
      <c r="K8" s="108">
        <v>0.45833333333333331</v>
      </c>
      <c r="L8" s="108">
        <v>0.45833333333333331</v>
      </c>
      <c r="M8" s="88">
        <v>0.45833333333333331</v>
      </c>
      <c r="N8" s="108">
        <v>0.45833333333333331</v>
      </c>
      <c r="O8" s="88">
        <v>0.45833333333333331</v>
      </c>
      <c r="P8" s="90" t="s">
        <v>13</v>
      </c>
      <c r="Q8" s="90" t="s">
        <v>13</v>
      </c>
      <c r="R8" s="108">
        <v>0.58333333333333337</v>
      </c>
      <c r="S8" s="108">
        <v>0.58333333333333337</v>
      </c>
      <c r="T8" s="88">
        <v>0.58333333333333337</v>
      </c>
      <c r="U8" s="108">
        <v>0.58333333333333337</v>
      </c>
      <c r="V8" s="74" t="s">
        <v>14</v>
      </c>
      <c r="W8" s="90" t="s">
        <v>13</v>
      </c>
      <c r="X8" s="90" t="s">
        <v>13</v>
      </c>
      <c r="Y8" s="74" t="s">
        <v>16</v>
      </c>
      <c r="Z8" s="74" t="s">
        <v>14</v>
      </c>
      <c r="AA8" s="74" t="s">
        <v>14</v>
      </c>
      <c r="AB8" s="74" t="s">
        <v>14</v>
      </c>
      <c r="AC8" s="74" t="s">
        <v>14</v>
      </c>
      <c r="AD8" s="90" t="s">
        <v>13</v>
      </c>
      <c r="AE8" s="90" t="s">
        <v>13</v>
      </c>
      <c r="AF8" s="123">
        <v>0.29166666666666669</v>
      </c>
      <c r="AG8" s="123">
        <v>0.29166666666666669</v>
      </c>
      <c r="AH8" s="122">
        <v>0.29166666666666669</v>
      </c>
      <c r="AI8" s="15"/>
      <c r="AJ8" s="15"/>
      <c r="AK8" s="25"/>
      <c r="AL8" s="30">
        <v>5</v>
      </c>
      <c r="AM8" s="30">
        <v>16</v>
      </c>
      <c r="AP8" s="1">
        <f t="shared" si="0"/>
        <v>8</v>
      </c>
      <c r="AQ8" s="1">
        <f t="shared" si="0"/>
        <v>0</v>
      </c>
      <c r="AR8" s="1">
        <f t="shared" si="0"/>
        <v>0</v>
      </c>
      <c r="AS8" s="1">
        <f t="shared" si="0"/>
        <v>0</v>
      </c>
      <c r="AT8" s="1">
        <f t="shared" si="0"/>
        <v>5</v>
      </c>
      <c r="AU8" s="1">
        <f t="shared" si="0"/>
        <v>0</v>
      </c>
      <c r="AV8" s="1">
        <f t="shared" si="0"/>
        <v>0</v>
      </c>
      <c r="AW8" s="1">
        <f t="shared" si="0"/>
        <v>4</v>
      </c>
      <c r="AX8" s="1">
        <f t="shared" si="0"/>
        <v>0</v>
      </c>
      <c r="AY8" s="1">
        <f t="shared" si="0"/>
        <v>0</v>
      </c>
      <c r="AZ8" s="1">
        <f t="shared" si="1"/>
        <v>0</v>
      </c>
      <c r="BA8" s="1">
        <f t="shared" si="1"/>
        <v>0</v>
      </c>
      <c r="BB8" s="1">
        <f t="shared" si="1"/>
        <v>0</v>
      </c>
      <c r="BC8" s="1">
        <f t="shared" si="1"/>
        <v>0</v>
      </c>
      <c r="BD8" s="1">
        <f t="shared" si="1"/>
        <v>0</v>
      </c>
      <c r="BE8" s="1">
        <f t="shared" si="1"/>
        <v>0</v>
      </c>
      <c r="BF8" s="1">
        <f t="shared" si="1"/>
        <v>0</v>
      </c>
      <c r="BH8" s="1">
        <f t="shared" si="7"/>
        <v>17</v>
      </c>
      <c r="BI8" s="1">
        <f>COUNTIF(AG8:AJ8,$BI$2)</f>
        <v>0</v>
      </c>
      <c r="BJ8" s="1">
        <f>COUNTIF(AG8:AJ8,$BJ$2)</f>
        <v>0</v>
      </c>
      <c r="BK8" s="1">
        <f>COUNTIF(AG8:AJ8,$BK$2)</f>
        <v>0</v>
      </c>
      <c r="BL8" s="1">
        <f>COUNTIF(AG8:AJ8,$BL$2)</f>
        <v>0</v>
      </c>
    </row>
    <row r="9" spans="1:67">
      <c r="A9" s="121" t="s">
        <v>25</v>
      </c>
      <c r="B9" s="121" t="s">
        <v>18</v>
      </c>
      <c r="C9" s="121">
        <v>30118404</v>
      </c>
      <c r="D9" s="123">
        <v>0.29166666666666669</v>
      </c>
      <c r="E9" s="123">
        <v>0.45833333333333331</v>
      </c>
      <c r="F9" s="123">
        <v>0.29166666666666669</v>
      </c>
      <c r="G9" s="122">
        <v>0.29166666666666669</v>
      </c>
      <c r="H9" s="122">
        <v>0.29166666666666669</v>
      </c>
      <c r="I9" s="90" t="s">
        <v>13</v>
      </c>
      <c r="J9" s="90" t="s">
        <v>13</v>
      </c>
      <c r="K9" s="108">
        <v>0.58333333333333337</v>
      </c>
      <c r="L9" s="108">
        <v>0.45833333333333331</v>
      </c>
      <c r="M9" s="108">
        <v>0.29166666666666669</v>
      </c>
      <c r="N9" s="88">
        <v>0.45833333333333331</v>
      </c>
      <c r="O9" s="88">
        <v>0.45833333333333331</v>
      </c>
      <c r="P9" s="90" t="s">
        <v>13</v>
      </c>
      <c r="Q9" s="90" t="s">
        <v>13</v>
      </c>
      <c r="R9" s="108">
        <v>0.58333333333333337</v>
      </c>
      <c r="S9" s="108">
        <v>0.58333333333333337</v>
      </c>
      <c r="T9" s="108">
        <v>0.58333333333333337</v>
      </c>
      <c r="U9" s="88">
        <v>0.58333333333333337</v>
      </c>
      <c r="V9" s="88">
        <v>0.29166666666666669</v>
      </c>
      <c r="W9" s="90" t="s">
        <v>13</v>
      </c>
      <c r="X9" s="90" t="s">
        <v>13</v>
      </c>
      <c r="Y9" s="108">
        <v>0.29166666666666669</v>
      </c>
      <c r="Z9" s="108">
        <v>0.29166666666666669</v>
      </c>
      <c r="AA9" s="108">
        <v>0.29166666666666669</v>
      </c>
      <c r="AB9" s="88">
        <v>0.29166666666666669</v>
      </c>
      <c r="AC9" s="88">
        <v>0.29166666666666669</v>
      </c>
      <c r="AD9" s="90" t="s">
        <v>13</v>
      </c>
      <c r="AE9" s="90" t="s">
        <v>13</v>
      </c>
      <c r="AF9" s="123">
        <v>0.29166666666666669</v>
      </c>
      <c r="AG9" s="123">
        <v>0.29166666666666669</v>
      </c>
      <c r="AH9" s="123">
        <v>0.29166666666666669</v>
      </c>
      <c r="AI9" s="15"/>
      <c r="AJ9" s="15"/>
      <c r="AK9" s="25"/>
      <c r="AL9" s="30">
        <v>5</v>
      </c>
      <c r="AM9" s="30">
        <v>16</v>
      </c>
      <c r="AP9" s="1">
        <f t="shared" si="0"/>
        <v>14</v>
      </c>
      <c r="AQ9" s="1">
        <f t="shared" si="0"/>
        <v>0</v>
      </c>
      <c r="AR9" s="1">
        <f t="shared" si="0"/>
        <v>0</v>
      </c>
      <c r="AS9" s="1">
        <f t="shared" si="0"/>
        <v>0</v>
      </c>
      <c r="AT9" s="1">
        <f t="shared" si="0"/>
        <v>4</v>
      </c>
      <c r="AU9" s="1">
        <f t="shared" si="0"/>
        <v>0</v>
      </c>
      <c r="AV9" s="1">
        <f t="shared" si="0"/>
        <v>0</v>
      </c>
      <c r="AW9" s="1">
        <f t="shared" si="0"/>
        <v>5</v>
      </c>
      <c r="AX9" s="1">
        <f t="shared" si="0"/>
        <v>0</v>
      </c>
      <c r="AY9" s="1">
        <f t="shared" si="0"/>
        <v>0</v>
      </c>
      <c r="AZ9" s="1">
        <f t="shared" si="1"/>
        <v>0</v>
      </c>
      <c r="BA9" s="1">
        <f t="shared" si="1"/>
        <v>0</v>
      </c>
      <c r="BB9" s="1">
        <f t="shared" si="1"/>
        <v>0</v>
      </c>
      <c r="BC9" s="1">
        <f t="shared" si="1"/>
        <v>0</v>
      </c>
      <c r="BD9" s="1">
        <f t="shared" si="1"/>
        <v>0</v>
      </c>
      <c r="BE9" s="1">
        <f t="shared" si="1"/>
        <v>0</v>
      </c>
      <c r="BF9" s="1">
        <f t="shared" si="1"/>
        <v>0</v>
      </c>
      <c r="BH9" s="1">
        <f t="shared" si="7"/>
        <v>23</v>
      </c>
      <c r="BI9" s="1">
        <f t="shared" si="3"/>
        <v>8</v>
      </c>
      <c r="BJ9" s="1">
        <f t="shared" si="4"/>
        <v>0</v>
      </c>
      <c r="BK9" s="1">
        <f t="shared" si="5"/>
        <v>0</v>
      </c>
      <c r="BL9" s="1">
        <f t="shared" si="6"/>
        <v>0</v>
      </c>
    </row>
    <row r="10" spans="1:67"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3" t="s">
        <v>26</v>
      </c>
      <c r="Y10" s="91"/>
      <c r="AG10" s="125"/>
      <c r="AH10" s="111"/>
      <c r="AI10" s="111"/>
      <c r="AJ10" s="111"/>
      <c r="AK10" s="25"/>
      <c r="BH10" s="1">
        <f t="shared" si="7"/>
        <v>0</v>
      </c>
      <c r="BI10" s="1">
        <f t="shared" si="3"/>
        <v>0</v>
      </c>
      <c r="BJ10" s="1">
        <f t="shared" si="4"/>
        <v>0</v>
      </c>
      <c r="BK10" s="1">
        <f t="shared" si="5"/>
        <v>0</v>
      </c>
      <c r="BL10" s="1">
        <f t="shared" si="6"/>
        <v>0</v>
      </c>
    </row>
    <row r="11" spans="1:67">
      <c r="B11" s="59"/>
      <c r="C11" s="59"/>
      <c r="E11" s="58"/>
      <c r="F11" s="60" t="s">
        <v>27</v>
      </c>
      <c r="I11" s="60" t="s">
        <v>27</v>
      </c>
      <c r="L11" s="60" t="s">
        <v>27</v>
      </c>
      <c r="M11" s="60" t="s">
        <v>27</v>
      </c>
      <c r="N11" s="60" t="s">
        <v>27</v>
      </c>
      <c r="Q11" s="60" t="s">
        <v>27</v>
      </c>
      <c r="S11" s="60" t="s">
        <v>27</v>
      </c>
      <c r="T11" s="60" t="s">
        <v>27</v>
      </c>
      <c r="U11" s="60"/>
      <c r="W11" s="60" t="s">
        <v>27</v>
      </c>
      <c r="Y11" s="60" t="s">
        <v>27</v>
      </c>
      <c r="Z11" s="60" t="s">
        <v>27</v>
      </c>
      <c r="AA11" s="60" t="s">
        <v>27</v>
      </c>
      <c r="AB11" s="60" t="s">
        <v>27</v>
      </c>
      <c r="AC11" s="60" t="s">
        <v>27</v>
      </c>
      <c r="AD11" s="60" t="s">
        <v>27</v>
      </c>
      <c r="AE11" s="61" t="s">
        <v>27</v>
      </c>
      <c r="AF11" s="60" t="s">
        <v>27</v>
      </c>
      <c r="AK11" s="25"/>
    </row>
    <row r="12" spans="1:67">
      <c r="A12" s="55" t="s">
        <v>28</v>
      </c>
      <c r="C12" s="55" t="s">
        <v>29</v>
      </c>
      <c r="D12" s="87">
        <v>46265</v>
      </c>
      <c r="E12" s="87">
        <v>46266</v>
      </c>
      <c r="F12" s="87">
        <v>46267</v>
      </c>
      <c r="G12" s="87">
        <v>46268</v>
      </c>
      <c r="H12" s="87">
        <v>46269</v>
      </c>
      <c r="I12" s="87">
        <v>46270</v>
      </c>
      <c r="J12" s="87">
        <v>46271</v>
      </c>
      <c r="K12" s="87">
        <v>46272</v>
      </c>
      <c r="L12" s="87">
        <v>46273</v>
      </c>
      <c r="M12" s="87">
        <v>46274</v>
      </c>
      <c r="N12" s="87">
        <v>46275</v>
      </c>
      <c r="O12" s="87">
        <v>46276</v>
      </c>
      <c r="P12" s="87">
        <v>46277</v>
      </c>
      <c r="Q12" s="87">
        <v>46278</v>
      </c>
      <c r="R12" s="87">
        <v>46279</v>
      </c>
      <c r="S12" s="87">
        <v>46280</v>
      </c>
      <c r="T12" s="87">
        <v>46281</v>
      </c>
      <c r="U12" s="87">
        <v>46282</v>
      </c>
      <c r="V12" s="87">
        <v>46283</v>
      </c>
      <c r="W12" s="87">
        <v>46284</v>
      </c>
      <c r="X12" s="87">
        <v>46285</v>
      </c>
      <c r="Y12" s="87">
        <v>46286</v>
      </c>
      <c r="Z12" s="87">
        <v>46287</v>
      </c>
      <c r="AA12" s="87">
        <v>46288</v>
      </c>
      <c r="AB12" s="87">
        <v>46289</v>
      </c>
      <c r="AC12" s="87">
        <v>46290</v>
      </c>
      <c r="AD12" s="87">
        <v>46291</v>
      </c>
      <c r="AE12" s="87">
        <v>46292</v>
      </c>
      <c r="AF12" s="87">
        <v>46293</v>
      </c>
      <c r="AG12" s="87">
        <v>46294</v>
      </c>
      <c r="AH12" s="87">
        <v>46295</v>
      </c>
      <c r="AI12" s="87"/>
      <c r="AJ12" s="87"/>
      <c r="AK12" s="25"/>
    </row>
    <row r="13" spans="1:67">
      <c r="A13" s="3">
        <v>0.29166666666666669</v>
      </c>
      <c r="C13" s="3">
        <v>0.66666666666666663</v>
      </c>
      <c r="D13" s="67">
        <f t="shared" ref="D13:AF13" si="8">COUNTIF(D$3:D$10,$A13)</f>
        <v>2</v>
      </c>
      <c r="E13" s="67">
        <f t="shared" si="8"/>
        <v>2</v>
      </c>
      <c r="F13" s="67">
        <f t="shared" si="8"/>
        <v>2</v>
      </c>
      <c r="G13" s="67">
        <f t="shared" si="8"/>
        <v>2</v>
      </c>
      <c r="H13" s="67">
        <f t="shared" si="8"/>
        <v>2</v>
      </c>
      <c r="I13" s="67">
        <f t="shared" si="8"/>
        <v>0</v>
      </c>
      <c r="J13" s="67">
        <f t="shared" si="8"/>
        <v>0</v>
      </c>
      <c r="K13" s="67">
        <f t="shared" si="8"/>
        <v>2</v>
      </c>
      <c r="L13" s="67">
        <f t="shared" si="8"/>
        <v>2</v>
      </c>
      <c r="M13" s="67">
        <f t="shared" si="8"/>
        <v>2</v>
      </c>
      <c r="N13" s="67">
        <f t="shared" si="8"/>
        <v>2</v>
      </c>
      <c r="O13" s="67">
        <f t="shared" si="8"/>
        <v>2</v>
      </c>
      <c r="P13" s="67">
        <f t="shared" si="8"/>
        <v>0</v>
      </c>
      <c r="Q13" s="67">
        <f t="shared" si="8"/>
        <v>0</v>
      </c>
      <c r="R13" s="67">
        <f t="shared" si="8"/>
        <v>2</v>
      </c>
      <c r="S13" s="67">
        <f t="shared" si="8"/>
        <v>2</v>
      </c>
      <c r="T13" s="67">
        <f t="shared" si="8"/>
        <v>2</v>
      </c>
      <c r="U13" s="67">
        <f t="shared" si="8"/>
        <v>2</v>
      </c>
      <c r="V13" s="67">
        <f t="shared" si="8"/>
        <v>1</v>
      </c>
      <c r="W13" s="67">
        <f t="shared" si="8"/>
        <v>0</v>
      </c>
      <c r="X13" s="67">
        <f>COUNTIF(X$3:X$10,$A13)</f>
        <v>0</v>
      </c>
      <c r="Y13" s="67">
        <f>COUNTIF(Y$3:Y$10,$A13)</f>
        <v>2</v>
      </c>
      <c r="Z13" s="67">
        <f t="shared" si="8"/>
        <v>2</v>
      </c>
      <c r="AA13" s="67">
        <f t="shared" si="8"/>
        <v>2</v>
      </c>
      <c r="AB13" s="67">
        <f t="shared" si="8"/>
        <v>2</v>
      </c>
      <c r="AC13" s="67">
        <f t="shared" si="8"/>
        <v>2</v>
      </c>
      <c r="AD13" s="67">
        <f t="shared" si="8"/>
        <v>0</v>
      </c>
      <c r="AE13" s="67">
        <f t="shared" si="8"/>
        <v>0</v>
      </c>
      <c r="AF13" s="67">
        <f t="shared" si="8"/>
        <v>2</v>
      </c>
      <c r="AG13" s="67">
        <f t="shared" ref="AG13:AH31" si="9">COUNTIF(AG$3:AG$11,$A13)</f>
        <v>2</v>
      </c>
      <c r="AH13" s="67">
        <f t="shared" si="9"/>
        <v>2</v>
      </c>
      <c r="AI13" s="67"/>
      <c r="AJ13" s="67"/>
      <c r="AK13" s="25"/>
    </row>
    <row r="14" spans="1:67">
      <c r="A14" s="3">
        <v>0.33333333333333298</v>
      </c>
      <c r="C14" s="3">
        <v>0.70833333333333304</v>
      </c>
      <c r="D14" s="62">
        <f t="shared" ref="D14:I19" si="10">COUNTIF(D$3:D$10,$A14)</f>
        <v>0</v>
      </c>
      <c r="E14" s="62">
        <f t="shared" si="10"/>
        <v>0</v>
      </c>
      <c r="F14" s="62">
        <f t="shared" si="10"/>
        <v>0</v>
      </c>
      <c r="G14" s="62">
        <f t="shared" si="10"/>
        <v>0</v>
      </c>
      <c r="H14" s="62">
        <f t="shared" si="10"/>
        <v>0</v>
      </c>
      <c r="I14" s="62">
        <f t="shared" si="10"/>
        <v>0</v>
      </c>
      <c r="J14" s="62">
        <f t="shared" ref="J14:K31" si="11">COUNTIF(J$3:J$5,$A14)</f>
        <v>0</v>
      </c>
      <c r="K14" s="62">
        <f t="shared" si="11"/>
        <v>0</v>
      </c>
      <c r="L14" s="62">
        <f t="shared" ref="L14:M20" si="12">COUNTIF(L$3:L$10,$A14)</f>
        <v>0</v>
      </c>
      <c r="M14" s="62">
        <f t="shared" si="12"/>
        <v>0</v>
      </c>
      <c r="N14" s="62">
        <f t="shared" ref="N14:O31" si="13">COUNTIF(N$3:N$5,$A14)</f>
        <v>0</v>
      </c>
      <c r="O14" s="62">
        <f t="shared" si="13"/>
        <v>0</v>
      </c>
      <c r="P14" s="62">
        <f t="shared" ref="P14:P20" si="14">COUNTIF(P$3:P$10,$A14)</f>
        <v>0</v>
      </c>
      <c r="Q14" s="62">
        <f t="shared" ref="Q14:R31" si="15">COUNTIF(Q$3:Q$5,$A14)</f>
        <v>0</v>
      </c>
      <c r="R14" s="62">
        <f t="shared" si="15"/>
        <v>0</v>
      </c>
      <c r="S14" s="62">
        <f t="shared" ref="S14:S20" si="16">COUNTIF(S$3:S$6,$A14)</f>
        <v>0</v>
      </c>
      <c r="T14" s="62">
        <f t="shared" ref="T14:T20" si="17">COUNTIF(T$3:T$10,$A14)</f>
        <v>0</v>
      </c>
      <c r="U14" s="62">
        <f t="shared" ref="U14:V31" si="18">COUNTIF(U$3:U$5,$A14)</f>
        <v>0</v>
      </c>
      <c r="V14" s="62">
        <f t="shared" si="18"/>
        <v>0</v>
      </c>
      <c r="W14" s="62">
        <f t="shared" ref="W14:W20" si="19">COUNTIF(W$3:W$10,$A14)</f>
        <v>0</v>
      </c>
      <c r="X14" s="62">
        <f t="shared" ref="X14:X31" si="20">COUNTIF(X$3:X$5,$A14)</f>
        <v>0</v>
      </c>
      <c r="Y14" s="62">
        <f>COUNTIF(Y$3:Y$5,$A14)</f>
        <v>0</v>
      </c>
      <c r="Z14" s="62">
        <f t="shared" ref="Z14:Z20" si="21">COUNTIF(Z$3:Z$9,$A14)</f>
        <v>0</v>
      </c>
      <c r="AA14" s="62">
        <f t="shared" ref="AA14:AB20" si="22">COUNTIF(AA$3:AA$10,$A14)</f>
        <v>0</v>
      </c>
      <c r="AB14" s="62">
        <f t="shared" si="22"/>
        <v>0</v>
      </c>
      <c r="AC14" s="62">
        <f t="shared" ref="AC14:AC31" si="23">COUNTIF(AC$3:AC$5,$A14)</f>
        <v>0</v>
      </c>
      <c r="AD14" s="62">
        <f t="shared" ref="AD14:AD20" si="24">COUNTIF(AD$3:AD$10,$A14)</f>
        <v>0</v>
      </c>
      <c r="AE14" s="62">
        <f t="shared" ref="AE14:AF31" si="25">COUNTIF(AE$3:AE$5,$A14)</f>
        <v>0</v>
      </c>
      <c r="AF14" s="62">
        <f t="shared" si="25"/>
        <v>0</v>
      </c>
      <c r="AG14" s="62">
        <f t="shared" si="9"/>
        <v>0</v>
      </c>
      <c r="AH14" s="62">
        <f t="shared" si="9"/>
        <v>0</v>
      </c>
      <c r="AI14" s="62"/>
      <c r="AJ14" s="62"/>
      <c r="AK14" s="25"/>
    </row>
    <row r="15" spans="1:67">
      <c r="A15" s="3">
        <v>0.375</v>
      </c>
      <c r="C15" s="3">
        <v>0.75</v>
      </c>
      <c r="D15" s="62">
        <f t="shared" si="10"/>
        <v>1</v>
      </c>
      <c r="E15" s="62">
        <f t="shared" si="10"/>
        <v>1</v>
      </c>
      <c r="F15" s="62">
        <f t="shared" si="10"/>
        <v>0</v>
      </c>
      <c r="G15" s="62">
        <f t="shared" si="10"/>
        <v>0</v>
      </c>
      <c r="H15" s="62">
        <f t="shared" si="10"/>
        <v>0</v>
      </c>
      <c r="I15" s="62">
        <f t="shared" si="10"/>
        <v>0</v>
      </c>
      <c r="J15" s="62">
        <f t="shared" si="11"/>
        <v>0</v>
      </c>
      <c r="K15" s="62">
        <f t="shared" si="11"/>
        <v>1</v>
      </c>
      <c r="L15" s="62">
        <f t="shared" si="12"/>
        <v>1</v>
      </c>
      <c r="M15" s="62">
        <f t="shared" si="12"/>
        <v>1</v>
      </c>
      <c r="N15" s="62">
        <f t="shared" si="13"/>
        <v>0</v>
      </c>
      <c r="O15" s="62">
        <f t="shared" si="13"/>
        <v>0</v>
      </c>
      <c r="P15" s="62">
        <f t="shared" si="14"/>
        <v>0</v>
      </c>
      <c r="Q15" s="62">
        <f t="shared" si="15"/>
        <v>0</v>
      </c>
      <c r="R15" s="62">
        <f t="shared" si="15"/>
        <v>1</v>
      </c>
      <c r="S15" s="62">
        <f t="shared" si="16"/>
        <v>0</v>
      </c>
      <c r="T15" s="62">
        <f t="shared" si="17"/>
        <v>1</v>
      </c>
      <c r="U15" s="62">
        <f t="shared" si="18"/>
        <v>1</v>
      </c>
      <c r="V15" s="62">
        <f t="shared" si="18"/>
        <v>1</v>
      </c>
      <c r="W15" s="62">
        <f t="shared" si="19"/>
        <v>0</v>
      </c>
      <c r="X15" s="62">
        <f t="shared" si="20"/>
        <v>0</v>
      </c>
      <c r="Y15" s="62">
        <f>COUNTIF(Y$3:Y$5,$A15)</f>
        <v>0</v>
      </c>
      <c r="Z15" s="62">
        <f t="shared" si="21"/>
        <v>0</v>
      </c>
      <c r="AA15" s="62">
        <f t="shared" si="22"/>
        <v>0</v>
      </c>
      <c r="AB15" s="62">
        <f t="shared" si="22"/>
        <v>0</v>
      </c>
      <c r="AC15" s="62">
        <f t="shared" si="23"/>
        <v>0</v>
      </c>
      <c r="AD15" s="62">
        <f t="shared" si="24"/>
        <v>0</v>
      </c>
      <c r="AE15" s="62">
        <f t="shared" si="25"/>
        <v>0</v>
      </c>
      <c r="AF15" s="62">
        <f t="shared" si="25"/>
        <v>0</v>
      </c>
      <c r="AG15" s="62">
        <f t="shared" si="9"/>
        <v>1</v>
      </c>
      <c r="AH15" s="62">
        <f t="shared" si="9"/>
        <v>1</v>
      </c>
      <c r="AI15" s="62"/>
      <c r="AJ15" s="62"/>
      <c r="AK15" s="25"/>
    </row>
    <row r="16" spans="1:67">
      <c r="A16" s="3">
        <v>0.41666666666666702</v>
      </c>
      <c r="C16" s="3">
        <v>0.79166666666666663</v>
      </c>
      <c r="D16" s="62">
        <f t="shared" si="10"/>
        <v>0</v>
      </c>
      <c r="E16" s="62">
        <f t="shared" si="10"/>
        <v>0</v>
      </c>
      <c r="F16" s="62">
        <f t="shared" si="10"/>
        <v>0</v>
      </c>
      <c r="G16" s="62">
        <f t="shared" si="10"/>
        <v>0</v>
      </c>
      <c r="H16" s="62">
        <f t="shared" si="10"/>
        <v>0</v>
      </c>
      <c r="I16" s="62">
        <f t="shared" si="10"/>
        <v>0</v>
      </c>
      <c r="J16" s="62">
        <f t="shared" si="11"/>
        <v>0</v>
      </c>
      <c r="K16" s="62">
        <f t="shared" si="11"/>
        <v>0</v>
      </c>
      <c r="L16" s="62">
        <f t="shared" si="12"/>
        <v>0</v>
      </c>
      <c r="M16" s="62">
        <f t="shared" si="12"/>
        <v>0</v>
      </c>
      <c r="N16" s="62">
        <f t="shared" si="13"/>
        <v>0</v>
      </c>
      <c r="O16" s="62">
        <f t="shared" si="13"/>
        <v>0</v>
      </c>
      <c r="P16" s="62">
        <f t="shared" si="14"/>
        <v>0</v>
      </c>
      <c r="Q16" s="62">
        <f t="shared" si="15"/>
        <v>0</v>
      </c>
      <c r="R16" s="62">
        <f t="shared" si="15"/>
        <v>0</v>
      </c>
      <c r="S16" s="62">
        <f t="shared" si="16"/>
        <v>0</v>
      </c>
      <c r="T16" s="62">
        <f t="shared" si="17"/>
        <v>0</v>
      </c>
      <c r="U16" s="62">
        <f t="shared" si="18"/>
        <v>0</v>
      </c>
      <c r="V16" s="62">
        <f t="shared" si="18"/>
        <v>0</v>
      </c>
      <c r="W16" s="62">
        <f t="shared" si="19"/>
        <v>0</v>
      </c>
      <c r="X16" s="62">
        <f t="shared" si="20"/>
        <v>0</v>
      </c>
      <c r="Y16" s="62">
        <f>COUNTIF(Y$3:Y$5,$A16)</f>
        <v>0</v>
      </c>
      <c r="Z16" s="62">
        <f t="shared" si="21"/>
        <v>0</v>
      </c>
      <c r="AA16" s="62">
        <f t="shared" si="22"/>
        <v>0</v>
      </c>
      <c r="AB16" s="62">
        <f t="shared" si="22"/>
        <v>0</v>
      </c>
      <c r="AC16" s="62">
        <f t="shared" si="23"/>
        <v>0</v>
      </c>
      <c r="AD16" s="62">
        <f t="shared" si="24"/>
        <v>0</v>
      </c>
      <c r="AE16" s="62">
        <f t="shared" si="25"/>
        <v>0</v>
      </c>
      <c r="AF16" s="62">
        <f t="shared" si="25"/>
        <v>0</v>
      </c>
      <c r="AG16" s="62">
        <f t="shared" si="9"/>
        <v>0</v>
      </c>
      <c r="AH16" s="62">
        <f t="shared" si="9"/>
        <v>0</v>
      </c>
      <c r="AI16" s="62"/>
      <c r="AJ16" s="62"/>
      <c r="AK16" s="25"/>
    </row>
    <row r="17" spans="1:37">
      <c r="A17" s="3">
        <v>0.45833333333333331</v>
      </c>
      <c r="C17" s="3">
        <v>0.83333333333333304</v>
      </c>
      <c r="D17" s="62">
        <f t="shared" si="10"/>
        <v>1</v>
      </c>
      <c r="E17" s="62">
        <f t="shared" si="10"/>
        <v>1</v>
      </c>
      <c r="F17" s="62">
        <f t="shared" si="10"/>
        <v>1</v>
      </c>
      <c r="G17" s="62">
        <f t="shared" si="10"/>
        <v>1</v>
      </c>
      <c r="H17" s="62">
        <f t="shared" si="10"/>
        <v>2</v>
      </c>
      <c r="I17" s="62">
        <f t="shared" si="10"/>
        <v>0</v>
      </c>
      <c r="J17" s="62">
        <f t="shared" si="11"/>
        <v>0</v>
      </c>
      <c r="K17" s="62">
        <f t="shared" si="11"/>
        <v>0</v>
      </c>
      <c r="L17" s="62">
        <f t="shared" si="12"/>
        <v>2</v>
      </c>
      <c r="M17" s="62">
        <f t="shared" si="12"/>
        <v>1</v>
      </c>
      <c r="N17" s="62">
        <f t="shared" si="13"/>
        <v>0</v>
      </c>
      <c r="O17" s="62">
        <f t="shared" si="13"/>
        <v>0</v>
      </c>
      <c r="P17" s="62">
        <f t="shared" si="14"/>
        <v>0</v>
      </c>
      <c r="Q17" s="62">
        <f t="shared" si="15"/>
        <v>0</v>
      </c>
      <c r="R17" s="62">
        <f t="shared" si="15"/>
        <v>1</v>
      </c>
      <c r="S17" s="62">
        <f t="shared" si="16"/>
        <v>1</v>
      </c>
      <c r="T17" s="62">
        <f t="shared" si="17"/>
        <v>1</v>
      </c>
      <c r="U17" s="62">
        <f t="shared" si="18"/>
        <v>0</v>
      </c>
      <c r="V17" s="62">
        <f t="shared" si="18"/>
        <v>0</v>
      </c>
      <c r="W17" s="62">
        <f t="shared" si="19"/>
        <v>0</v>
      </c>
      <c r="X17" s="62">
        <f t="shared" si="20"/>
        <v>0</v>
      </c>
      <c r="Y17" s="62">
        <f>COUNTIF(Y$3:Y$5,$A17)</f>
        <v>1</v>
      </c>
      <c r="Z17" s="62">
        <f t="shared" si="21"/>
        <v>1</v>
      </c>
      <c r="AA17" s="62">
        <f t="shared" si="22"/>
        <v>1</v>
      </c>
      <c r="AB17" s="62">
        <f t="shared" si="22"/>
        <v>1</v>
      </c>
      <c r="AC17" s="62">
        <f t="shared" si="23"/>
        <v>1</v>
      </c>
      <c r="AD17" s="62">
        <f t="shared" si="24"/>
        <v>0</v>
      </c>
      <c r="AE17" s="62">
        <f t="shared" si="25"/>
        <v>0</v>
      </c>
      <c r="AF17" s="62">
        <f t="shared" si="25"/>
        <v>1</v>
      </c>
      <c r="AG17" s="62">
        <f t="shared" si="9"/>
        <v>1</v>
      </c>
      <c r="AH17" s="62">
        <f t="shared" si="9"/>
        <v>2</v>
      </c>
      <c r="AI17" s="62"/>
      <c r="AJ17" s="62"/>
      <c r="AK17" s="25"/>
    </row>
    <row r="18" spans="1:37">
      <c r="A18" s="3">
        <v>0.499999999999998</v>
      </c>
      <c r="C18" s="3">
        <v>0.875</v>
      </c>
      <c r="D18" s="62">
        <f t="shared" si="10"/>
        <v>0</v>
      </c>
      <c r="E18" s="62">
        <f t="shared" si="10"/>
        <v>0</v>
      </c>
      <c r="F18" s="62">
        <f t="shared" si="10"/>
        <v>0</v>
      </c>
      <c r="G18" s="62">
        <f t="shared" si="10"/>
        <v>0</v>
      </c>
      <c r="H18" s="62">
        <f t="shared" si="10"/>
        <v>0</v>
      </c>
      <c r="I18" s="62">
        <f t="shared" si="10"/>
        <v>0</v>
      </c>
      <c r="J18" s="62">
        <f t="shared" si="11"/>
        <v>0</v>
      </c>
      <c r="K18" s="62">
        <f t="shared" si="11"/>
        <v>0</v>
      </c>
      <c r="L18" s="62">
        <f t="shared" si="12"/>
        <v>0</v>
      </c>
      <c r="M18" s="62">
        <f t="shared" si="12"/>
        <v>0</v>
      </c>
      <c r="N18" s="62">
        <f t="shared" si="13"/>
        <v>0</v>
      </c>
      <c r="O18" s="62">
        <f t="shared" si="13"/>
        <v>0</v>
      </c>
      <c r="P18" s="62">
        <f t="shared" si="14"/>
        <v>0</v>
      </c>
      <c r="Q18" s="62">
        <f t="shared" si="15"/>
        <v>0</v>
      </c>
      <c r="R18" s="62">
        <f t="shared" si="15"/>
        <v>0</v>
      </c>
      <c r="S18" s="62">
        <f t="shared" si="16"/>
        <v>0</v>
      </c>
      <c r="T18" s="62">
        <f t="shared" si="17"/>
        <v>0</v>
      </c>
      <c r="U18" s="62">
        <f t="shared" si="18"/>
        <v>0</v>
      </c>
      <c r="V18" s="62">
        <f t="shared" si="18"/>
        <v>0</v>
      </c>
      <c r="W18" s="62">
        <f t="shared" si="19"/>
        <v>0</v>
      </c>
      <c r="X18" s="62">
        <f t="shared" si="20"/>
        <v>0</v>
      </c>
      <c r="Y18" s="62">
        <f>COUNTIF(Y$3:Y$5,$A18)</f>
        <v>0</v>
      </c>
      <c r="Z18" s="62">
        <f t="shared" si="21"/>
        <v>0</v>
      </c>
      <c r="AA18" s="62">
        <f t="shared" si="22"/>
        <v>0</v>
      </c>
      <c r="AB18" s="62">
        <f t="shared" si="22"/>
        <v>0</v>
      </c>
      <c r="AC18" s="62">
        <f t="shared" si="23"/>
        <v>0</v>
      </c>
      <c r="AD18" s="62">
        <f t="shared" si="24"/>
        <v>0</v>
      </c>
      <c r="AE18" s="62">
        <f t="shared" si="25"/>
        <v>0</v>
      </c>
      <c r="AF18" s="62">
        <f t="shared" si="25"/>
        <v>0</v>
      </c>
      <c r="AG18" s="62">
        <f t="shared" si="9"/>
        <v>0</v>
      </c>
      <c r="AH18" s="62">
        <f t="shared" si="9"/>
        <v>0</v>
      </c>
      <c r="AI18" s="62"/>
      <c r="AJ18" s="62"/>
      <c r="AK18" s="25"/>
    </row>
    <row r="19" spans="1:37">
      <c r="A19" s="3">
        <v>0.54166666666666496</v>
      </c>
      <c r="C19" s="3">
        <v>0.91666666666666696</v>
      </c>
      <c r="D19" s="62">
        <f t="shared" si="10"/>
        <v>0</v>
      </c>
      <c r="E19" s="62">
        <f t="shared" si="10"/>
        <v>0</v>
      </c>
      <c r="F19" s="62">
        <f t="shared" si="10"/>
        <v>0</v>
      </c>
      <c r="G19" s="62">
        <f t="shared" si="10"/>
        <v>0</v>
      </c>
      <c r="H19" s="62">
        <f t="shared" si="10"/>
        <v>0</v>
      </c>
      <c r="I19" s="62">
        <f t="shared" si="10"/>
        <v>0</v>
      </c>
      <c r="J19" s="62">
        <f t="shared" si="11"/>
        <v>0</v>
      </c>
      <c r="K19" s="62">
        <f t="shared" si="11"/>
        <v>0</v>
      </c>
      <c r="L19" s="62">
        <f t="shared" si="12"/>
        <v>0</v>
      </c>
      <c r="M19" s="62">
        <f t="shared" si="12"/>
        <v>0</v>
      </c>
      <c r="N19" s="62">
        <f t="shared" si="13"/>
        <v>0</v>
      </c>
      <c r="O19" s="62">
        <f t="shared" si="13"/>
        <v>0</v>
      </c>
      <c r="P19" s="62">
        <f t="shared" si="14"/>
        <v>0</v>
      </c>
      <c r="Q19" s="62">
        <f t="shared" si="15"/>
        <v>0</v>
      </c>
      <c r="R19" s="62">
        <f t="shared" si="15"/>
        <v>0</v>
      </c>
      <c r="S19" s="62">
        <f t="shared" si="16"/>
        <v>0</v>
      </c>
      <c r="T19" s="62">
        <f t="shared" si="17"/>
        <v>0</v>
      </c>
      <c r="U19" s="62">
        <f t="shared" si="18"/>
        <v>0</v>
      </c>
      <c r="V19" s="62">
        <f t="shared" si="18"/>
        <v>0</v>
      </c>
      <c r="W19" s="62">
        <f t="shared" si="19"/>
        <v>0</v>
      </c>
      <c r="X19" s="62">
        <f t="shared" si="20"/>
        <v>0</v>
      </c>
      <c r="Y19" s="62">
        <f>COUNTIF(Y$3:Y$5,$A19)</f>
        <v>0</v>
      </c>
      <c r="Z19" s="62">
        <f t="shared" si="21"/>
        <v>0</v>
      </c>
      <c r="AA19" s="62">
        <f t="shared" si="22"/>
        <v>0</v>
      </c>
      <c r="AB19" s="62">
        <f t="shared" si="22"/>
        <v>0</v>
      </c>
      <c r="AC19" s="62">
        <f t="shared" si="23"/>
        <v>0</v>
      </c>
      <c r="AD19" s="62">
        <f t="shared" si="24"/>
        <v>0</v>
      </c>
      <c r="AE19" s="62">
        <f t="shared" si="25"/>
        <v>0</v>
      </c>
      <c r="AF19" s="62">
        <f t="shared" si="25"/>
        <v>0</v>
      </c>
      <c r="AG19" s="62">
        <f t="shared" si="9"/>
        <v>0</v>
      </c>
      <c r="AH19" s="62">
        <f t="shared" si="9"/>
        <v>0</v>
      </c>
      <c r="AI19" s="62"/>
      <c r="AJ19" s="62"/>
      <c r="AK19" s="25"/>
    </row>
    <row r="20" spans="1:37">
      <c r="A20" s="3">
        <v>0.58333333333333337</v>
      </c>
      <c r="C20" s="3">
        <v>0.95833333333333304</v>
      </c>
      <c r="D20" s="67">
        <f>COUNTIF(D$3:D$10,$A20)</f>
        <v>2</v>
      </c>
      <c r="E20" s="67">
        <f t="shared" ref="D20:E31" si="26">COUNTIF(E$3:E$5,$A20)</f>
        <v>1</v>
      </c>
      <c r="F20" s="67">
        <f>COUNTIF(F$3:F$10,$A20)</f>
        <v>2</v>
      </c>
      <c r="G20" s="67">
        <f>COUNTIF(G$3:G$10,$A20)</f>
        <v>2</v>
      </c>
      <c r="H20" s="67">
        <f>COUNTIF(H$3:H$10,$A20)</f>
        <v>2</v>
      </c>
      <c r="I20" s="62">
        <f>COUNTIF(I$3:I$10,$A20)</f>
        <v>0</v>
      </c>
      <c r="J20" s="62">
        <f t="shared" si="11"/>
        <v>0</v>
      </c>
      <c r="K20" s="62">
        <f t="shared" si="11"/>
        <v>0</v>
      </c>
      <c r="L20" s="62">
        <f t="shared" si="12"/>
        <v>2</v>
      </c>
      <c r="M20" s="62">
        <f t="shared" si="12"/>
        <v>2</v>
      </c>
      <c r="N20" s="62">
        <f t="shared" si="13"/>
        <v>1</v>
      </c>
      <c r="O20" s="62">
        <f t="shared" si="13"/>
        <v>1</v>
      </c>
      <c r="P20" s="62">
        <f t="shared" si="14"/>
        <v>0</v>
      </c>
      <c r="Q20" s="62">
        <f t="shared" si="15"/>
        <v>0</v>
      </c>
      <c r="R20" s="62">
        <f t="shared" si="15"/>
        <v>0</v>
      </c>
      <c r="S20" s="62">
        <f t="shared" si="16"/>
        <v>0</v>
      </c>
      <c r="T20" s="62">
        <f t="shared" si="17"/>
        <v>2</v>
      </c>
      <c r="U20" s="62">
        <f t="shared" si="18"/>
        <v>0</v>
      </c>
      <c r="V20" s="62">
        <f t="shared" si="18"/>
        <v>2</v>
      </c>
      <c r="W20" s="62">
        <f t="shared" si="19"/>
        <v>0</v>
      </c>
      <c r="X20" s="62">
        <f t="shared" si="20"/>
        <v>0</v>
      </c>
      <c r="Y20" s="62">
        <f>COUNTIF(Y$3:Y$5,$A20)</f>
        <v>2</v>
      </c>
      <c r="Z20" s="62">
        <f t="shared" si="21"/>
        <v>2</v>
      </c>
      <c r="AA20" s="62">
        <f t="shared" si="22"/>
        <v>2</v>
      </c>
      <c r="AB20" s="62">
        <f t="shared" si="22"/>
        <v>2</v>
      </c>
      <c r="AC20" s="62">
        <f t="shared" si="23"/>
        <v>1</v>
      </c>
      <c r="AD20" s="62">
        <f t="shared" si="24"/>
        <v>0</v>
      </c>
      <c r="AE20" s="62">
        <f t="shared" si="25"/>
        <v>0</v>
      </c>
      <c r="AF20" s="62">
        <f t="shared" si="25"/>
        <v>2</v>
      </c>
      <c r="AG20" s="62">
        <f t="shared" si="9"/>
        <v>2</v>
      </c>
      <c r="AH20" s="62">
        <f t="shared" si="9"/>
        <v>2</v>
      </c>
      <c r="AI20" s="62"/>
      <c r="AJ20" s="62"/>
      <c r="AK20" s="25"/>
    </row>
    <row r="21" spans="1:37">
      <c r="A21" s="3">
        <v>0.624999999999997</v>
      </c>
      <c r="C21" s="3">
        <v>1</v>
      </c>
      <c r="D21" s="62">
        <f t="shared" si="26"/>
        <v>0</v>
      </c>
      <c r="E21" s="62">
        <f t="shared" si="26"/>
        <v>0</v>
      </c>
      <c r="F21" s="62">
        <f t="shared" ref="F21:F31" si="27">COUNTIF(F$3:F$5,$A21)</f>
        <v>0</v>
      </c>
      <c r="G21" s="62">
        <f t="shared" ref="G21:H31" si="28">COUNTIF(G$3:G$5,$A21)</f>
        <v>0</v>
      </c>
      <c r="H21" s="62">
        <f t="shared" si="28"/>
        <v>0</v>
      </c>
      <c r="I21" s="62">
        <f t="shared" ref="I21:I31" si="29">COUNTIF(I$3:I$5,$A21)</f>
        <v>0</v>
      </c>
      <c r="J21" s="62">
        <f t="shared" si="11"/>
        <v>0</v>
      </c>
      <c r="K21" s="62">
        <f t="shared" si="11"/>
        <v>0</v>
      </c>
      <c r="L21" s="62">
        <f t="shared" ref="L21:M31" si="30">COUNTIF(L$3:L$5,$A21)</f>
        <v>0</v>
      </c>
      <c r="M21" s="62">
        <f t="shared" si="30"/>
        <v>0</v>
      </c>
      <c r="N21" s="62">
        <f t="shared" si="13"/>
        <v>0</v>
      </c>
      <c r="O21" s="62">
        <f t="shared" si="13"/>
        <v>0</v>
      </c>
      <c r="P21" s="62">
        <f t="shared" ref="P21:P31" si="31">COUNTIF(P$3:P$5,$A21)</f>
        <v>0</v>
      </c>
      <c r="Q21" s="62">
        <f t="shared" si="15"/>
        <v>0</v>
      </c>
      <c r="R21" s="62">
        <f t="shared" si="15"/>
        <v>0</v>
      </c>
      <c r="S21" s="62">
        <f>COUNTIF(S$3:S$5,$A21)</f>
        <v>0</v>
      </c>
      <c r="T21" s="62">
        <f t="shared" ref="T21:Z31" si="32">COUNTIF(T$3:T$5,$A21)</f>
        <v>0</v>
      </c>
      <c r="U21" s="62">
        <f t="shared" si="18"/>
        <v>0</v>
      </c>
      <c r="V21" s="62">
        <f t="shared" si="18"/>
        <v>0</v>
      </c>
      <c r="W21" s="62">
        <f t="shared" ref="W21:W31" si="33">COUNTIF(W$3:W$5,$A21)</f>
        <v>0</v>
      </c>
      <c r="X21" s="62">
        <f t="shared" si="20"/>
        <v>0</v>
      </c>
      <c r="Y21" s="62">
        <f>COUNTIF(Y$3:Y$5,$A21)</f>
        <v>0</v>
      </c>
      <c r="Z21" s="62">
        <f t="shared" ref="Z21:AA31" si="34">COUNTIF(Z$3:Z$5,$A21)</f>
        <v>0</v>
      </c>
      <c r="AA21" s="62">
        <f t="shared" si="34"/>
        <v>0</v>
      </c>
      <c r="AB21" s="62">
        <f>COUNTIF(AB$3:AB$10,$A21)</f>
        <v>0</v>
      </c>
      <c r="AC21" s="62">
        <f t="shared" si="23"/>
        <v>0</v>
      </c>
      <c r="AD21" s="62">
        <f t="shared" ref="AD21:AD31" si="35">COUNTIF(AD$3:AD$5,$A21)</f>
        <v>0</v>
      </c>
      <c r="AE21" s="62">
        <f t="shared" si="25"/>
        <v>0</v>
      </c>
      <c r="AF21" s="62">
        <f t="shared" si="25"/>
        <v>0</v>
      </c>
      <c r="AG21" s="62">
        <f t="shared" si="9"/>
        <v>0</v>
      </c>
      <c r="AH21" s="62">
        <f t="shared" si="9"/>
        <v>0</v>
      </c>
      <c r="AI21" s="62"/>
      <c r="AJ21" s="62"/>
      <c r="AK21" s="25"/>
    </row>
    <row r="22" spans="1:37">
      <c r="A22" s="3">
        <v>0.66666666666666663</v>
      </c>
      <c r="C22" s="3">
        <v>1.0416666666666701</v>
      </c>
      <c r="D22" s="62">
        <f t="shared" si="26"/>
        <v>0</v>
      </c>
      <c r="E22" s="62">
        <f t="shared" si="26"/>
        <v>0</v>
      </c>
      <c r="F22" s="62">
        <f t="shared" si="27"/>
        <v>0</v>
      </c>
      <c r="G22" s="62">
        <f t="shared" si="28"/>
        <v>0</v>
      </c>
      <c r="H22" s="62">
        <f t="shared" si="28"/>
        <v>0</v>
      </c>
      <c r="I22" s="62">
        <f t="shared" si="29"/>
        <v>0</v>
      </c>
      <c r="J22" s="62">
        <f t="shared" si="11"/>
        <v>0</v>
      </c>
      <c r="K22" s="62">
        <f t="shared" si="11"/>
        <v>0</v>
      </c>
      <c r="L22" s="62">
        <f t="shared" si="30"/>
        <v>0</v>
      </c>
      <c r="M22" s="62">
        <f t="shared" si="30"/>
        <v>0</v>
      </c>
      <c r="N22" s="62">
        <f t="shared" si="13"/>
        <v>0</v>
      </c>
      <c r="O22" s="62">
        <f t="shared" si="13"/>
        <v>0</v>
      </c>
      <c r="P22" s="62">
        <f t="shared" si="31"/>
        <v>0</v>
      </c>
      <c r="Q22" s="62">
        <f t="shared" si="15"/>
        <v>0</v>
      </c>
      <c r="R22" s="62">
        <f t="shared" si="15"/>
        <v>0</v>
      </c>
      <c r="S22" s="62">
        <f>COUNTIF(S$3:S$5,$A22)</f>
        <v>0</v>
      </c>
      <c r="T22" s="62">
        <f t="shared" si="32"/>
        <v>0</v>
      </c>
      <c r="U22" s="62">
        <f t="shared" si="32"/>
        <v>0</v>
      </c>
      <c r="V22" s="62">
        <f t="shared" si="32"/>
        <v>0</v>
      </c>
      <c r="W22" s="62">
        <f t="shared" si="32"/>
        <v>0</v>
      </c>
      <c r="X22" s="62">
        <f t="shared" si="32"/>
        <v>0</v>
      </c>
      <c r="Y22" s="62">
        <f>COUNTIF(Y$3:Y$5,$A22)</f>
        <v>0</v>
      </c>
      <c r="Z22" s="62">
        <f t="shared" si="32"/>
        <v>0</v>
      </c>
      <c r="AA22" s="62">
        <f t="shared" si="34"/>
        <v>0</v>
      </c>
      <c r="AB22" s="62">
        <f t="shared" ref="AB22:AB31" si="36">COUNTIF(AB$3:AB$5,$A22)</f>
        <v>0</v>
      </c>
      <c r="AC22" s="62">
        <f t="shared" si="23"/>
        <v>0</v>
      </c>
      <c r="AD22" s="62">
        <f t="shared" si="35"/>
        <v>0</v>
      </c>
      <c r="AE22" s="62">
        <f t="shared" si="25"/>
        <v>0</v>
      </c>
      <c r="AF22" s="62">
        <f t="shared" si="25"/>
        <v>0</v>
      </c>
      <c r="AG22" s="62">
        <f t="shared" si="9"/>
        <v>0</v>
      </c>
      <c r="AH22" s="62">
        <f t="shared" si="9"/>
        <v>0</v>
      </c>
      <c r="AI22" s="62"/>
      <c r="AJ22" s="62"/>
      <c r="AK22" s="25"/>
    </row>
    <row r="23" spans="1:37">
      <c r="A23" s="3">
        <v>0.70833333333333004</v>
      </c>
      <c r="C23" s="3">
        <v>1.0833333333333299</v>
      </c>
      <c r="D23" s="62">
        <f t="shared" si="26"/>
        <v>0</v>
      </c>
      <c r="E23" s="62">
        <f t="shared" si="26"/>
        <v>0</v>
      </c>
      <c r="F23" s="62">
        <f t="shared" si="27"/>
        <v>0</v>
      </c>
      <c r="G23" s="62">
        <f t="shared" si="28"/>
        <v>0</v>
      </c>
      <c r="H23" s="62">
        <f t="shared" si="28"/>
        <v>0</v>
      </c>
      <c r="I23" s="62">
        <f t="shared" si="29"/>
        <v>0</v>
      </c>
      <c r="J23" s="62">
        <f t="shared" si="11"/>
        <v>0</v>
      </c>
      <c r="K23" s="62">
        <f t="shared" si="11"/>
        <v>0</v>
      </c>
      <c r="L23" s="62">
        <f t="shared" si="30"/>
        <v>0</v>
      </c>
      <c r="M23" s="62">
        <f t="shared" si="30"/>
        <v>0</v>
      </c>
      <c r="N23" s="62">
        <f t="shared" si="13"/>
        <v>0</v>
      </c>
      <c r="O23" s="62">
        <f t="shared" si="13"/>
        <v>0</v>
      </c>
      <c r="P23" s="62">
        <f t="shared" si="31"/>
        <v>0</v>
      </c>
      <c r="Q23" s="62">
        <f t="shared" si="15"/>
        <v>0</v>
      </c>
      <c r="R23" s="62">
        <f t="shared" si="15"/>
        <v>0</v>
      </c>
      <c r="S23" s="62">
        <f>COUNTIF(S$3:S$5,$A23)</f>
        <v>0</v>
      </c>
      <c r="T23" s="62">
        <f t="shared" si="32"/>
        <v>0</v>
      </c>
      <c r="U23" s="62">
        <f t="shared" si="18"/>
        <v>0</v>
      </c>
      <c r="V23" s="62">
        <f t="shared" si="18"/>
        <v>0</v>
      </c>
      <c r="W23" s="62">
        <f t="shared" si="33"/>
        <v>0</v>
      </c>
      <c r="X23" s="62">
        <f t="shared" si="20"/>
        <v>0</v>
      </c>
      <c r="Y23" s="62">
        <f>COUNTIF(Y$3:Y$5,$A23)</f>
        <v>0</v>
      </c>
      <c r="Z23" s="62">
        <f t="shared" si="34"/>
        <v>0</v>
      </c>
      <c r="AA23" s="62">
        <f t="shared" si="34"/>
        <v>0</v>
      </c>
      <c r="AB23" s="62">
        <f t="shared" si="36"/>
        <v>0</v>
      </c>
      <c r="AC23" s="62">
        <f t="shared" si="23"/>
        <v>0</v>
      </c>
      <c r="AD23" s="62">
        <f t="shared" si="35"/>
        <v>0</v>
      </c>
      <c r="AE23" s="62">
        <f t="shared" si="25"/>
        <v>0</v>
      </c>
      <c r="AF23" s="62">
        <f t="shared" si="25"/>
        <v>0</v>
      </c>
      <c r="AG23" s="62">
        <f t="shared" si="9"/>
        <v>0</v>
      </c>
      <c r="AH23" s="62">
        <f t="shared" si="9"/>
        <v>0</v>
      </c>
      <c r="AI23" s="62"/>
      <c r="AJ23" s="62"/>
      <c r="AK23" s="25"/>
    </row>
    <row r="24" spans="1:37">
      <c r="A24" s="3">
        <v>0.75</v>
      </c>
      <c r="C24" s="3">
        <v>1.125</v>
      </c>
      <c r="D24" s="62">
        <f t="shared" si="26"/>
        <v>0</v>
      </c>
      <c r="E24" s="62">
        <f t="shared" si="26"/>
        <v>0</v>
      </c>
      <c r="F24" s="62">
        <f t="shared" si="27"/>
        <v>0</v>
      </c>
      <c r="G24" s="62">
        <f t="shared" si="28"/>
        <v>0</v>
      </c>
      <c r="H24" s="62">
        <f t="shared" si="28"/>
        <v>0</v>
      </c>
      <c r="I24" s="62">
        <f t="shared" si="29"/>
        <v>0</v>
      </c>
      <c r="J24" s="62">
        <f t="shared" si="11"/>
        <v>0</v>
      </c>
      <c r="K24" s="62">
        <f t="shared" si="11"/>
        <v>0</v>
      </c>
      <c r="L24" s="62">
        <f t="shared" si="30"/>
        <v>0</v>
      </c>
      <c r="M24" s="62">
        <f t="shared" si="30"/>
        <v>0</v>
      </c>
      <c r="N24" s="62">
        <f t="shared" si="13"/>
        <v>0</v>
      </c>
      <c r="O24" s="62">
        <f t="shared" si="13"/>
        <v>0</v>
      </c>
      <c r="P24" s="62">
        <f t="shared" si="31"/>
        <v>0</v>
      </c>
      <c r="Q24" s="62">
        <f t="shared" si="15"/>
        <v>0</v>
      </c>
      <c r="R24" s="62">
        <f t="shared" si="15"/>
        <v>0</v>
      </c>
      <c r="S24" s="62">
        <f>COUNTIF(S$3:S$5,$A24)</f>
        <v>0</v>
      </c>
      <c r="T24" s="62">
        <f t="shared" si="32"/>
        <v>0</v>
      </c>
      <c r="U24" s="62">
        <f t="shared" si="18"/>
        <v>0</v>
      </c>
      <c r="V24" s="62">
        <f t="shared" si="18"/>
        <v>0</v>
      </c>
      <c r="W24" s="62">
        <f t="shared" si="33"/>
        <v>0</v>
      </c>
      <c r="X24" s="62">
        <f t="shared" si="20"/>
        <v>0</v>
      </c>
      <c r="Y24" s="62">
        <f>COUNTIF(Y$3:Y$5,$A24)</f>
        <v>0</v>
      </c>
      <c r="Z24" s="62">
        <f t="shared" si="34"/>
        <v>0</v>
      </c>
      <c r="AA24" s="62">
        <f t="shared" si="34"/>
        <v>0</v>
      </c>
      <c r="AB24" s="62">
        <f t="shared" si="36"/>
        <v>0</v>
      </c>
      <c r="AC24" s="62">
        <f t="shared" si="23"/>
        <v>0</v>
      </c>
      <c r="AD24" s="62">
        <f t="shared" si="35"/>
        <v>0</v>
      </c>
      <c r="AE24" s="62">
        <f t="shared" si="25"/>
        <v>0</v>
      </c>
      <c r="AF24" s="62">
        <f t="shared" si="25"/>
        <v>0</v>
      </c>
      <c r="AG24" s="62">
        <f t="shared" si="9"/>
        <v>0</v>
      </c>
      <c r="AH24" s="62">
        <f t="shared" si="9"/>
        <v>0</v>
      </c>
      <c r="AI24" s="62"/>
      <c r="AJ24" s="62"/>
      <c r="AK24" s="25"/>
    </row>
    <row r="25" spans="1:37">
      <c r="A25" s="3">
        <v>0.79166666666666663</v>
      </c>
      <c r="C25" s="3">
        <v>1.1666666666666701</v>
      </c>
      <c r="D25" s="62">
        <f t="shared" si="26"/>
        <v>0</v>
      </c>
      <c r="E25" s="62">
        <f t="shared" si="26"/>
        <v>0</v>
      </c>
      <c r="F25" s="62">
        <f t="shared" si="27"/>
        <v>0</v>
      </c>
      <c r="G25" s="62">
        <f t="shared" si="28"/>
        <v>0</v>
      </c>
      <c r="H25" s="62">
        <f t="shared" si="28"/>
        <v>0</v>
      </c>
      <c r="I25" s="62">
        <f t="shared" si="29"/>
        <v>0</v>
      </c>
      <c r="J25" s="62">
        <f t="shared" si="11"/>
        <v>0</v>
      </c>
      <c r="K25" s="62">
        <f t="shared" si="11"/>
        <v>0</v>
      </c>
      <c r="L25" s="62">
        <f t="shared" si="30"/>
        <v>0</v>
      </c>
      <c r="M25" s="62">
        <f t="shared" si="30"/>
        <v>0</v>
      </c>
      <c r="N25" s="62">
        <f t="shared" si="13"/>
        <v>0</v>
      </c>
      <c r="O25" s="62">
        <f t="shared" si="13"/>
        <v>0</v>
      </c>
      <c r="P25" s="62">
        <f t="shared" si="31"/>
        <v>0</v>
      </c>
      <c r="Q25" s="62">
        <f t="shared" si="15"/>
        <v>0</v>
      </c>
      <c r="R25" s="62">
        <f t="shared" si="15"/>
        <v>0</v>
      </c>
      <c r="S25" s="62">
        <f>COUNTIF(S$3:S$5,$A25)</f>
        <v>0</v>
      </c>
      <c r="T25" s="62">
        <f t="shared" si="32"/>
        <v>0</v>
      </c>
      <c r="U25" s="62">
        <f t="shared" si="18"/>
        <v>0</v>
      </c>
      <c r="V25" s="62">
        <f t="shared" si="18"/>
        <v>0</v>
      </c>
      <c r="W25" s="62">
        <f t="shared" si="33"/>
        <v>0</v>
      </c>
      <c r="X25" s="62">
        <f t="shared" si="20"/>
        <v>0</v>
      </c>
      <c r="Y25" s="62">
        <f>COUNTIF(Y$3:Y$5,$A25)</f>
        <v>0</v>
      </c>
      <c r="Z25" s="62">
        <f t="shared" si="34"/>
        <v>0</v>
      </c>
      <c r="AA25" s="62">
        <f t="shared" si="34"/>
        <v>0</v>
      </c>
      <c r="AB25" s="62">
        <f t="shared" si="36"/>
        <v>0</v>
      </c>
      <c r="AC25" s="62">
        <f t="shared" si="23"/>
        <v>0</v>
      </c>
      <c r="AD25" s="62">
        <f t="shared" si="35"/>
        <v>0</v>
      </c>
      <c r="AE25" s="62">
        <f t="shared" si="25"/>
        <v>0</v>
      </c>
      <c r="AF25" s="62">
        <f t="shared" si="25"/>
        <v>0</v>
      </c>
      <c r="AG25" s="62">
        <f t="shared" si="9"/>
        <v>0</v>
      </c>
      <c r="AH25" s="62">
        <f t="shared" si="9"/>
        <v>0</v>
      </c>
      <c r="AI25" s="62"/>
      <c r="AJ25" s="62"/>
      <c r="AK25" s="25"/>
    </row>
    <row r="26" spans="1:37">
      <c r="A26" s="3">
        <v>0.83333333333332904</v>
      </c>
      <c r="C26" s="3">
        <v>1.2083333333333299</v>
      </c>
      <c r="D26" s="62">
        <f t="shared" si="26"/>
        <v>0</v>
      </c>
      <c r="E26" s="62">
        <f t="shared" si="26"/>
        <v>0</v>
      </c>
      <c r="F26" s="62">
        <f t="shared" si="27"/>
        <v>0</v>
      </c>
      <c r="G26" s="62">
        <f t="shared" si="28"/>
        <v>0</v>
      </c>
      <c r="H26" s="62">
        <f t="shared" si="28"/>
        <v>0</v>
      </c>
      <c r="I26" s="62">
        <f t="shared" si="29"/>
        <v>0</v>
      </c>
      <c r="J26" s="62">
        <f t="shared" si="11"/>
        <v>0</v>
      </c>
      <c r="K26" s="62">
        <f t="shared" si="11"/>
        <v>0</v>
      </c>
      <c r="L26" s="62">
        <f t="shared" si="30"/>
        <v>0</v>
      </c>
      <c r="M26" s="62">
        <f t="shared" si="30"/>
        <v>0</v>
      </c>
      <c r="N26" s="62">
        <f t="shared" si="13"/>
        <v>0</v>
      </c>
      <c r="O26" s="62">
        <f t="shared" si="13"/>
        <v>0</v>
      </c>
      <c r="P26" s="62">
        <f t="shared" si="31"/>
        <v>0</v>
      </c>
      <c r="Q26" s="62">
        <f t="shared" si="15"/>
        <v>0</v>
      </c>
      <c r="R26" s="62">
        <f t="shared" si="15"/>
        <v>0</v>
      </c>
      <c r="S26" s="62">
        <f>COUNTIF(S$3:S$5,$A26)</f>
        <v>0</v>
      </c>
      <c r="T26" s="62">
        <f t="shared" si="32"/>
        <v>0</v>
      </c>
      <c r="U26" s="62">
        <f t="shared" si="18"/>
        <v>0</v>
      </c>
      <c r="V26" s="62">
        <f t="shared" si="18"/>
        <v>0</v>
      </c>
      <c r="W26" s="62">
        <f t="shared" si="33"/>
        <v>0</v>
      </c>
      <c r="X26" s="62">
        <f t="shared" si="20"/>
        <v>0</v>
      </c>
      <c r="Y26" s="62">
        <f>COUNTIF(Y$3:Y$5,$A26)</f>
        <v>0</v>
      </c>
      <c r="Z26" s="62">
        <f t="shared" si="34"/>
        <v>0</v>
      </c>
      <c r="AA26" s="62">
        <f t="shared" si="34"/>
        <v>0</v>
      </c>
      <c r="AB26" s="62">
        <f t="shared" si="36"/>
        <v>0</v>
      </c>
      <c r="AC26" s="62">
        <f t="shared" si="23"/>
        <v>0</v>
      </c>
      <c r="AD26" s="62">
        <f t="shared" si="35"/>
        <v>0</v>
      </c>
      <c r="AE26" s="62">
        <f t="shared" si="25"/>
        <v>0</v>
      </c>
      <c r="AF26" s="62">
        <f t="shared" si="25"/>
        <v>0</v>
      </c>
      <c r="AG26" s="62">
        <f t="shared" si="9"/>
        <v>0</v>
      </c>
      <c r="AH26" s="62">
        <f t="shared" si="9"/>
        <v>0</v>
      </c>
      <c r="AI26" s="62"/>
      <c r="AJ26" s="62"/>
      <c r="AK26" s="25"/>
    </row>
    <row r="27" spans="1:37">
      <c r="A27" s="3">
        <v>0.874999999999995</v>
      </c>
      <c r="C27" s="3">
        <v>1.25</v>
      </c>
      <c r="D27" s="62">
        <f t="shared" si="26"/>
        <v>0</v>
      </c>
      <c r="E27" s="62">
        <f t="shared" si="26"/>
        <v>0</v>
      </c>
      <c r="F27" s="62">
        <f t="shared" si="27"/>
        <v>0</v>
      </c>
      <c r="G27" s="62">
        <f t="shared" si="28"/>
        <v>0</v>
      </c>
      <c r="H27" s="62">
        <f t="shared" si="28"/>
        <v>0</v>
      </c>
      <c r="I27" s="62">
        <f t="shared" si="29"/>
        <v>0</v>
      </c>
      <c r="J27" s="62">
        <f t="shared" si="11"/>
        <v>0</v>
      </c>
      <c r="K27" s="62">
        <f t="shared" si="11"/>
        <v>0</v>
      </c>
      <c r="L27" s="62">
        <f t="shared" si="30"/>
        <v>0</v>
      </c>
      <c r="M27" s="62">
        <f t="shared" si="30"/>
        <v>0</v>
      </c>
      <c r="N27" s="62">
        <f t="shared" si="13"/>
        <v>0</v>
      </c>
      <c r="O27" s="62">
        <f t="shared" si="13"/>
        <v>0</v>
      </c>
      <c r="P27" s="62">
        <f t="shared" si="31"/>
        <v>0</v>
      </c>
      <c r="Q27" s="62">
        <f t="shared" si="15"/>
        <v>0</v>
      </c>
      <c r="R27" s="62">
        <f t="shared" si="15"/>
        <v>0</v>
      </c>
      <c r="S27" s="62">
        <f>COUNTIF(S$3:S$5,$A27)</f>
        <v>0</v>
      </c>
      <c r="T27" s="62">
        <f t="shared" si="32"/>
        <v>0</v>
      </c>
      <c r="U27" s="62">
        <f t="shared" si="18"/>
        <v>0</v>
      </c>
      <c r="V27" s="62">
        <f t="shared" si="18"/>
        <v>0</v>
      </c>
      <c r="W27" s="62">
        <f t="shared" si="33"/>
        <v>0</v>
      </c>
      <c r="X27" s="62">
        <f t="shared" si="20"/>
        <v>0</v>
      </c>
      <c r="Y27" s="62">
        <f>COUNTIF(Y$3:Y$5,$A27)</f>
        <v>0</v>
      </c>
      <c r="Z27" s="62">
        <f t="shared" si="34"/>
        <v>0</v>
      </c>
      <c r="AA27" s="62">
        <f t="shared" si="34"/>
        <v>0</v>
      </c>
      <c r="AB27" s="62">
        <f t="shared" si="36"/>
        <v>0</v>
      </c>
      <c r="AC27" s="62">
        <f t="shared" si="23"/>
        <v>0</v>
      </c>
      <c r="AD27" s="62">
        <f t="shared" si="35"/>
        <v>0</v>
      </c>
      <c r="AE27" s="62">
        <f t="shared" si="25"/>
        <v>0</v>
      </c>
      <c r="AF27" s="62">
        <f t="shared" si="25"/>
        <v>0</v>
      </c>
      <c r="AG27" s="62">
        <f t="shared" si="9"/>
        <v>0</v>
      </c>
      <c r="AH27" s="62">
        <f t="shared" si="9"/>
        <v>0</v>
      </c>
      <c r="AI27" s="62"/>
      <c r="AJ27" s="62"/>
      <c r="AK27" s="25"/>
    </row>
    <row r="28" spans="1:37">
      <c r="A28" s="3">
        <v>0.91666666666666097</v>
      </c>
      <c r="C28" s="3">
        <v>1.2916666666666667</v>
      </c>
      <c r="D28" s="62">
        <f t="shared" si="26"/>
        <v>0</v>
      </c>
      <c r="E28" s="62">
        <f t="shared" si="26"/>
        <v>0</v>
      </c>
      <c r="F28" s="62">
        <f t="shared" si="27"/>
        <v>0</v>
      </c>
      <c r="G28" s="62">
        <f t="shared" si="28"/>
        <v>0</v>
      </c>
      <c r="H28" s="62">
        <f t="shared" si="28"/>
        <v>0</v>
      </c>
      <c r="I28" s="62">
        <f t="shared" si="29"/>
        <v>0</v>
      </c>
      <c r="J28" s="62">
        <f t="shared" si="11"/>
        <v>0</v>
      </c>
      <c r="K28" s="62">
        <f t="shared" si="11"/>
        <v>0</v>
      </c>
      <c r="L28" s="62">
        <f t="shared" si="30"/>
        <v>0</v>
      </c>
      <c r="M28" s="62">
        <f t="shared" si="30"/>
        <v>0</v>
      </c>
      <c r="N28" s="62">
        <f t="shared" si="13"/>
        <v>0</v>
      </c>
      <c r="O28" s="62">
        <f t="shared" si="13"/>
        <v>0</v>
      </c>
      <c r="P28" s="62">
        <f t="shared" si="31"/>
        <v>0</v>
      </c>
      <c r="Q28" s="62">
        <f t="shared" si="15"/>
        <v>0</v>
      </c>
      <c r="R28" s="62">
        <f t="shared" si="15"/>
        <v>0</v>
      </c>
      <c r="S28" s="62">
        <f>COUNTIF(S$3:S$5,$A28)</f>
        <v>0</v>
      </c>
      <c r="T28" s="62">
        <f t="shared" si="32"/>
        <v>0</v>
      </c>
      <c r="U28" s="62">
        <f t="shared" si="18"/>
        <v>0</v>
      </c>
      <c r="V28" s="62">
        <f t="shared" si="18"/>
        <v>0</v>
      </c>
      <c r="W28" s="62">
        <f t="shared" si="33"/>
        <v>0</v>
      </c>
      <c r="X28" s="62">
        <f t="shared" si="20"/>
        <v>0</v>
      </c>
      <c r="Y28" s="62">
        <f>COUNTIF(Y$3:Y$5,$A28)</f>
        <v>0</v>
      </c>
      <c r="Z28" s="62">
        <f t="shared" si="34"/>
        <v>0</v>
      </c>
      <c r="AA28" s="62">
        <f t="shared" si="34"/>
        <v>0</v>
      </c>
      <c r="AB28" s="62">
        <f t="shared" si="36"/>
        <v>0</v>
      </c>
      <c r="AC28" s="62">
        <f t="shared" si="23"/>
        <v>0</v>
      </c>
      <c r="AD28" s="62">
        <f t="shared" si="35"/>
        <v>0</v>
      </c>
      <c r="AE28" s="62">
        <f t="shared" si="25"/>
        <v>0</v>
      </c>
      <c r="AF28" s="62">
        <f t="shared" si="25"/>
        <v>0</v>
      </c>
      <c r="AG28" s="62">
        <f t="shared" si="9"/>
        <v>0</v>
      </c>
      <c r="AH28" s="62">
        <f t="shared" si="9"/>
        <v>0</v>
      </c>
      <c r="AI28" s="62"/>
      <c r="AJ28" s="62"/>
      <c r="AK28" s="25"/>
    </row>
    <row r="29" spans="1:37">
      <c r="A29" s="3">
        <v>0.95833333333333337</v>
      </c>
      <c r="C29" s="3">
        <v>1.3333333333333299</v>
      </c>
      <c r="D29" s="62">
        <f t="shared" si="26"/>
        <v>0</v>
      </c>
      <c r="E29" s="62">
        <f t="shared" si="26"/>
        <v>0</v>
      </c>
      <c r="F29" s="62">
        <f t="shared" si="27"/>
        <v>0</v>
      </c>
      <c r="G29" s="62">
        <f t="shared" si="28"/>
        <v>0</v>
      </c>
      <c r="H29" s="62">
        <f t="shared" si="28"/>
        <v>0</v>
      </c>
      <c r="I29" s="62">
        <f t="shared" si="29"/>
        <v>0</v>
      </c>
      <c r="J29" s="62">
        <f t="shared" si="11"/>
        <v>0</v>
      </c>
      <c r="K29" s="62">
        <f t="shared" si="11"/>
        <v>0</v>
      </c>
      <c r="L29" s="62">
        <f t="shared" si="30"/>
        <v>0</v>
      </c>
      <c r="M29" s="62">
        <f t="shared" si="30"/>
        <v>0</v>
      </c>
      <c r="N29" s="62">
        <f t="shared" si="13"/>
        <v>0</v>
      </c>
      <c r="O29" s="62">
        <f t="shared" si="13"/>
        <v>0</v>
      </c>
      <c r="P29" s="62">
        <f t="shared" si="31"/>
        <v>0</v>
      </c>
      <c r="Q29" s="62">
        <f t="shared" si="15"/>
        <v>0</v>
      </c>
      <c r="R29" s="62">
        <f t="shared" si="15"/>
        <v>0</v>
      </c>
      <c r="S29" s="62">
        <f>COUNTIF(S$3:S$5,$A29)</f>
        <v>0</v>
      </c>
      <c r="T29" s="62">
        <f t="shared" si="32"/>
        <v>0</v>
      </c>
      <c r="U29" s="62">
        <f t="shared" si="18"/>
        <v>0</v>
      </c>
      <c r="V29" s="62">
        <f t="shared" si="18"/>
        <v>0</v>
      </c>
      <c r="W29" s="62">
        <f t="shared" si="33"/>
        <v>0</v>
      </c>
      <c r="X29" s="62">
        <f t="shared" si="20"/>
        <v>0</v>
      </c>
      <c r="Y29" s="62">
        <f>COUNTIF(Y$3:Y$5,$A29)</f>
        <v>0</v>
      </c>
      <c r="Z29" s="62">
        <f t="shared" si="34"/>
        <v>0</v>
      </c>
      <c r="AA29" s="62">
        <f t="shared" si="34"/>
        <v>0</v>
      </c>
      <c r="AB29" s="62">
        <f t="shared" si="36"/>
        <v>0</v>
      </c>
      <c r="AC29" s="62">
        <f t="shared" si="23"/>
        <v>0</v>
      </c>
      <c r="AD29" s="62">
        <f t="shared" si="35"/>
        <v>0</v>
      </c>
      <c r="AE29" s="62">
        <f t="shared" si="25"/>
        <v>0</v>
      </c>
      <c r="AF29" s="62">
        <f t="shared" si="25"/>
        <v>0</v>
      </c>
      <c r="AG29" s="62">
        <f t="shared" si="9"/>
        <v>0</v>
      </c>
      <c r="AH29" s="62">
        <f t="shared" si="9"/>
        <v>0</v>
      </c>
      <c r="AI29" s="62"/>
      <c r="AJ29" s="62"/>
      <c r="AK29" s="25"/>
    </row>
    <row r="30" spans="1:37">
      <c r="A30" s="3">
        <v>0.999999999999998</v>
      </c>
      <c r="C30" s="3">
        <v>1.375</v>
      </c>
      <c r="D30" s="62">
        <f t="shared" si="26"/>
        <v>0</v>
      </c>
      <c r="E30" s="62">
        <f t="shared" si="26"/>
        <v>0</v>
      </c>
      <c r="F30" s="62">
        <f t="shared" si="27"/>
        <v>0</v>
      </c>
      <c r="G30" s="62">
        <f t="shared" si="28"/>
        <v>0</v>
      </c>
      <c r="H30" s="62">
        <f t="shared" si="28"/>
        <v>0</v>
      </c>
      <c r="I30" s="62">
        <f t="shared" si="29"/>
        <v>0</v>
      </c>
      <c r="J30" s="62">
        <f t="shared" si="11"/>
        <v>0</v>
      </c>
      <c r="K30" s="62">
        <f t="shared" si="11"/>
        <v>0</v>
      </c>
      <c r="L30" s="62">
        <f t="shared" si="30"/>
        <v>0</v>
      </c>
      <c r="M30" s="62">
        <f t="shared" si="30"/>
        <v>0</v>
      </c>
      <c r="N30" s="62">
        <f t="shared" si="13"/>
        <v>0</v>
      </c>
      <c r="O30" s="62">
        <f t="shared" si="13"/>
        <v>0</v>
      </c>
      <c r="P30" s="62">
        <f t="shared" si="31"/>
        <v>0</v>
      </c>
      <c r="Q30" s="62">
        <f t="shared" si="15"/>
        <v>0</v>
      </c>
      <c r="R30" s="62">
        <f t="shared" si="15"/>
        <v>0</v>
      </c>
      <c r="S30" s="62">
        <f>COUNTIF(S$3:S$5,$A30)</f>
        <v>0</v>
      </c>
      <c r="T30" s="62">
        <f t="shared" si="32"/>
        <v>0</v>
      </c>
      <c r="U30" s="62">
        <f t="shared" si="18"/>
        <v>0</v>
      </c>
      <c r="V30" s="62">
        <f t="shared" si="18"/>
        <v>0</v>
      </c>
      <c r="W30" s="62">
        <f t="shared" si="33"/>
        <v>0</v>
      </c>
      <c r="X30" s="62">
        <f t="shared" si="20"/>
        <v>0</v>
      </c>
      <c r="Y30" s="62">
        <f>COUNTIF(Y$3:Y$5,$A30)</f>
        <v>0</v>
      </c>
      <c r="Z30" s="62">
        <f t="shared" si="34"/>
        <v>0</v>
      </c>
      <c r="AA30" s="62">
        <f t="shared" si="34"/>
        <v>0</v>
      </c>
      <c r="AB30" s="62">
        <f t="shared" si="36"/>
        <v>0</v>
      </c>
      <c r="AC30" s="62">
        <f t="shared" si="23"/>
        <v>0</v>
      </c>
      <c r="AD30" s="62">
        <f t="shared" si="35"/>
        <v>0</v>
      </c>
      <c r="AE30" s="62">
        <f t="shared" si="25"/>
        <v>0</v>
      </c>
      <c r="AF30" s="62">
        <f t="shared" si="25"/>
        <v>0</v>
      </c>
      <c r="AG30" s="62">
        <f t="shared" si="9"/>
        <v>0</v>
      </c>
      <c r="AH30" s="62">
        <f t="shared" si="9"/>
        <v>0</v>
      </c>
      <c r="AI30" s="62"/>
      <c r="AJ30" s="62"/>
      <c r="AK30" s="25"/>
    </row>
    <row r="31" spans="1:37">
      <c r="A31" s="3">
        <v>4.1666666666666664E-2</v>
      </c>
      <c r="C31" s="3">
        <v>1.4166666666666701</v>
      </c>
      <c r="D31" s="62">
        <f t="shared" si="26"/>
        <v>0</v>
      </c>
      <c r="E31" s="62">
        <f t="shared" si="26"/>
        <v>0</v>
      </c>
      <c r="F31" s="62">
        <f t="shared" si="27"/>
        <v>0</v>
      </c>
      <c r="G31" s="62">
        <f t="shared" si="28"/>
        <v>0</v>
      </c>
      <c r="H31" s="62">
        <f t="shared" si="28"/>
        <v>0</v>
      </c>
      <c r="I31" s="62">
        <f t="shared" si="29"/>
        <v>0</v>
      </c>
      <c r="J31" s="62">
        <f t="shared" si="11"/>
        <v>0</v>
      </c>
      <c r="K31" s="62">
        <f t="shared" si="11"/>
        <v>0</v>
      </c>
      <c r="L31" s="62">
        <f t="shared" si="30"/>
        <v>0</v>
      </c>
      <c r="M31" s="62">
        <f t="shared" si="30"/>
        <v>0</v>
      </c>
      <c r="N31" s="62">
        <f t="shared" si="13"/>
        <v>0</v>
      </c>
      <c r="O31" s="62">
        <f t="shared" si="13"/>
        <v>0</v>
      </c>
      <c r="P31" s="62">
        <f t="shared" si="31"/>
        <v>0</v>
      </c>
      <c r="Q31" s="62">
        <f t="shared" si="15"/>
        <v>0</v>
      </c>
      <c r="R31" s="62">
        <f t="shared" si="15"/>
        <v>0</v>
      </c>
      <c r="S31" s="62">
        <f>COUNTIF(S$3:S$5,$A31)</f>
        <v>0</v>
      </c>
      <c r="T31" s="62">
        <f t="shared" si="32"/>
        <v>0</v>
      </c>
      <c r="U31" s="62">
        <f t="shared" si="18"/>
        <v>0</v>
      </c>
      <c r="V31" s="62">
        <f t="shared" si="18"/>
        <v>0</v>
      </c>
      <c r="W31" s="62">
        <f t="shared" si="33"/>
        <v>0</v>
      </c>
      <c r="X31" s="62">
        <f t="shared" si="20"/>
        <v>0</v>
      </c>
      <c r="Y31" s="62">
        <f>COUNTIF(Y$3:Y$5,$A31)</f>
        <v>0</v>
      </c>
      <c r="Z31" s="62">
        <f t="shared" si="34"/>
        <v>0</v>
      </c>
      <c r="AA31" s="62">
        <f t="shared" si="34"/>
        <v>0</v>
      </c>
      <c r="AB31" s="62">
        <f t="shared" si="36"/>
        <v>0</v>
      </c>
      <c r="AC31" s="62">
        <f t="shared" si="23"/>
        <v>0</v>
      </c>
      <c r="AD31" s="62">
        <f t="shared" si="35"/>
        <v>0</v>
      </c>
      <c r="AE31" s="62">
        <f t="shared" si="25"/>
        <v>0</v>
      </c>
      <c r="AF31" s="62">
        <f t="shared" si="25"/>
        <v>0</v>
      </c>
      <c r="AG31" s="62">
        <f t="shared" si="9"/>
        <v>0</v>
      </c>
      <c r="AH31" s="62">
        <f t="shared" si="9"/>
        <v>0</v>
      </c>
      <c r="AI31" s="62"/>
      <c r="AJ31" s="62"/>
      <c r="AK31" s="25"/>
    </row>
    <row r="32" spans="1:37">
      <c r="AK32" s="25"/>
    </row>
    <row r="33" spans="1:37">
      <c r="A33" s="71" t="s">
        <v>30</v>
      </c>
      <c r="B33" s="72"/>
      <c r="AK33" s="25"/>
    </row>
    <row r="34" spans="1:37">
      <c r="A34" s="71" t="s">
        <v>31</v>
      </c>
      <c r="B34" s="73" t="s">
        <v>27</v>
      </c>
      <c r="H34" s="63"/>
    </row>
    <row r="35" spans="1:37">
      <c r="A35" s="53" t="s">
        <v>14</v>
      </c>
      <c r="B35" s="74" t="s">
        <v>27</v>
      </c>
      <c r="H35" s="63"/>
      <c r="AK35" s="25"/>
    </row>
    <row r="36" spans="1:37">
      <c r="A36" s="1" t="s">
        <v>15</v>
      </c>
      <c r="B36" s="75"/>
      <c r="H36" s="63"/>
      <c r="AK36" s="25"/>
    </row>
    <row r="37" spans="1:37">
      <c r="A37" s="1" t="s">
        <v>32</v>
      </c>
      <c r="B37" s="76"/>
      <c r="H37" s="63"/>
      <c r="AK37" s="25"/>
    </row>
    <row r="38" spans="1:37">
      <c r="A38" s="1" t="s">
        <v>20</v>
      </c>
      <c r="B38" s="77"/>
      <c r="H38" s="63"/>
      <c r="AK38" s="25"/>
    </row>
    <row r="39" spans="1:37">
      <c r="A39" s="1" t="s">
        <v>16</v>
      </c>
      <c r="B39" s="78"/>
      <c r="H39" s="63"/>
      <c r="AK39" s="25"/>
    </row>
    <row r="40" spans="1:37">
      <c r="A40" s="1" t="s">
        <v>33</v>
      </c>
      <c r="B40" s="70"/>
      <c r="H40" s="63"/>
      <c r="AK40" s="25"/>
    </row>
    <row r="41" spans="1:37">
      <c r="A41" s="1" t="s">
        <v>34</v>
      </c>
      <c r="B41" s="79"/>
      <c r="H41" s="63"/>
      <c r="AK41" s="25"/>
    </row>
    <row r="42" spans="1:37">
      <c r="AK42" s="25"/>
    </row>
    <row r="43" spans="1:37">
      <c r="AK43" s="25"/>
    </row>
    <row r="44" spans="1:37">
      <c r="F44" s="69"/>
      <c r="AK44" s="25"/>
    </row>
    <row r="45" spans="1:37">
      <c r="AK45" s="25"/>
    </row>
    <row r="46" spans="1:37">
      <c r="F46" s="69"/>
      <c r="AK46" s="25"/>
    </row>
    <row r="47" spans="1:37">
      <c r="AK47" s="25"/>
    </row>
    <row r="48" spans="1:37">
      <c r="AK48" s="25"/>
    </row>
    <row r="49" spans="37:37">
      <c r="AK49" s="25"/>
    </row>
    <row r="50" spans="37:37">
      <c r="AK50" s="25"/>
    </row>
    <row r="51" spans="37:37">
      <c r="AK51" s="25"/>
    </row>
    <row r="52" spans="37:37">
      <c r="AK52" s="25"/>
    </row>
    <row r="53" spans="37:37">
      <c r="AK53" s="25"/>
    </row>
    <row r="54" spans="37:37">
      <c r="AK54" s="25"/>
    </row>
    <row r="55" spans="37:37">
      <c r="AK55" s="25"/>
    </row>
    <row r="56" spans="37:37">
      <c r="AK56" s="25"/>
    </row>
    <row r="57" spans="37:37">
      <c r="AK57" s="25"/>
    </row>
    <row r="58" spans="37:37">
      <c r="AK58" s="25"/>
    </row>
    <row r="59" spans="37:37">
      <c r="AK59" s="25"/>
    </row>
  </sheetData>
  <phoneticPr fontId="4" type="noConversion"/>
  <conditionalFormatting sqref="D21:H31">
    <cfRule type="containsText" dxfId="28" priority="14" operator="containsText" text="1">
      <formula>NOT(ISERROR(SEARCH("1",D21)))</formula>
    </cfRule>
    <cfRule type="cellIs" dxfId="27" priority="15" operator="greaterThan">
      <formula>0</formula>
    </cfRule>
  </conditionalFormatting>
  <conditionalFormatting sqref="M14 P14 T14 W14 AA14 AD14 F14:F19 M17:M19 P17:P19 T17:T19 W17:W19 AA17:AA19 AD17:AD19">
    <cfRule type="containsText" dxfId="26" priority="21" operator="containsText" text="1">
      <formula>NOT(ISERROR(SEARCH("1",F14)))</formula>
    </cfRule>
  </conditionalFormatting>
  <conditionalFormatting sqref="M15:M16 P15:P16 T15:T16 W15:W16 AA15:AA16 AD15:AD16 M20:M21 T20:T21 W20:W21 AD20:AD21 P20:P22 AA20:AA23 I21:I24 T22:Z22 T23 AK26:AK33">
    <cfRule type="containsText" dxfId="25" priority="17" operator="containsText" text="1">
      <formula>NOT(ISERROR(SEARCH("1",I15)))</formula>
    </cfRule>
    <cfRule type="cellIs" dxfId="24" priority="18" operator="greaterThan">
      <formula>0</formula>
    </cfRule>
  </conditionalFormatting>
  <conditionalFormatting sqref="N14:O31">
    <cfRule type="containsText" dxfId="23" priority="12" operator="containsText" text="1">
      <formula>NOT(ISERROR(SEARCH("1",N14)))</formula>
    </cfRule>
    <cfRule type="cellIs" dxfId="22" priority="13" operator="greaterThan">
      <formula>0</formula>
    </cfRule>
  </conditionalFormatting>
  <conditionalFormatting sqref="S20">
    <cfRule type="containsText" dxfId="21" priority="6" operator="containsText" text="1">
      <formula>NOT(ISERROR(SEARCH("1",S20)))</formula>
    </cfRule>
    <cfRule type="cellIs" dxfId="20" priority="7" operator="greaterThan">
      <formula>0</formula>
    </cfRule>
  </conditionalFormatting>
  <conditionalFormatting sqref="U14:V21 U23:V31">
    <cfRule type="containsText" dxfId="19" priority="10" operator="containsText" text="1">
      <formula>NOT(ISERROR(SEARCH("1",U14)))</formula>
    </cfRule>
    <cfRule type="cellIs" dxfId="18" priority="11" operator="greaterThan">
      <formula>0</formula>
    </cfRule>
  </conditionalFormatting>
  <conditionalFormatting sqref="X14:Y21 AE14:AF21 Q14:R22 J14:J24 K20:L20 K22:M24 P23:R23 W23:Y23 P24:T31 W24:AA31 I25:M31">
    <cfRule type="containsText" dxfId="17" priority="24" operator="containsText" text="1">
      <formula>NOT(ISERROR(SEARCH("1",I14)))</formula>
    </cfRule>
    <cfRule type="cellIs" dxfId="16" priority="99" operator="greaterThan">
      <formula>0</formula>
    </cfRule>
  </conditionalFormatting>
  <conditionalFormatting sqref="Z20">
    <cfRule type="containsText" dxfId="15" priority="4" operator="containsText" text="1">
      <formula>NOT(ISERROR(SEARCH("1",Z20)))</formula>
    </cfRule>
    <cfRule type="cellIs" dxfId="14" priority="5" operator="greaterThan">
      <formula>0</formula>
    </cfRule>
  </conditionalFormatting>
  <conditionalFormatting sqref="AA20:AB20 M15:M16 P15:P16 T15:T16 W15:W16 AA15:AA16 AD15:AD16 M20 P20 T20 W20 AD20">
    <cfRule type="cellIs" dxfId="13" priority="16" operator="lessThan">
      <formula>2</formula>
    </cfRule>
  </conditionalFormatting>
  <conditionalFormatting sqref="AB20">
    <cfRule type="containsText" dxfId="12" priority="1" operator="containsText" text="1">
      <formula>NOT(ISERROR(SEARCH("1",AB20)))</formula>
    </cfRule>
    <cfRule type="cellIs" dxfId="11" priority="2" operator="greaterThan">
      <formula>0</formula>
    </cfRule>
  </conditionalFormatting>
  <conditionalFormatting sqref="AC14:AC21 AB22:AF31">
    <cfRule type="containsText" dxfId="10" priority="8" operator="containsText" text="1">
      <formula>NOT(ISERROR(SEARCH("1",AB14)))</formula>
    </cfRule>
    <cfRule type="cellIs" dxfId="9" priority="9" operator="greaterThan">
      <formula>0</formula>
    </cfRule>
  </conditionalFormatting>
  <conditionalFormatting sqref="AG14:AJ31">
    <cfRule type="cellIs" dxfId="8" priority="3" operator="greaterThan">
      <formula>0</formula>
    </cfRule>
  </conditionalFormatting>
  <conditionalFormatting sqref="AP2:BF2">
    <cfRule type="colorScale" priority="1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P3:BF12">
    <cfRule type="colorScale" priority="166">
      <colorScale>
        <cfvo type="min"/>
        <cfvo type="max"/>
        <color rgb="FFFCFCFF"/>
        <color rgb="FF63BE7B"/>
      </colorScale>
    </cfRule>
  </conditionalFormatting>
  <conditionalFormatting sqref="BI11:BI12 BK11:BK12 BJ3:BJ10 BL3:BL10">
    <cfRule type="cellIs" dxfId="7" priority="2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CF32-7122-484F-9298-1D35EDD8FC98}">
  <sheetPr>
    <tabColor rgb="FF002060"/>
  </sheetPr>
  <dimension ref="A1:CS36"/>
  <sheetViews>
    <sheetView zoomScaleNormal="100" workbookViewId="0">
      <pane xSplit="1" topLeftCell="U1" activePane="topRight" state="frozen"/>
      <selection pane="topRight" activeCell="AT2" sqref="AT2"/>
    </sheetView>
  </sheetViews>
  <sheetFormatPr defaultColWidth="8.7109375" defaultRowHeight="15"/>
  <cols>
    <col min="1" max="1" width="19.42578125" style="25" bestFit="1" customWidth="1"/>
    <col min="2" max="2" width="9.5703125" style="25" customWidth="1"/>
    <col min="3" max="3" width="10.140625" style="25" bestFit="1" customWidth="1"/>
    <col min="4" max="4" width="11.42578125" style="25" bestFit="1" customWidth="1"/>
    <col min="5" max="5" width="14" style="25" bestFit="1" customWidth="1"/>
    <col min="6" max="6" width="11.42578125" style="25" bestFit="1" customWidth="1"/>
    <col min="7" max="7" width="13.5703125" style="25" bestFit="1" customWidth="1"/>
    <col min="8" max="9" width="13.42578125" style="25" bestFit="1" customWidth="1"/>
    <col min="10" max="10" width="11.42578125" style="25" customWidth="1"/>
    <col min="11" max="12" width="13.85546875" style="25" bestFit="1" customWidth="1"/>
    <col min="13" max="13" width="14" style="25" bestFit="1" customWidth="1"/>
    <col min="14" max="16" width="13.85546875" style="25" bestFit="1" customWidth="1"/>
    <col min="17" max="17" width="14" style="25" bestFit="1" customWidth="1"/>
    <col min="18" max="18" width="9.42578125" style="25" customWidth="1"/>
    <col min="19" max="19" width="13.85546875" style="25" bestFit="1" customWidth="1"/>
    <col min="20" max="24" width="13.42578125" style="25" bestFit="1" customWidth="1"/>
    <col min="25" max="26" width="14.7109375" style="25" bestFit="1" customWidth="1"/>
    <col min="27" max="28" width="13.85546875" style="25" bestFit="1" customWidth="1"/>
    <col min="29" max="29" width="11.7109375" style="25" customWidth="1"/>
    <col min="30" max="30" width="11.42578125" style="25" bestFit="1" customWidth="1"/>
    <col min="31" max="31" width="8.28515625" style="25" bestFit="1" customWidth="1"/>
    <col min="32" max="32" width="7.42578125" style="25" bestFit="1" customWidth="1"/>
    <col min="33" max="34" width="11.42578125" style="25" bestFit="1" customWidth="1"/>
    <col min="35" max="35" width="9.140625" style="25" bestFit="1" customWidth="1"/>
    <col min="36" max="37" width="10.28515625" style="25" customWidth="1"/>
    <col min="38" max="38" width="8.7109375" style="25"/>
    <col min="39" max="40" width="5.140625" style="25" bestFit="1" customWidth="1"/>
    <col min="41" max="41" width="5" style="25" bestFit="1" customWidth="1"/>
    <col min="42" max="45" width="6" style="25" customWidth="1"/>
    <col min="46" max="47" width="6" style="25" bestFit="1" customWidth="1"/>
    <col min="48" max="55" width="6" style="25" customWidth="1"/>
    <col min="56" max="57" width="5" style="25" bestFit="1" customWidth="1"/>
    <col min="58" max="58" width="8.7109375" style="25" customWidth="1"/>
    <col min="59" max="59" width="4.42578125" style="25" bestFit="1" customWidth="1"/>
    <col min="60" max="60" width="4.5703125" style="25" bestFit="1" customWidth="1"/>
    <col min="61" max="61" width="7.28515625" style="25" bestFit="1" customWidth="1"/>
    <col min="62" max="62" width="15.140625" style="25" customWidth="1"/>
    <col min="63" max="63" width="15.5703125" style="25" customWidth="1"/>
    <col min="64" max="16384" width="8.7109375" style="25"/>
  </cols>
  <sheetData>
    <row r="1" spans="1:97" s="1" customFormat="1" ht="37.5" customHeight="1">
      <c r="A1" s="83"/>
      <c r="B1" s="83"/>
      <c r="C1" s="83"/>
      <c r="D1" s="86" t="s">
        <v>0</v>
      </c>
      <c r="E1" s="86" t="s">
        <v>1</v>
      </c>
      <c r="F1" s="86" t="s">
        <v>2</v>
      </c>
      <c r="G1" s="86" t="s">
        <v>3</v>
      </c>
      <c r="H1" s="86" t="s">
        <v>4</v>
      </c>
      <c r="I1" s="86" t="s">
        <v>5</v>
      </c>
      <c r="J1" s="86" t="s">
        <v>6</v>
      </c>
      <c r="K1" s="86" t="s">
        <v>0</v>
      </c>
      <c r="L1" s="86" t="s">
        <v>1</v>
      </c>
      <c r="M1" s="86" t="s">
        <v>2</v>
      </c>
      <c r="N1" s="86" t="s">
        <v>3</v>
      </c>
      <c r="O1" s="86" t="s">
        <v>4</v>
      </c>
      <c r="P1" s="86" t="s">
        <v>5</v>
      </c>
      <c r="Q1" s="86" t="s">
        <v>6</v>
      </c>
      <c r="R1" s="86" t="s">
        <v>0</v>
      </c>
      <c r="S1" s="86" t="s">
        <v>1</v>
      </c>
      <c r="T1" s="86" t="s">
        <v>2</v>
      </c>
      <c r="U1" s="86" t="s">
        <v>3</v>
      </c>
      <c r="V1" s="86" t="s">
        <v>4</v>
      </c>
      <c r="W1" s="86" t="s">
        <v>5</v>
      </c>
      <c r="X1" s="86" t="s">
        <v>6</v>
      </c>
      <c r="Y1" s="86" t="s">
        <v>0</v>
      </c>
      <c r="Z1" s="86" t="s">
        <v>1</v>
      </c>
      <c r="AA1" s="86" t="s">
        <v>2</v>
      </c>
      <c r="AB1" s="86" t="s">
        <v>3</v>
      </c>
      <c r="AC1" s="86" t="s">
        <v>4</v>
      </c>
      <c r="AD1" s="86" t="s">
        <v>5</v>
      </c>
      <c r="AE1" s="86" t="s">
        <v>6</v>
      </c>
      <c r="AF1" s="86" t="s">
        <v>0</v>
      </c>
      <c r="AG1" s="86" t="s">
        <v>1</v>
      </c>
      <c r="AH1" s="86" t="s">
        <v>2</v>
      </c>
      <c r="AI1" s="109"/>
      <c r="AJ1" s="109"/>
      <c r="AK1" s="94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</row>
    <row r="2" spans="1:97" s="24" customFormat="1">
      <c r="A2" s="83" t="s">
        <v>35</v>
      </c>
      <c r="B2" s="83" t="s">
        <v>8</v>
      </c>
      <c r="C2" s="83" t="s">
        <v>9</v>
      </c>
      <c r="D2" s="87">
        <v>46265</v>
      </c>
      <c r="E2" s="87">
        <v>46266</v>
      </c>
      <c r="F2" s="87">
        <v>46267</v>
      </c>
      <c r="G2" s="87">
        <v>46268</v>
      </c>
      <c r="H2" s="87">
        <v>46269</v>
      </c>
      <c r="I2" s="87">
        <v>46270</v>
      </c>
      <c r="J2" s="87">
        <v>46271</v>
      </c>
      <c r="K2" s="87">
        <v>46272</v>
      </c>
      <c r="L2" s="87">
        <v>46273</v>
      </c>
      <c r="M2" s="87">
        <v>46274</v>
      </c>
      <c r="N2" s="87">
        <v>46275</v>
      </c>
      <c r="O2" s="87">
        <v>46276</v>
      </c>
      <c r="P2" s="87">
        <v>46277</v>
      </c>
      <c r="Q2" s="87">
        <v>46278</v>
      </c>
      <c r="R2" s="87">
        <v>46279</v>
      </c>
      <c r="S2" s="87">
        <v>46280</v>
      </c>
      <c r="T2" s="87">
        <v>46281</v>
      </c>
      <c r="U2" s="87">
        <v>46282</v>
      </c>
      <c r="V2" s="87">
        <v>46283</v>
      </c>
      <c r="W2" s="87">
        <v>46284</v>
      </c>
      <c r="X2" s="87">
        <v>46285</v>
      </c>
      <c r="Y2" s="87">
        <v>46286</v>
      </c>
      <c r="Z2" s="87">
        <v>46287</v>
      </c>
      <c r="AA2" s="87">
        <v>46288</v>
      </c>
      <c r="AB2" s="87">
        <v>46289</v>
      </c>
      <c r="AC2" s="87">
        <v>46290</v>
      </c>
      <c r="AD2" s="87">
        <v>46291</v>
      </c>
      <c r="AE2" s="87">
        <v>46292</v>
      </c>
      <c r="AF2" s="87">
        <v>46293</v>
      </c>
      <c r="AG2" s="87">
        <v>46294</v>
      </c>
      <c r="AH2" s="87">
        <v>46295</v>
      </c>
      <c r="AI2" s="106"/>
      <c r="AJ2" s="106"/>
      <c r="AK2" s="95"/>
      <c r="AL2" s="25"/>
      <c r="AM2" s="64">
        <v>0.29166666666666669</v>
      </c>
      <c r="AN2" s="2">
        <v>0.33333333333333298</v>
      </c>
      <c r="AO2" s="2">
        <v>0.375</v>
      </c>
      <c r="AP2" s="2">
        <v>0.41666666666666702</v>
      </c>
      <c r="AQ2" s="2">
        <v>0.45833333333333331</v>
      </c>
      <c r="AR2" s="2">
        <v>0.499999999999998</v>
      </c>
      <c r="AS2" s="2">
        <v>0.54166666666666496</v>
      </c>
      <c r="AT2" s="2">
        <v>0.58333333333333337</v>
      </c>
      <c r="AU2" s="2">
        <v>0.624999999999997</v>
      </c>
      <c r="AV2" s="2">
        <v>0.66666666666666663</v>
      </c>
      <c r="AW2" s="2">
        <v>0.70833333333333004</v>
      </c>
      <c r="AX2" s="2">
        <v>0.75</v>
      </c>
      <c r="AY2" s="2">
        <v>0.79166666666666297</v>
      </c>
      <c r="AZ2" s="2">
        <v>0.83333333333332904</v>
      </c>
      <c r="BA2" s="2">
        <v>0.874999999999995</v>
      </c>
      <c r="BB2" s="2">
        <v>0.91666666666666097</v>
      </c>
      <c r="BC2" s="43">
        <v>0.95833333333333337</v>
      </c>
      <c r="BD2" s="46">
        <v>0.999999999999998</v>
      </c>
      <c r="BE2" s="25"/>
      <c r="BF2" s="25"/>
      <c r="BG2" s="47" t="s">
        <v>12</v>
      </c>
      <c r="BH2" s="44" t="s">
        <v>13</v>
      </c>
      <c r="BI2" s="26" t="s">
        <v>14</v>
      </c>
      <c r="BJ2" s="26" t="s">
        <v>15</v>
      </c>
      <c r="BK2" s="26" t="s">
        <v>16</v>
      </c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</row>
    <row r="3" spans="1:97" s="24" customFormat="1">
      <c r="A3" s="54" t="s">
        <v>36</v>
      </c>
      <c r="B3" s="54" t="s">
        <v>37</v>
      </c>
      <c r="C3" s="54">
        <v>1847226</v>
      </c>
      <c r="D3" s="16">
        <v>0.33333333333333331</v>
      </c>
      <c r="E3" s="16">
        <v>0.33333333333333331</v>
      </c>
      <c r="F3" s="15">
        <v>0.33333333333333331</v>
      </c>
      <c r="G3" s="15">
        <v>0.33333333333333331</v>
      </c>
      <c r="H3" s="74" t="s">
        <v>16</v>
      </c>
      <c r="I3" s="90" t="s">
        <v>13</v>
      </c>
      <c r="J3" s="90" t="s">
        <v>13</v>
      </c>
      <c r="K3" s="16">
        <v>0.41666666666666669</v>
      </c>
      <c r="L3" s="16">
        <v>0.41666666666666669</v>
      </c>
      <c r="M3" s="15">
        <v>0.41666666666666669</v>
      </c>
      <c r="N3" s="15">
        <v>0.41666666666666669</v>
      </c>
      <c r="O3" s="15">
        <v>0.41666666666666669</v>
      </c>
      <c r="P3" s="90" t="s">
        <v>13</v>
      </c>
      <c r="Q3" s="90" t="s">
        <v>13</v>
      </c>
      <c r="R3" s="16">
        <v>0.33333333333333331</v>
      </c>
      <c r="S3" s="16">
        <v>0.33333333333333331</v>
      </c>
      <c r="T3" s="15">
        <v>0.33333333333333331</v>
      </c>
      <c r="U3" s="15">
        <v>0.33333333333333331</v>
      </c>
      <c r="V3" s="15">
        <v>0.33333333333333331</v>
      </c>
      <c r="W3" s="90" t="s">
        <v>13</v>
      </c>
      <c r="X3" s="90" t="s">
        <v>13</v>
      </c>
      <c r="Y3" s="16">
        <v>0.41666666666666669</v>
      </c>
      <c r="Z3" s="16">
        <v>0.41666666666666669</v>
      </c>
      <c r="AA3" s="15">
        <v>0.41666666666666669</v>
      </c>
      <c r="AB3" s="15">
        <v>0.41666666666666669</v>
      </c>
      <c r="AC3" s="15">
        <v>0.41666666666666669</v>
      </c>
      <c r="AD3" s="90" t="s">
        <v>13</v>
      </c>
      <c r="AE3" s="90" t="s">
        <v>13</v>
      </c>
      <c r="AF3" s="16">
        <v>0.33333333333333331</v>
      </c>
      <c r="AG3" s="16">
        <v>0.33333333333333331</v>
      </c>
      <c r="AH3" s="15">
        <v>0.33333333333333331</v>
      </c>
      <c r="AI3" s="107"/>
      <c r="AJ3" s="107"/>
      <c r="AK3" s="97"/>
      <c r="AL3" s="25"/>
      <c r="AM3" s="65">
        <f t="shared" ref="AM3:AV6" si="0">COUNTIF($A3:$AG3,AM$2)</f>
        <v>0</v>
      </c>
      <c r="AN3" s="65">
        <f t="shared" si="0"/>
        <v>11</v>
      </c>
      <c r="AO3" s="65">
        <f t="shared" si="0"/>
        <v>0</v>
      </c>
      <c r="AP3" s="65">
        <f t="shared" si="0"/>
        <v>10</v>
      </c>
      <c r="AQ3" s="65">
        <f t="shared" si="0"/>
        <v>0</v>
      </c>
      <c r="AR3" s="65">
        <f t="shared" si="0"/>
        <v>0</v>
      </c>
      <c r="AS3" s="65">
        <f t="shared" si="0"/>
        <v>0</v>
      </c>
      <c r="AT3" s="65">
        <f t="shared" si="0"/>
        <v>0</v>
      </c>
      <c r="AU3" s="65">
        <f t="shared" si="0"/>
        <v>0</v>
      </c>
      <c r="AV3" s="65">
        <f t="shared" si="0"/>
        <v>0</v>
      </c>
      <c r="AW3" s="65">
        <f t="shared" ref="AW3:BD6" si="1">COUNTIF($A3:$AG3,AW$2)</f>
        <v>0</v>
      </c>
      <c r="AX3" s="65">
        <f t="shared" si="1"/>
        <v>0</v>
      </c>
      <c r="AY3" s="65">
        <f t="shared" si="1"/>
        <v>0</v>
      </c>
      <c r="AZ3" s="65">
        <f t="shared" si="1"/>
        <v>0</v>
      </c>
      <c r="BA3" s="65">
        <f t="shared" si="1"/>
        <v>0</v>
      </c>
      <c r="BB3" s="65">
        <f t="shared" si="1"/>
        <v>0</v>
      </c>
      <c r="BC3" s="65">
        <f t="shared" si="1"/>
        <v>0</v>
      </c>
      <c r="BD3" s="65">
        <f t="shared" si="1"/>
        <v>0</v>
      </c>
      <c r="BE3" s="25"/>
      <c r="BF3" s="25"/>
      <c r="BG3" s="30">
        <f>SUM(AM3:BE3)</f>
        <v>21</v>
      </c>
      <c r="BH3" s="45">
        <f>COUNTIF(D3:AG3,$BH$2)</f>
        <v>8</v>
      </c>
      <c r="BI3" s="1">
        <f>COUNTIF(D3:AL3,$BI$2)</f>
        <v>0</v>
      </c>
      <c r="BJ3" s="1">
        <f>COUNTIF(D3:AG3,$BJ$2)</f>
        <v>0</v>
      </c>
      <c r="BK3" s="1">
        <f>COUNTIF(D3:AG3,$BK$2)</f>
        <v>1</v>
      </c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</row>
    <row r="4" spans="1:97" s="1" customFormat="1">
      <c r="A4" s="54" t="s">
        <v>38</v>
      </c>
      <c r="B4" s="54" t="s">
        <v>37</v>
      </c>
      <c r="C4" s="54">
        <v>30001708</v>
      </c>
      <c r="D4" s="15">
        <v>0.58333333333333337</v>
      </c>
      <c r="E4" s="15">
        <v>0.58333333333333337</v>
      </c>
      <c r="F4" s="15">
        <v>0.58333333333333337</v>
      </c>
      <c r="G4" s="16">
        <v>0.58333333333333337</v>
      </c>
      <c r="H4" s="16">
        <v>0.58333333333333337</v>
      </c>
      <c r="I4" s="90" t="s">
        <v>13</v>
      </c>
      <c r="J4" s="90" t="s">
        <v>13</v>
      </c>
      <c r="K4" s="15">
        <v>0.33333333333333331</v>
      </c>
      <c r="L4" s="15">
        <v>0.33333333333333331</v>
      </c>
      <c r="M4" s="15">
        <v>0.33333333333333331</v>
      </c>
      <c r="N4" s="16">
        <v>0.33333333333333331</v>
      </c>
      <c r="O4" s="16">
        <v>0.33333333333333331</v>
      </c>
      <c r="P4" s="90" t="s">
        <v>13</v>
      </c>
      <c r="Q4" s="90" t="s">
        <v>13</v>
      </c>
      <c r="R4" s="15">
        <v>0.41666666666666669</v>
      </c>
      <c r="S4" s="115" t="s">
        <v>20</v>
      </c>
      <c r="T4" s="115" t="s">
        <v>20</v>
      </c>
      <c r="U4" s="16">
        <v>0.41666666666666669</v>
      </c>
      <c r="V4" s="16">
        <v>0.41666666666666669</v>
      </c>
      <c r="W4" s="90" t="s">
        <v>13</v>
      </c>
      <c r="X4" s="90" t="s">
        <v>13</v>
      </c>
      <c r="Y4" s="15">
        <v>0.58333333333333337</v>
      </c>
      <c r="Z4" s="15">
        <v>0.58333333333333337</v>
      </c>
      <c r="AA4" s="15">
        <v>0.58333333333333337</v>
      </c>
      <c r="AB4" s="16">
        <v>0.58333333333333337</v>
      </c>
      <c r="AC4" s="16">
        <v>0.58333333333333337</v>
      </c>
      <c r="AD4" s="90" t="s">
        <v>13</v>
      </c>
      <c r="AE4" s="90" t="s">
        <v>13</v>
      </c>
      <c r="AF4" s="15">
        <v>0.58333333333333337</v>
      </c>
      <c r="AG4" s="15">
        <v>0.58333333333333337</v>
      </c>
      <c r="AH4" s="15">
        <v>0.58333333333333337</v>
      </c>
      <c r="AI4" s="107"/>
      <c r="AJ4" s="107"/>
      <c r="AK4" s="97"/>
      <c r="AL4" s="25"/>
      <c r="AM4" s="65">
        <f t="shared" si="0"/>
        <v>0</v>
      </c>
      <c r="AN4" s="65">
        <f t="shared" si="0"/>
        <v>5</v>
      </c>
      <c r="AO4" s="65">
        <f t="shared" si="0"/>
        <v>0</v>
      </c>
      <c r="AP4" s="65">
        <f t="shared" si="0"/>
        <v>3</v>
      </c>
      <c r="AQ4" s="65">
        <f t="shared" si="0"/>
        <v>0</v>
      </c>
      <c r="AR4" s="65">
        <f t="shared" si="0"/>
        <v>0</v>
      </c>
      <c r="AS4" s="65">
        <f t="shared" si="0"/>
        <v>0</v>
      </c>
      <c r="AT4" s="65">
        <f t="shared" si="0"/>
        <v>12</v>
      </c>
      <c r="AU4" s="65">
        <f t="shared" si="0"/>
        <v>0</v>
      </c>
      <c r="AV4" s="65">
        <f t="shared" si="0"/>
        <v>0</v>
      </c>
      <c r="AW4" s="65">
        <f t="shared" si="1"/>
        <v>0</v>
      </c>
      <c r="AX4" s="65">
        <f t="shared" si="1"/>
        <v>0</v>
      </c>
      <c r="AY4" s="65">
        <f t="shared" si="1"/>
        <v>0</v>
      </c>
      <c r="AZ4" s="65">
        <f t="shared" si="1"/>
        <v>0</v>
      </c>
      <c r="BA4" s="65">
        <f t="shared" si="1"/>
        <v>0</v>
      </c>
      <c r="BB4" s="65">
        <f t="shared" si="1"/>
        <v>0</v>
      </c>
      <c r="BC4" s="65">
        <f t="shared" si="1"/>
        <v>0</v>
      </c>
      <c r="BD4" s="65">
        <f t="shared" si="1"/>
        <v>0</v>
      </c>
      <c r="BE4" s="25"/>
      <c r="BF4" s="25"/>
      <c r="BG4" s="30">
        <f>SUM(AM4:BE4)</f>
        <v>20</v>
      </c>
      <c r="BH4" s="45">
        <f>COUNTIF(D4:AG4,$BH$2)</f>
        <v>8</v>
      </c>
      <c r="BI4" s="1">
        <f>COUNTIF(D4:AL4,$BI$2)</f>
        <v>0</v>
      </c>
      <c r="BJ4" s="1">
        <f>COUNTIF(D4:AG4,$BJ$2)</f>
        <v>0</v>
      </c>
      <c r="BK4" s="1">
        <f>COUNTIF(D4:AG4,$BK$2)</f>
        <v>0</v>
      </c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</row>
    <row r="5" spans="1:97" s="1" customFormat="1">
      <c r="A5" s="53" t="s">
        <v>39</v>
      </c>
      <c r="B5" s="54" t="s">
        <v>37</v>
      </c>
      <c r="C5" s="54">
        <v>30001414</v>
      </c>
      <c r="D5" s="74" t="s">
        <v>14</v>
      </c>
      <c r="E5" s="74" t="s">
        <v>14</v>
      </c>
      <c r="F5" s="74" t="s">
        <v>14</v>
      </c>
      <c r="G5" s="74" t="s">
        <v>14</v>
      </c>
      <c r="H5" s="74" t="s">
        <v>14</v>
      </c>
      <c r="I5" s="90" t="s">
        <v>13</v>
      </c>
      <c r="J5" s="90" t="s">
        <v>13</v>
      </c>
      <c r="K5" s="16">
        <v>0.58333333333333337</v>
      </c>
      <c r="L5" s="15">
        <v>0.58333333333333337</v>
      </c>
      <c r="M5" s="15">
        <v>0.58333333333333337</v>
      </c>
      <c r="N5" s="15">
        <v>0.58333333333333337</v>
      </c>
      <c r="O5" s="16">
        <v>0.58333333333333337</v>
      </c>
      <c r="P5" s="90" t="s">
        <v>13</v>
      </c>
      <c r="Q5" s="90" t="s">
        <v>13</v>
      </c>
      <c r="R5" s="16">
        <v>0.58333333333333337</v>
      </c>
      <c r="S5" s="15">
        <v>0.58333333333333337</v>
      </c>
      <c r="T5" s="15">
        <v>0.58333333333333337</v>
      </c>
      <c r="U5" s="15">
        <v>0.58333333333333337</v>
      </c>
      <c r="V5" s="16">
        <v>0.58333333333333337</v>
      </c>
      <c r="W5" s="90" t="s">
        <v>13</v>
      </c>
      <c r="X5" s="90" t="s">
        <v>13</v>
      </c>
      <c r="Y5" s="74" t="s">
        <v>14</v>
      </c>
      <c r="Z5" s="74" t="s">
        <v>14</v>
      </c>
      <c r="AA5" s="74" t="s">
        <v>14</v>
      </c>
      <c r="AB5" s="74" t="s">
        <v>14</v>
      </c>
      <c r="AC5" s="74" t="s">
        <v>14</v>
      </c>
      <c r="AD5" s="90" t="s">
        <v>13</v>
      </c>
      <c r="AE5" s="90" t="s">
        <v>13</v>
      </c>
      <c r="AF5" s="113">
        <v>0.41666666666666669</v>
      </c>
      <c r="AG5" s="112">
        <v>0.41666666666666669</v>
      </c>
      <c r="AH5" s="112">
        <v>0.41666666666666669</v>
      </c>
      <c r="AI5" s="107"/>
      <c r="AJ5" s="107"/>
      <c r="AK5" s="97"/>
      <c r="AL5" s="25"/>
      <c r="AM5" s="65">
        <f t="shared" si="0"/>
        <v>0</v>
      </c>
      <c r="AN5" s="65">
        <f t="shared" si="0"/>
        <v>0</v>
      </c>
      <c r="AO5" s="65">
        <f t="shared" si="0"/>
        <v>0</v>
      </c>
      <c r="AP5" s="65">
        <f t="shared" si="0"/>
        <v>2</v>
      </c>
      <c r="AQ5" s="65">
        <f t="shared" si="0"/>
        <v>0</v>
      </c>
      <c r="AR5" s="65">
        <f t="shared" si="0"/>
        <v>0</v>
      </c>
      <c r="AS5" s="65">
        <f t="shared" si="0"/>
        <v>0</v>
      </c>
      <c r="AT5" s="65">
        <f t="shared" si="0"/>
        <v>10</v>
      </c>
      <c r="AU5" s="65">
        <f t="shared" si="0"/>
        <v>0</v>
      </c>
      <c r="AV5" s="65">
        <f t="shared" si="0"/>
        <v>0</v>
      </c>
      <c r="AW5" s="65">
        <f t="shared" si="1"/>
        <v>0</v>
      </c>
      <c r="AX5" s="65">
        <f t="shared" si="1"/>
        <v>0</v>
      </c>
      <c r="AY5" s="65">
        <f t="shared" si="1"/>
        <v>0</v>
      </c>
      <c r="AZ5" s="65">
        <f t="shared" si="1"/>
        <v>0</v>
      </c>
      <c r="BA5" s="65">
        <f t="shared" si="1"/>
        <v>0</v>
      </c>
      <c r="BB5" s="65">
        <f t="shared" si="1"/>
        <v>0</v>
      </c>
      <c r="BC5" s="65">
        <f t="shared" si="1"/>
        <v>0</v>
      </c>
      <c r="BD5" s="65">
        <f t="shared" si="1"/>
        <v>0</v>
      </c>
      <c r="BE5" s="25"/>
      <c r="BF5" s="25"/>
      <c r="BG5" s="30">
        <f>SUM(AM5:BE5)</f>
        <v>12</v>
      </c>
      <c r="BH5" s="45">
        <f>COUNTIF(D5:AG5,$BH$2)</f>
        <v>8</v>
      </c>
      <c r="BI5" s="1">
        <f>COUNTIF(D5:AL5,$BI$2)</f>
        <v>10</v>
      </c>
      <c r="BJ5" s="1">
        <f>COUNTIF(D5:AG5,$BJ$2)</f>
        <v>0</v>
      </c>
      <c r="BK5" s="1">
        <f>COUNTIF(D5:AG5,$BK$2)</f>
        <v>0</v>
      </c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</row>
    <row r="6" spans="1:97" s="1" customFormat="1">
      <c r="A6" s="54" t="s">
        <v>40</v>
      </c>
      <c r="B6" s="54" t="s">
        <v>37</v>
      </c>
      <c r="C6" s="54">
        <v>30002263</v>
      </c>
      <c r="D6" s="15">
        <v>0.41666666666666669</v>
      </c>
      <c r="E6" s="16">
        <v>0.41666666666666669</v>
      </c>
      <c r="F6" s="15">
        <v>0.41666666666666669</v>
      </c>
      <c r="G6" s="16">
        <v>0.41666666666666669</v>
      </c>
      <c r="H6" s="15">
        <v>0.33333333333333331</v>
      </c>
      <c r="I6" s="90" t="s">
        <v>13</v>
      </c>
      <c r="J6" s="90" t="s">
        <v>13</v>
      </c>
      <c r="K6" s="15">
        <v>0.33333333333333331</v>
      </c>
      <c r="L6" s="16">
        <v>0.33333333333333331</v>
      </c>
      <c r="M6" s="15">
        <v>0.33333333333333331</v>
      </c>
      <c r="N6" s="16">
        <v>0.33333333333333331</v>
      </c>
      <c r="O6" s="15">
        <v>0.33333333333333331</v>
      </c>
      <c r="P6" s="90" t="s">
        <v>13</v>
      </c>
      <c r="Q6" s="90" t="s">
        <v>13</v>
      </c>
      <c r="R6" s="15">
        <v>0.58333333333333337</v>
      </c>
      <c r="S6" s="16">
        <v>0.58333333333333337</v>
      </c>
      <c r="T6" s="15">
        <v>0.58333333333333337</v>
      </c>
      <c r="U6" s="16">
        <v>0.58333333333333337</v>
      </c>
      <c r="V6" s="15">
        <v>0.58333333333333337</v>
      </c>
      <c r="W6" s="90" t="s">
        <v>13</v>
      </c>
      <c r="X6" s="90" t="s">
        <v>13</v>
      </c>
      <c r="Y6" s="15">
        <v>0.33333333333333331</v>
      </c>
      <c r="Z6" s="16">
        <v>0.33333333333333331</v>
      </c>
      <c r="AA6" s="15">
        <v>0.33333333333333331</v>
      </c>
      <c r="AB6" s="16">
        <v>0.33333333333333331</v>
      </c>
      <c r="AC6" s="15">
        <v>0.33333333333333331</v>
      </c>
      <c r="AD6" s="100" t="s">
        <v>13</v>
      </c>
      <c r="AE6" s="100" t="s">
        <v>13</v>
      </c>
      <c r="AF6" s="15">
        <v>0.33333333333333331</v>
      </c>
      <c r="AG6" s="16">
        <v>0.33333333333333331</v>
      </c>
      <c r="AH6" s="15">
        <v>0.33333333333333331</v>
      </c>
      <c r="AI6" s="107"/>
      <c r="AJ6" s="107"/>
      <c r="AK6" s="97"/>
      <c r="AL6" s="25"/>
      <c r="AM6" s="65">
        <f t="shared" si="0"/>
        <v>0</v>
      </c>
      <c r="AN6" s="65">
        <f t="shared" si="0"/>
        <v>13</v>
      </c>
      <c r="AO6" s="65">
        <f t="shared" si="0"/>
        <v>0</v>
      </c>
      <c r="AP6" s="65">
        <f t="shared" si="0"/>
        <v>4</v>
      </c>
      <c r="AQ6" s="65">
        <f t="shared" si="0"/>
        <v>0</v>
      </c>
      <c r="AR6" s="65">
        <f t="shared" si="0"/>
        <v>0</v>
      </c>
      <c r="AS6" s="65">
        <f t="shared" si="0"/>
        <v>0</v>
      </c>
      <c r="AT6" s="65">
        <f t="shared" si="0"/>
        <v>5</v>
      </c>
      <c r="AU6" s="65">
        <f t="shared" si="0"/>
        <v>0</v>
      </c>
      <c r="AV6" s="65">
        <f t="shared" si="0"/>
        <v>0</v>
      </c>
      <c r="AW6" s="65">
        <f t="shared" si="1"/>
        <v>0</v>
      </c>
      <c r="AX6" s="65">
        <f t="shared" si="1"/>
        <v>0</v>
      </c>
      <c r="AY6" s="65">
        <f t="shared" si="1"/>
        <v>0</v>
      </c>
      <c r="AZ6" s="65">
        <f t="shared" si="1"/>
        <v>0</v>
      </c>
      <c r="BA6" s="65">
        <f t="shared" si="1"/>
        <v>0</v>
      </c>
      <c r="BB6" s="65">
        <f t="shared" si="1"/>
        <v>0</v>
      </c>
      <c r="BC6" s="65">
        <f t="shared" si="1"/>
        <v>0</v>
      </c>
      <c r="BD6" s="65">
        <f t="shared" si="1"/>
        <v>0</v>
      </c>
      <c r="BE6" s="25"/>
      <c r="BF6" s="25"/>
      <c r="BG6" s="30">
        <f>SUM(AM6:BE6)</f>
        <v>22</v>
      </c>
      <c r="BH6" s="45">
        <f>COUNTIF(D6:AG6,$BH$2)</f>
        <v>8</v>
      </c>
      <c r="BI6" s="1">
        <f>COUNTIF(AH6:AL6,$BI$2)</f>
        <v>0</v>
      </c>
      <c r="BJ6" s="1">
        <f>COUNTIF(D6:AG6,$BJ$2)</f>
        <v>0</v>
      </c>
      <c r="BK6" s="1">
        <f>COUNTIF(D6:AG6,$BK$2)</f>
        <v>0</v>
      </c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</row>
    <row r="7" spans="1:97" s="39" customFormat="1">
      <c r="A7" s="59"/>
      <c r="B7" s="59"/>
      <c r="C7" s="59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3"/>
      <c r="X7" s="91"/>
      <c r="Y7" s="91"/>
      <c r="Z7" s="84"/>
      <c r="AA7" s="41"/>
      <c r="AB7" s="41"/>
      <c r="AC7" s="41"/>
      <c r="AD7" s="41"/>
      <c r="AE7" s="41"/>
      <c r="AF7" s="68"/>
      <c r="AG7" s="68"/>
      <c r="AH7" s="51"/>
      <c r="AI7" s="51"/>
      <c r="AJ7" s="51"/>
      <c r="AK7" s="51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</row>
    <row r="8" spans="1:97">
      <c r="A8" s="37"/>
      <c r="B8" s="37"/>
      <c r="C8" s="37"/>
      <c r="D8" s="81"/>
      <c r="E8" s="38"/>
      <c r="F8" s="38"/>
      <c r="G8" s="38"/>
      <c r="H8" s="38"/>
      <c r="I8" s="38"/>
      <c r="J8" s="81"/>
      <c r="K8" s="81"/>
      <c r="O8" s="38"/>
      <c r="P8" s="38"/>
      <c r="Q8" s="81"/>
      <c r="R8" s="81"/>
      <c r="S8" s="38"/>
      <c r="T8" s="38"/>
      <c r="U8" s="38"/>
      <c r="V8" s="38"/>
      <c r="W8" s="38"/>
      <c r="X8" s="81"/>
      <c r="Z8" s="38"/>
      <c r="AA8" s="38"/>
      <c r="AB8" s="38"/>
      <c r="AC8" s="38"/>
      <c r="AD8" s="38"/>
      <c r="AE8" s="81"/>
      <c r="AF8" s="81"/>
      <c r="AG8" s="38"/>
      <c r="AH8" s="38"/>
      <c r="AI8" s="41"/>
      <c r="AJ8" s="41"/>
      <c r="AK8" s="41"/>
    </row>
    <row r="9" spans="1:97">
      <c r="A9" s="40" t="s">
        <v>28</v>
      </c>
      <c r="C9" s="40" t="s">
        <v>29</v>
      </c>
      <c r="D9" s="87">
        <v>46265</v>
      </c>
      <c r="E9" s="87">
        <v>46266</v>
      </c>
      <c r="F9" s="87">
        <v>46267</v>
      </c>
      <c r="G9" s="87">
        <v>46268</v>
      </c>
      <c r="H9" s="87">
        <v>46269</v>
      </c>
      <c r="I9" s="87">
        <v>46270</v>
      </c>
      <c r="J9" s="87">
        <v>46271</v>
      </c>
      <c r="K9" s="87">
        <v>46272</v>
      </c>
      <c r="L9" s="87">
        <v>46273</v>
      </c>
      <c r="M9" s="87">
        <v>46274</v>
      </c>
      <c r="N9" s="87">
        <v>46275</v>
      </c>
      <c r="O9" s="87">
        <v>46276</v>
      </c>
      <c r="P9" s="87">
        <v>46277</v>
      </c>
      <c r="Q9" s="87">
        <v>46278</v>
      </c>
      <c r="R9" s="87">
        <v>46279</v>
      </c>
      <c r="S9" s="87">
        <v>46280</v>
      </c>
      <c r="T9" s="87">
        <v>46281</v>
      </c>
      <c r="U9" s="87">
        <v>46282</v>
      </c>
      <c r="V9" s="87">
        <v>46283</v>
      </c>
      <c r="W9" s="87">
        <v>46284</v>
      </c>
      <c r="X9" s="87">
        <v>46285</v>
      </c>
      <c r="Y9" s="87">
        <v>46286</v>
      </c>
      <c r="Z9" s="87">
        <v>46287</v>
      </c>
      <c r="AA9" s="87">
        <v>46288</v>
      </c>
      <c r="AB9" s="87">
        <v>46289</v>
      </c>
      <c r="AC9" s="87">
        <v>46290</v>
      </c>
      <c r="AD9" s="87">
        <v>46291</v>
      </c>
      <c r="AE9" s="87">
        <v>46292</v>
      </c>
      <c r="AF9" s="87">
        <v>46293</v>
      </c>
      <c r="AG9" s="87">
        <v>46294</v>
      </c>
      <c r="AH9" s="87">
        <v>46295</v>
      </c>
      <c r="AI9" s="87"/>
      <c r="AJ9" s="87"/>
      <c r="AK9" s="98"/>
      <c r="AM9" s="49" t="s">
        <v>10</v>
      </c>
      <c r="AN9" s="49" t="s">
        <v>11</v>
      </c>
    </row>
    <row r="10" spans="1:97">
      <c r="A10" s="3">
        <v>0.29166666666666669</v>
      </c>
      <c r="C10" s="3">
        <v>0.66666666666666663</v>
      </c>
      <c r="D10" s="28">
        <f t="shared" ref="D10:F19" si="2">COUNTIF(D$3:D$6,$A10)</f>
        <v>0</v>
      </c>
      <c r="E10" s="28">
        <f t="shared" si="2"/>
        <v>0</v>
      </c>
      <c r="F10" s="28">
        <f t="shared" si="2"/>
        <v>0</v>
      </c>
      <c r="G10" s="28">
        <f t="shared" ref="G10:G28" si="3">COUNTIF(G$3:G$6,$A10)</f>
        <v>0</v>
      </c>
      <c r="H10" s="28">
        <f t="shared" ref="H10:I28" si="4">COUNTIF(H$3:H$4,$A10)</f>
        <v>0</v>
      </c>
      <c r="I10" s="28">
        <f t="shared" si="4"/>
        <v>0</v>
      </c>
      <c r="J10" s="28">
        <f t="shared" ref="J10:K19" si="5">COUNTIF(J$3:J$5,$A10)</f>
        <v>0</v>
      </c>
      <c r="K10" s="28">
        <f t="shared" si="5"/>
        <v>0</v>
      </c>
      <c r="L10" s="28">
        <f t="shared" ref="L10:L28" si="6">COUNTIF(L$3:L$6,$A10)</f>
        <v>0</v>
      </c>
      <c r="M10" s="28">
        <f t="shared" ref="M10:P28" si="7">COUNTIF(M$3:M$5,$A10)</f>
        <v>0</v>
      </c>
      <c r="N10" s="28">
        <f t="shared" si="7"/>
        <v>0</v>
      </c>
      <c r="O10" s="28">
        <f t="shared" si="7"/>
        <v>0</v>
      </c>
      <c r="P10" s="28">
        <f t="shared" si="7"/>
        <v>0</v>
      </c>
      <c r="Q10" s="28">
        <f t="shared" ref="Q10:Q19" si="8">COUNTIF(Q$3:Q$6,$A10)</f>
        <v>0</v>
      </c>
      <c r="R10" s="28">
        <f t="shared" ref="R10:T28" si="9">COUNTIF(R$4:R$6,$A10)</f>
        <v>0</v>
      </c>
      <c r="S10" s="28">
        <f t="shared" si="9"/>
        <v>0</v>
      </c>
      <c r="T10" s="28">
        <f t="shared" si="9"/>
        <v>0</v>
      </c>
      <c r="U10" s="28">
        <f t="shared" ref="U10:U28" si="10">COUNTIF(U$4:U$5,$A10)</f>
        <v>0</v>
      </c>
      <c r="V10" s="28">
        <f t="shared" ref="V10:V28" si="11">COUNTIF(V$3:V$6,$A10)</f>
        <v>0</v>
      </c>
      <c r="W10" s="28">
        <f t="shared" ref="W10:W28" si="12">COUNTIF(W$3:W$5,$A10)</f>
        <v>0</v>
      </c>
      <c r="X10" s="28">
        <f t="shared" ref="X10:Y19" si="13">COUNTIF(X$3:X$5,$A10)</f>
        <v>0</v>
      </c>
      <c r="Y10" s="28">
        <f t="shared" si="13"/>
        <v>0</v>
      </c>
      <c r="Z10" s="28">
        <f t="shared" ref="Z10:Z28" si="14">COUNTIF(Z$4:Z$5,$A10)</f>
        <v>0</v>
      </c>
      <c r="AA10" s="28">
        <f t="shared" ref="AA10:AD28" si="15">COUNTIF(AA$4:AA$6,$A10)</f>
        <v>0</v>
      </c>
      <c r="AB10" s="28">
        <f t="shared" si="15"/>
        <v>0</v>
      </c>
      <c r="AC10" s="28">
        <f t="shared" si="15"/>
        <v>0</v>
      </c>
      <c r="AD10" s="28">
        <f t="shared" si="15"/>
        <v>0</v>
      </c>
      <c r="AE10" s="28">
        <f t="shared" ref="AE10:AJ19" si="16">COUNTIF(AE$3:AE$6,$A10)</f>
        <v>0</v>
      </c>
      <c r="AF10" s="28">
        <f t="shared" si="16"/>
        <v>0</v>
      </c>
      <c r="AG10" s="28">
        <f t="shared" si="16"/>
        <v>0</v>
      </c>
      <c r="AH10" s="28">
        <f t="shared" si="16"/>
        <v>0</v>
      </c>
      <c r="AI10" s="28"/>
      <c r="AJ10" s="28"/>
      <c r="AK10" s="99"/>
      <c r="AM10" s="50">
        <v>2</v>
      </c>
      <c r="AN10" s="50">
        <v>19</v>
      </c>
    </row>
    <row r="11" spans="1:97">
      <c r="A11" s="3">
        <v>0.33333333333333331</v>
      </c>
      <c r="C11" s="3">
        <v>0.70833333333333337</v>
      </c>
      <c r="D11" s="28">
        <f t="shared" si="2"/>
        <v>1</v>
      </c>
      <c r="E11" s="28">
        <f t="shared" si="2"/>
        <v>1</v>
      </c>
      <c r="F11" s="28">
        <f t="shared" si="2"/>
        <v>1</v>
      </c>
      <c r="G11" s="28">
        <f t="shared" si="3"/>
        <v>1</v>
      </c>
      <c r="H11" s="28">
        <f t="shared" si="4"/>
        <v>0</v>
      </c>
      <c r="I11" s="28">
        <f t="shared" si="4"/>
        <v>0</v>
      </c>
      <c r="J11" s="28">
        <f t="shared" si="5"/>
        <v>0</v>
      </c>
      <c r="K11" s="28">
        <f t="shared" si="5"/>
        <v>1</v>
      </c>
      <c r="L11" s="28">
        <f t="shared" si="6"/>
        <v>2</v>
      </c>
      <c r="M11" s="28">
        <f t="shared" si="7"/>
        <v>1</v>
      </c>
      <c r="N11" s="28">
        <f t="shared" si="7"/>
        <v>1</v>
      </c>
      <c r="O11" s="28">
        <f t="shared" si="7"/>
        <v>1</v>
      </c>
      <c r="P11" s="28">
        <f t="shared" si="7"/>
        <v>0</v>
      </c>
      <c r="Q11" s="28">
        <f t="shared" si="8"/>
        <v>0</v>
      </c>
      <c r="R11" s="28">
        <f t="shared" si="9"/>
        <v>0</v>
      </c>
      <c r="S11" s="28">
        <f t="shared" si="9"/>
        <v>0</v>
      </c>
      <c r="T11" s="28">
        <f t="shared" si="9"/>
        <v>0</v>
      </c>
      <c r="U11" s="28">
        <f t="shared" si="10"/>
        <v>0</v>
      </c>
      <c r="V11" s="28">
        <f t="shared" si="11"/>
        <v>1</v>
      </c>
      <c r="W11" s="28">
        <f t="shared" si="12"/>
        <v>0</v>
      </c>
      <c r="X11" s="28">
        <f t="shared" si="13"/>
        <v>0</v>
      </c>
      <c r="Y11" s="28">
        <f t="shared" si="13"/>
        <v>0</v>
      </c>
      <c r="Z11" s="28">
        <f t="shared" si="14"/>
        <v>0</v>
      </c>
      <c r="AA11" s="28">
        <f t="shared" si="15"/>
        <v>1</v>
      </c>
      <c r="AB11" s="28">
        <f t="shared" si="15"/>
        <v>1</v>
      </c>
      <c r="AC11" s="28">
        <f t="shared" si="15"/>
        <v>1</v>
      </c>
      <c r="AD11" s="28">
        <f t="shared" si="15"/>
        <v>0</v>
      </c>
      <c r="AE11" s="28">
        <f t="shared" si="16"/>
        <v>0</v>
      </c>
      <c r="AF11" s="28">
        <f t="shared" si="16"/>
        <v>2</v>
      </c>
      <c r="AG11" s="28">
        <f t="shared" si="16"/>
        <v>2</v>
      </c>
      <c r="AH11" s="28">
        <f t="shared" si="16"/>
        <v>2</v>
      </c>
      <c r="AI11" s="28"/>
      <c r="AJ11" s="28"/>
      <c r="AK11" s="99"/>
      <c r="AM11" s="50">
        <v>3</v>
      </c>
      <c r="AN11" s="50">
        <v>18</v>
      </c>
    </row>
    <row r="12" spans="1:97">
      <c r="A12" s="3">
        <v>0.375</v>
      </c>
      <c r="C12" s="3">
        <v>0.75</v>
      </c>
      <c r="D12" s="28">
        <f t="shared" si="2"/>
        <v>0</v>
      </c>
      <c r="E12" s="28">
        <f t="shared" si="2"/>
        <v>0</v>
      </c>
      <c r="F12" s="28">
        <f t="shared" si="2"/>
        <v>0</v>
      </c>
      <c r="G12" s="28">
        <f t="shared" si="3"/>
        <v>0</v>
      </c>
      <c r="H12" s="28">
        <f t="shared" si="4"/>
        <v>0</v>
      </c>
      <c r="I12" s="28">
        <f t="shared" si="4"/>
        <v>0</v>
      </c>
      <c r="J12" s="28">
        <f t="shared" si="5"/>
        <v>0</v>
      </c>
      <c r="K12" s="28">
        <f t="shared" si="5"/>
        <v>0</v>
      </c>
      <c r="L12" s="28">
        <f t="shared" si="6"/>
        <v>0</v>
      </c>
      <c r="M12" s="28">
        <f t="shared" si="7"/>
        <v>0</v>
      </c>
      <c r="N12" s="28">
        <f t="shared" si="7"/>
        <v>0</v>
      </c>
      <c r="O12" s="28">
        <f t="shared" si="7"/>
        <v>0</v>
      </c>
      <c r="P12" s="28">
        <f t="shared" si="7"/>
        <v>0</v>
      </c>
      <c r="Q12" s="28">
        <f t="shared" si="8"/>
        <v>0</v>
      </c>
      <c r="R12" s="28">
        <f t="shared" si="9"/>
        <v>0</v>
      </c>
      <c r="S12" s="28">
        <f t="shared" si="9"/>
        <v>0</v>
      </c>
      <c r="T12" s="28">
        <f t="shared" si="9"/>
        <v>0</v>
      </c>
      <c r="U12" s="28">
        <f t="shared" si="10"/>
        <v>0</v>
      </c>
      <c r="V12" s="28">
        <f t="shared" si="11"/>
        <v>0</v>
      </c>
      <c r="W12" s="28">
        <f t="shared" si="12"/>
        <v>0</v>
      </c>
      <c r="X12" s="28">
        <f t="shared" si="13"/>
        <v>0</v>
      </c>
      <c r="Y12" s="28">
        <f t="shared" si="13"/>
        <v>0</v>
      </c>
      <c r="Z12" s="28">
        <f t="shared" si="14"/>
        <v>0</v>
      </c>
      <c r="AA12" s="28">
        <f t="shared" si="15"/>
        <v>0</v>
      </c>
      <c r="AB12" s="28">
        <f t="shared" si="15"/>
        <v>0</v>
      </c>
      <c r="AC12" s="28">
        <f t="shared" si="15"/>
        <v>0</v>
      </c>
      <c r="AD12" s="28">
        <f t="shared" si="15"/>
        <v>0</v>
      </c>
      <c r="AE12" s="28">
        <f t="shared" si="16"/>
        <v>0</v>
      </c>
      <c r="AF12" s="28">
        <f t="shared" si="16"/>
        <v>0</v>
      </c>
      <c r="AG12" s="28">
        <f t="shared" si="16"/>
        <v>0</v>
      </c>
      <c r="AH12" s="28">
        <f t="shared" si="16"/>
        <v>0</v>
      </c>
      <c r="AI12" s="28"/>
      <c r="AJ12" s="28"/>
      <c r="AK12" s="99"/>
      <c r="AM12" s="50">
        <v>5</v>
      </c>
      <c r="AN12" s="50">
        <v>16</v>
      </c>
    </row>
    <row r="13" spans="1:97">
      <c r="A13" s="3">
        <v>0.41666666666666669</v>
      </c>
      <c r="C13" s="3">
        <v>0.79166666666666663</v>
      </c>
      <c r="D13" s="28">
        <f t="shared" si="2"/>
        <v>1</v>
      </c>
      <c r="E13" s="28">
        <f t="shared" si="2"/>
        <v>1</v>
      </c>
      <c r="F13" s="28">
        <f t="shared" si="2"/>
        <v>1</v>
      </c>
      <c r="G13" s="28">
        <f t="shared" si="3"/>
        <v>1</v>
      </c>
      <c r="H13" s="28">
        <f t="shared" si="4"/>
        <v>0</v>
      </c>
      <c r="I13" s="28">
        <f t="shared" si="4"/>
        <v>0</v>
      </c>
      <c r="J13" s="28">
        <f t="shared" si="5"/>
        <v>0</v>
      </c>
      <c r="K13" s="28">
        <f t="shared" si="5"/>
        <v>1</v>
      </c>
      <c r="L13" s="28">
        <f t="shared" si="6"/>
        <v>1</v>
      </c>
      <c r="M13" s="28">
        <f t="shared" si="7"/>
        <v>1</v>
      </c>
      <c r="N13" s="28">
        <f t="shared" si="7"/>
        <v>1</v>
      </c>
      <c r="O13" s="28">
        <f t="shared" si="7"/>
        <v>1</v>
      </c>
      <c r="P13" s="28">
        <f t="shared" si="7"/>
        <v>0</v>
      </c>
      <c r="Q13" s="28">
        <f t="shared" si="8"/>
        <v>0</v>
      </c>
      <c r="R13" s="28">
        <f t="shared" si="9"/>
        <v>1</v>
      </c>
      <c r="S13" s="28">
        <f t="shared" si="9"/>
        <v>0</v>
      </c>
      <c r="T13" s="28">
        <f t="shared" si="9"/>
        <v>0</v>
      </c>
      <c r="U13" s="28">
        <f t="shared" si="10"/>
        <v>1</v>
      </c>
      <c r="V13" s="28">
        <f t="shared" si="11"/>
        <v>1</v>
      </c>
      <c r="W13" s="28">
        <f t="shared" si="12"/>
        <v>0</v>
      </c>
      <c r="X13" s="28">
        <f t="shared" si="13"/>
        <v>0</v>
      </c>
      <c r="Y13" s="28">
        <f t="shared" si="13"/>
        <v>1</v>
      </c>
      <c r="Z13" s="28">
        <f t="shared" si="14"/>
        <v>0</v>
      </c>
      <c r="AA13" s="28">
        <f t="shared" si="15"/>
        <v>0</v>
      </c>
      <c r="AB13" s="28">
        <f t="shared" si="15"/>
        <v>0</v>
      </c>
      <c r="AC13" s="28">
        <f t="shared" si="15"/>
        <v>0</v>
      </c>
      <c r="AD13" s="28">
        <f t="shared" si="15"/>
        <v>0</v>
      </c>
      <c r="AE13" s="28">
        <f t="shared" si="16"/>
        <v>0</v>
      </c>
      <c r="AF13" s="28">
        <f t="shared" si="16"/>
        <v>1</v>
      </c>
      <c r="AG13" s="28">
        <f t="shared" si="16"/>
        <v>1</v>
      </c>
      <c r="AH13" s="28">
        <f t="shared" si="16"/>
        <v>1</v>
      </c>
      <c r="AI13" s="28"/>
      <c r="AJ13" s="28"/>
      <c r="AK13" s="99"/>
      <c r="AM13" s="50">
        <v>11</v>
      </c>
      <c r="AN13" s="50">
        <v>10</v>
      </c>
    </row>
    <row r="14" spans="1:97">
      <c r="A14" s="3">
        <v>0.45833333333333331</v>
      </c>
      <c r="C14" s="3">
        <v>0.83333333333333337</v>
      </c>
      <c r="D14" s="28">
        <f t="shared" si="2"/>
        <v>0</v>
      </c>
      <c r="E14" s="28">
        <f t="shared" si="2"/>
        <v>0</v>
      </c>
      <c r="F14" s="28">
        <f t="shared" si="2"/>
        <v>0</v>
      </c>
      <c r="G14" s="28">
        <f t="shared" si="3"/>
        <v>0</v>
      </c>
      <c r="H14" s="28">
        <f t="shared" si="4"/>
        <v>0</v>
      </c>
      <c r="I14" s="28">
        <f t="shared" si="4"/>
        <v>0</v>
      </c>
      <c r="J14" s="28">
        <f t="shared" si="5"/>
        <v>0</v>
      </c>
      <c r="K14" s="28">
        <f t="shared" si="5"/>
        <v>0</v>
      </c>
      <c r="L14" s="28">
        <f t="shared" si="6"/>
        <v>0</v>
      </c>
      <c r="M14" s="28">
        <f t="shared" si="7"/>
        <v>0</v>
      </c>
      <c r="N14" s="28">
        <f t="shared" si="7"/>
        <v>0</v>
      </c>
      <c r="O14" s="28">
        <f t="shared" si="7"/>
        <v>0</v>
      </c>
      <c r="P14" s="28">
        <f t="shared" si="7"/>
        <v>0</v>
      </c>
      <c r="Q14" s="28">
        <f t="shared" si="8"/>
        <v>0</v>
      </c>
      <c r="R14" s="28">
        <f t="shared" si="9"/>
        <v>0</v>
      </c>
      <c r="S14" s="28">
        <f t="shared" si="9"/>
        <v>0</v>
      </c>
      <c r="T14" s="28">
        <f t="shared" si="9"/>
        <v>0</v>
      </c>
      <c r="U14" s="28">
        <f t="shared" si="10"/>
        <v>0</v>
      </c>
      <c r="V14" s="28">
        <f t="shared" si="11"/>
        <v>0</v>
      </c>
      <c r="W14" s="28">
        <f t="shared" si="12"/>
        <v>0</v>
      </c>
      <c r="X14" s="28">
        <f t="shared" si="13"/>
        <v>0</v>
      </c>
      <c r="Y14" s="28">
        <f t="shared" si="13"/>
        <v>0</v>
      </c>
      <c r="Z14" s="28">
        <f t="shared" si="14"/>
        <v>0</v>
      </c>
      <c r="AA14" s="28">
        <f t="shared" si="15"/>
        <v>0</v>
      </c>
      <c r="AB14" s="28">
        <f t="shared" si="15"/>
        <v>0</v>
      </c>
      <c r="AC14" s="28">
        <f t="shared" si="15"/>
        <v>0</v>
      </c>
      <c r="AD14" s="28">
        <f t="shared" si="15"/>
        <v>0</v>
      </c>
      <c r="AE14" s="28">
        <f t="shared" si="16"/>
        <v>0</v>
      </c>
      <c r="AF14" s="28">
        <f t="shared" si="16"/>
        <v>0</v>
      </c>
      <c r="AG14" s="28">
        <f t="shared" si="16"/>
        <v>0</v>
      </c>
      <c r="AH14" s="28">
        <f t="shared" si="16"/>
        <v>0</v>
      </c>
      <c r="AI14" s="28"/>
      <c r="AJ14" s="28"/>
      <c r="AK14" s="99"/>
      <c r="AM14" s="50">
        <v>5</v>
      </c>
      <c r="AN14" s="50">
        <v>16</v>
      </c>
    </row>
    <row r="15" spans="1:97">
      <c r="A15" s="3">
        <v>0.5</v>
      </c>
      <c r="C15" s="3">
        <v>0.875</v>
      </c>
      <c r="D15" s="28">
        <f t="shared" si="2"/>
        <v>0</v>
      </c>
      <c r="E15" s="28">
        <f t="shared" si="2"/>
        <v>0</v>
      </c>
      <c r="F15" s="28">
        <f t="shared" si="2"/>
        <v>0</v>
      </c>
      <c r="G15" s="28">
        <f t="shared" si="3"/>
        <v>0</v>
      </c>
      <c r="H15" s="28">
        <f t="shared" si="4"/>
        <v>0</v>
      </c>
      <c r="I15" s="28">
        <f t="shared" si="4"/>
        <v>0</v>
      </c>
      <c r="J15" s="28">
        <f t="shared" si="5"/>
        <v>0</v>
      </c>
      <c r="K15" s="28">
        <f t="shared" si="5"/>
        <v>0</v>
      </c>
      <c r="L15" s="28">
        <f t="shared" si="6"/>
        <v>0</v>
      </c>
      <c r="M15" s="28">
        <f t="shared" si="7"/>
        <v>0</v>
      </c>
      <c r="N15" s="28">
        <f t="shared" si="7"/>
        <v>0</v>
      </c>
      <c r="O15" s="28">
        <f t="shared" si="7"/>
        <v>0</v>
      </c>
      <c r="P15" s="28">
        <f t="shared" si="7"/>
        <v>0</v>
      </c>
      <c r="Q15" s="28">
        <f t="shared" si="8"/>
        <v>0</v>
      </c>
      <c r="R15" s="28">
        <f t="shared" si="9"/>
        <v>0</v>
      </c>
      <c r="S15" s="28">
        <f t="shared" si="9"/>
        <v>0</v>
      </c>
      <c r="T15" s="28">
        <f t="shared" si="9"/>
        <v>0</v>
      </c>
      <c r="U15" s="28">
        <f t="shared" si="10"/>
        <v>0</v>
      </c>
      <c r="V15" s="28">
        <f t="shared" si="11"/>
        <v>0</v>
      </c>
      <c r="W15" s="28">
        <f t="shared" si="12"/>
        <v>0</v>
      </c>
      <c r="X15" s="28">
        <f t="shared" si="13"/>
        <v>0</v>
      </c>
      <c r="Y15" s="28">
        <f t="shared" si="13"/>
        <v>0</v>
      </c>
      <c r="Z15" s="28">
        <f t="shared" si="14"/>
        <v>0</v>
      </c>
      <c r="AA15" s="28">
        <f t="shared" si="15"/>
        <v>0</v>
      </c>
      <c r="AB15" s="28">
        <f t="shared" si="15"/>
        <v>0</v>
      </c>
      <c r="AC15" s="28">
        <f t="shared" si="15"/>
        <v>0</v>
      </c>
      <c r="AD15" s="28">
        <f t="shared" si="15"/>
        <v>0</v>
      </c>
      <c r="AE15" s="28">
        <f t="shared" si="16"/>
        <v>0</v>
      </c>
      <c r="AF15" s="28">
        <f t="shared" si="16"/>
        <v>0</v>
      </c>
      <c r="AG15" s="28">
        <f t="shared" si="16"/>
        <v>0</v>
      </c>
      <c r="AH15" s="28">
        <f t="shared" si="16"/>
        <v>0</v>
      </c>
      <c r="AI15" s="28"/>
      <c r="AJ15" s="28"/>
      <c r="AK15" s="99"/>
    </row>
    <row r="16" spans="1:97">
      <c r="A16" s="3">
        <v>0.54166666666666663</v>
      </c>
      <c r="C16" s="3">
        <v>0.91666666666666663</v>
      </c>
      <c r="D16" s="28">
        <f t="shared" si="2"/>
        <v>0</v>
      </c>
      <c r="E16" s="28">
        <f t="shared" si="2"/>
        <v>0</v>
      </c>
      <c r="F16" s="28">
        <f t="shared" si="2"/>
        <v>0</v>
      </c>
      <c r="G16" s="28">
        <f t="shared" si="3"/>
        <v>0</v>
      </c>
      <c r="H16" s="28">
        <f t="shared" si="4"/>
        <v>0</v>
      </c>
      <c r="I16" s="28">
        <f t="shared" si="4"/>
        <v>0</v>
      </c>
      <c r="J16" s="28">
        <f t="shared" si="5"/>
        <v>0</v>
      </c>
      <c r="K16" s="28">
        <f t="shared" si="5"/>
        <v>0</v>
      </c>
      <c r="L16" s="28">
        <f t="shared" si="6"/>
        <v>0</v>
      </c>
      <c r="M16" s="28">
        <f t="shared" si="7"/>
        <v>0</v>
      </c>
      <c r="N16" s="28">
        <f t="shared" si="7"/>
        <v>0</v>
      </c>
      <c r="O16" s="28">
        <f t="shared" si="7"/>
        <v>0</v>
      </c>
      <c r="P16" s="28">
        <f t="shared" si="7"/>
        <v>0</v>
      </c>
      <c r="Q16" s="28">
        <f t="shared" si="8"/>
        <v>0</v>
      </c>
      <c r="R16" s="28">
        <f t="shared" si="9"/>
        <v>0</v>
      </c>
      <c r="S16" s="28">
        <f t="shared" si="9"/>
        <v>0</v>
      </c>
      <c r="T16" s="28">
        <f t="shared" si="9"/>
        <v>0</v>
      </c>
      <c r="U16" s="28">
        <f t="shared" si="10"/>
        <v>0</v>
      </c>
      <c r="V16" s="28">
        <f t="shared" si="11"/>
        <v>0</v>
      </c>
      <c r="W16" s="28">
        <f t="shared" si="12"/>
        <v>0</v>
      </c>
      <c r="X16" s="28">
        <f t="shared" si="13"/>
        <v>0</v>
      </c>
      <c r="Y16" s="28">
        <f t="shared" si="13"/>
        <v>0</v>
      </c>
      <c r="Z16" s="28">
        <f t="shared" si="14"/>
        <v>0</v>
      </c>
      <c r="AA16" s="28">
        <f t="shared" si="15"/>
        <v>0</v>
      </c>
      <c r="AB16" s="28">
        <f t="shared" si="15"/>
        <v>0</v>
      </c>
      <c r="AC16" s="28">
        <f t="shared" si="15"/>
        <v>0</v>
      </c>
      <c r="AD16" s="28">
        <f t="shared" si="15"/>
        <v>0</v>
      </c>
      <c r="AE16" s="28">
        <f t="shared" si="16"/>
        <v>0</v>
      </c>
      <c r="AF16" s="28">
        <f t="shared" si="16"/>
        <v>0</v>
      </c>
      <c r="AG16" s="28">
        <f t="shared" si="16"/>
        <v>0</v>
      </c>
      <c r="AH16" s="28">
        <f t="shared" si="16"/>
        <v>0</v>
      </c>
      <c r="AI16" s="28"/>
      <c r="AJ16" s="28"/>
      <c r="AK16" s="99"/>
    </row>
    <row r="17" spans="1:37">
      <c r="A17" s="3">
        <v>0.58333333333333337</v>
      </c>
      <c r="C17" s="3">
        <v>0.95833333333333337</v>
      </c>
      <c r="D17" s="28">
        <f t="shared" si="2"/>
        <v>1</v>
      </c>
      <c r="E17" s="28">
        <f t="shared" si="2"/>
        <v>1</v>
      </c>
      <c r="F17" s="28">
        <f t="shared" si="2"/>
        <v>1</v>
      </c>
      <c r="G17" s="28">
        <f t="shared" si="3"/>
        <v>1</v>
      </c>
      <c r="H17" s="28">
        <f t="shared" si="4"/>
        <v>1</v>
      </c>
      <c r="I17" s="28">
        <f t="shared" si="4"/>
        <v>0</v>
      </c>
      <c r="J17" s="28">
        <f t="shared" si="5"/>
        <v>0</v>
      </c>
      <c r="K17" s="28">
        <f t="shared" si="5"/>
        <v>1</v>
      </c>
      <c r="L17" s="28">
        <f t="shared" si="6"/>
        <v>1</v>
      </c>
      <c r="M17" s="28">
        <f t="shared" si="7"/>
        <v>1</v>
      </c>
      <c r="N17" s="28">
        <f t="shared" si="7"/>
        <v>1</v>
      </c>
      <c r="O17" s="28">
        <f t="shared" si="7"/>
        <v>1</v>
      </c>
      <c r="P17" s="28">
        <f t="shared" si="7"/>
        <v>0</v>
      </c>
      <c r="Q17" s="28">
        <f t="shared" si="8"/>
        <v>0</v>
      </c>
      <c r="R17" s="28">
        <f t="shared" si="9"/>
        <v>2</v>
      </c>
      <c r="S17" s="28">
        <f t="shared" si="9"/>
        <v>2</v>
      </c>
      <c r="T17" s="28">
        <f t="shared" si="9"/>
        <v>2</v>
      </c>
      <c r="U17" s="28">
        <f t="shared" si="10"/>
        <v>1</v>
      </c>
      <c r="V17" s="28">
        <f t="shared" si="11"/>
        <v>2</v>
      </c>
      <c r="W17" s="28">
        <f t="shared" si="12"/>
        <v>0</v>
      </c>
      <c r="X17" s="28">
        <f t="shared" si="13"/>
        <v>0</v>
      </c>
      <c r="Y17" s="28">
        <f t="shared" si="13"/>
        <v>1</v>
      </c>
      <c r="Z17" s="28">
        <f t="shared" si="14"/>
        <v>1</v>
      </c>
      <c r="AA17" s="28">
        <f t="shared" si="15"/>
        <v>1</v>
      </c>
      <c r="AB17" s="28">
        <f t="shared" si="15"/>
        <v>1</v>
      </c>
      <c r="AC17" s="28">
        <f t="shared" si="15"/>
        <v>1</v>
      </c>
      <c r="AD17" s="28">
        <f t="shared" si="15"/>
        <v>0</v>
      </c>
      <c r="AE17" s="28">
        <f t="shared" si="16"/>
        <v>0</v>
      </c>
      <c r="AF17" s="28">
        <f t="shared" si="16"/>
        <v>1</v>
      </c>
      <c r="AG17" s="28">
        <f t="shared" si="16"/>
        <v>1</v>
      </c>
      <c r="AH17" s="28">
        <f t="shared" si="16"/>
        <v>1</v>
      </c>
      <c r="AI17" s="28"/>
      <c r="AJ17" s="28"/>
      <c r="AK17" s="99"/>
    </row>
    <row r="18" spans="1:37">
      <c r="A18" s="3">
        <v>0.625</v>
      </c>
      <c r="C18" s="3">
        <v>0</v>
      </c>
      <c r="D18" s="28">
        <f t="shared" si="2"/>
        <v>0</v>
      </c>
      <c r="E18" s="28">
        <f t="shared" si="2"/>
        <v>0</v>
      </c>
      <c r="F18" s="28">
        <f t="shared" si="2"/>
        <v>0</v>
      </c>
      <c r="G18" s="28">
        <f t="shared" si="3"/>
        <v>0</v>
      </c>
      <c r="H18" s="28">
        <f t="shared" si="4"/>
        <v>0</v>
      </c>
      <c r="I18" s="28">
        <f t="shared" si="4"/>
        <v>0</v>
      </c>
      <c r="J18" s="28">
        <f t="shared" si="5"/>
        <v>0</v>
      </c>
      <c r="K18" s="28">
        <f t="shared" si="5"/>
        <v>0</v>
      </c>
      <c r="L18" s="28">
        <f t="shared" si="6"/>
        <v>0</v>
      </c>
      <c r="M18" s="28">
        <f t="shared" si="7"/>
        <v>0</v>
      </c>
      <c r="N18" s="28">
        <f t="shared" si="7"/>
        <v>0</v>
      </c>
      <c r="O18" s="28">
        <f t="shared" si="7"/>
        <v>0</v>
      </c>
      <c r="P18" s="28">
        <f t="shared" si="7"/>
        <v>0</v>
      </c>
      <c r="Q18" s="28">
        <f t="shared" si="8"/>
        <v>0</v>
      </c>
      <c r="R18" s="28">
        <f t="shared" si="9"/>
        <v>0</v>
      </c>
      <c r="S18" s="28">
        <f t="shared" si="9"/>
        <v>0</v>
      </c>
      <c r="T18" s="28">
        <f t="shared" si="9"/>
        <v>0</v>
      </c>
      <c r="U18" s="28">
        <f t="shared" si="10"/>
        <v>0</v>
      </c>
      <c r="V18" s="28">
        <f t="shared" si="11"/>
        <v>0</v>
      </c>
      <c r="W18" s="28">
        <f t="shared" si="12"/>
        <v>0</v>
      </c>
      <c r="X18" s="28">
        <f t="shared" si="13"/>
        <v>0</v>
      </c>
      <c r="Y18" s="28">
        <f t="shared" si="13"/>
        <v>0</v>
      </c>
      <c r="Z18" s="28">
        <f t="shared" si="14"/>
        <v>0</v>
      </c>
      <c r="AA18" s="28">
        <f t="shared" si="15"/>
        <v>0</v>
      </c>
      <c r="AB18" s="28">
        <f t="shared" si="15"/>
        <v>0</v>
      </c>
      <c r="AC18" s="28">
        <f t="shared" si="15"/>
        <v>0</v>
      </c>
      <c r="AD18" s="28">
        <f t="shared" si="15"/>
        <v>0</v>
      </c>
      <c r="AE18" s="28">
        <f t="shared" si="16"/>
        <v>0</v>
      </c>
      <c r="AF18" s="28">
        <f t="shared" si="16"/>
        <v>0</v>
      </c>
      <c r="AG18" s="28">
        <f t="shared" si="16"/>
        <v>0</v>
      </c>
      <c r="AH18" s="28">
        <f t="shared" si="16"/>
        <v>0</v>
      </c>
      <c r="AI18" s="28"/>
      <c r="AJ18" s="28"/>
      <c r="AK18" s="99"/>
    </row>
    <row r="19" spans="1:37">
      <c r="A19" s="3">
        <v>0.66666666666666663</v>
      </c>
      <c r="C19" s="3">
        <v>4.1666666666666664E-2</v>
      </c>
      <c r="D19" s="28">
        <f t="shared" si="2"/>
        <v>0</v>
      </c>
      <c r="E19" s="28">
        <f t="shared" si="2"/>
        <v>0</v>
      </c>
      <c r="F19" s="28">
        <f t="shared" si="2"/>
        <v>0</v>
      </c>
      <c r="G19" s="28">
        <f t="shared" si="3"/>
        <v>0</v>
      </c>
      <c r="H19" s="28">
        <f t="shared" si="4"/>
        <v>0</v>
      </c>
      <c r="I19" s="28">
        <f t="shared" si="4"/>
        <v>0</v>
      </c>
      <c r="J19" s="28">
        <f t="shared" si="5"/>
        <v>0</v>
      </c>
      <c r="K19" s="28">
        <f t="shared" si="5"/>
        <v>0</v>
      </c>
      <c r="L19" s="28">
        <f t="shared" si="6"/>
        <v>0</v>
      </c>
      <c r="M19" s="28">
        <f t="shared" si="7"/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8"/>
        <v>0</v>
      </c>
      <c r="R19" s="28">
        <f t="shared" si="9"/>
        <v>0</v>
      </c>
      <c r="S19" s="28">
        <f t="shared" si="9"/>
        <v>0</v>
      </c>
      <c r="T19" s="28">
        <f t="shared" si="9"/>
        <v>0</v>
      </c>
      <c r="U19" s="28">
        <f t="shared" si="10"/>
        <v>0</v>
      </c>
      <c r="V19" s="28">
        <f t="shared" si="11"/>
        <v>0</v>
      </c>
      <c r="W19" s="28">
        <f t="shared" si="12"/>
        <v>0</v>
      </c>
      <c r="X19" s="28">
        <f t="shared" si="13"/>
        <v>0</v>
      </c>
      <c r="Y19" s="28">
        <f t="shared" si="13"/>
        <v>0</v>
      </c>
      <c r="Z19" s="28">
        <f t="shared" si="14"/>
        <v>0</v>
      </c>
      <c r="AA19" s="28">
        <f t="shared" si="15"/>
        <v>0</v>
      </c>
      <c r="AB19" s="28">
        <f t="shared" si="15"/>
        <v>0</v>
      </c>
      <c r="AC19" s="28">
        <f t="shared" si="15"/>
        <v>0</v>
      </c>
      <c r="AD19" s="28">
        <f t="shared" si="15"/>
        <v>0</v>
      </c>
      <c r="AE19" s="28">
        <f t="shared" si="16"/>
        <v>0</v>
      </c>
      <c r="AF19" s="28">
        <f t="shared" si="16"/>
        <v>0</v>
      </c>
      <c r="AG19" s="28">
        <f t="shared" si="16"/>
        <v>0</v>
      </c>
      <c r="AH19" s="28">
        <f t="shared" si="16"/>
        <v>0</v>
      </c>
      <c r="AI19" s="28"/>
      <c r="AJ19" s="28"/>
      <c r="AK19" s="99"/>
    </row>
    <row r="20" spans="1:37">
      <c r="A20" s="3">
        <v>0.70833333333333337</v>
      </c>
      <c r="C20" s="3">
        <v>8.3333333333333329E-2</v>
      </c>
      <c r="D20" s="28">
        <f t="shared" ref="D20:F28" si="17">COUNTIF(D$3:D$6,$A20)</f>
        <v>0</v>
      </c>
      <c r="E20" s="28">
        <f t="shared" si="17"/>
        <v>0</v>
      </c>
      <c r="F20" s="28">
        <f t="shared" si="17"/>
        <v>0</v>
      </c>
      <c r="G20" s="28">
        <f t="shared" si="3"/>
        <v>0</v>
      </c>
      <c r="H20" s="28">
        <f t="shared" si="4"/>
        <v>0</v>
      </c>
      <c r="I20" s="28">
        <f t="shared" si="4"/>
        <v>0</v>
      </c>
      <c r="J20" s="28">
        <f t="shared" ref="J20:K28" si="18">COUNTIF(J$3:J$5,$A20)</f>
        <v>0</v>
      </c>
      <c r="K20" s="28">
        <f t="shared" si="18"/>
        <v>0</v>
      </c>
      <c r="L20" s="28">
        <f t="shared" si="6"/>
        <v>0</v>
      </c>
      <c r="M20" s="28">
        <f t="shared" si="7"/>
        <v>0</v>
      </c>
      <c r="N20" s="28">
        <f t="shared" si="7"/>
        <v>0</v>
      </c>
      <c r="O20" s="28">
        <f t="shared" si="7"/>
        <v>0</v>
      </c>
      <c r="P20" s="28">
        <f t="shared" si="7"/>
        <v>0</v>
      </c>
      <c r="Q20" s="28">
        <f t="shared" ref="Q20:Q28" si="19">COUNTIF(Q$3:Q$6,$A20)</f>
        <v>0</v>
      </c>
      <c r="R20" s="28">
        <f t="shared" si="9"/>
        <v>0</v>
      </c>
      <c r="S20" s="28">
        <f t="shared" si="9"/>
        <v>0</v>
      </c>
      <c r="T20" s="28">
        <f t="shared" si="9"/>
        <v>0</v>
      </c>
      <c r="U20" s="28">
        <f t="shared" si="10"/>
        <v>0</v>
      </c>
      <c r="V20" s="28">
        <f t="shared" si="11"/>
        <v>0</v>
      </c>
      <c r="W20" s="28">
        <f t="shared" si="12"/>
        <v>0</v>
      </c>
      <c r="X20" s="28">
        <f t="shared" ref="X20:Y28" si="20">COUNTIF(X$3:X$5,$A20)</f>
        <v>0</v>
      </c>
      <c r="Y20" s="28">
        <f t="shared" si="20"/>
        <v>0</v>
      </c>
      <c r="Z20" s="28">
        <f t="shared" si="14"/>
        <v>0</v>
      </c>
      <c r="AA20" s="28">
        <f t="shared" si="15"/>
        <v>0</v>
      </c>
      <c r="AB20" s="28">
        <f t="shared" si="15"/>
        <v>0</v>
      </c>
      <c r="AC20" s="28">
        <f t="shared" si="15"/>
        <v>0</v>
      </c>
      <c r="AD20" s="28">
        <f t="shared" si="15"/>
        <v>0</v>
      </c>
      <c r="AE20" s="28">
        <f t="shared" ref="AE20:AJ28" si="21">COUNTIF(AE$3:AE$6,$A20)</f>
        <v>0</v>
      </c>
      <c r="AF20" s="28">
        <f t="shared" si="21"/>
        <v>0</v>
      </c>
      <c r="AG20" s="28">
        <f t="shared" si="21"/>
        <v>0</v>
      </c>
      <c r="AH20" s="28">
        <f t="shared" si="21"/>
        <v>0</v>
      </c>
      <c r="AI20" s="28"/>
      <c r="AJ20" s="28"/>
      <c r="AK20" s="99"/>
    </row>
    <row r="21" spans="1:37">
      <c r="A21" s="3">
        <v>0.75</v>
      </c>
      <c r="C21" s="3">
        <v>0.125</v>
      </c>
      <c r="D21" s="28">
        <f t="shared" si="17"/>
        <v>0</v>
      </c>
      <c r="E21" s="28">
        <f t="shared" si="17"/>
        <v>0</v>
      </c>
      <c r="F21" s="28">
        <f t="shared" si="17"/>
        <v>0</v>
      </c>
      <c r="G21" s="28">
        <f t="shared" si="3"/>
        <v>0</v>
      </c>
      <c r="H21" s="28">
        <f t="shared" si="4"/>
        <v>0</v>
      </c>
      <c r="I21" s="28">
        <f t="shared" si="4"/>
        <v>0</v>
      </c>
      <c r="J21" s="28">
        <f t="shared" si="18"/>
        <v>0</v>
      </c>
      <c r="K21" s="28">
        <f t="shared" si="18"/>
        <v>0</v>
      </c>
      <c r="L21" s="28">
        <f t="shared" si="6"/>
        <v>0</v>
      </c>
      <c r="M21" s="28">
        <f t="shared" si="7"/>
        <v>0</v>
      </c>
      <c r="N21" s="28">
        <f t="shared" si="7"/>
        <v>0</v>
      </c>
      <c r="O21" s="28">
        <f t="shared" si="7"/>
        <v>0</v>
      </c>
      <c r="P21" s="28">
        <f t="shared" si="7"/>
        <v>0</v>
      </c>
      <c r="Q21" s="28">
        <f t="shared" si="19"/>
        <v>0</v>
      </c>
      <c r="R21" s="28">
        <f t="shared" si="9"/>
        <v>0</v>
      </c>
      <c r="S21" s="28">
        <f t="shared" si="9"/>
        <v>0</v>
      </c>
      <c r="T21" s="28">
        <f t="shared" si="9"/>
        <v>0</v>
      </c>
      <c r="U21" s="28">
        <f t="shared" si="10"/>
        <v>0</v>
      </c>
      <c r="V21" s="28">
        <f t="shared" si="11"/>
        <v>0</v>
      </c>
      <c r="W21" s="28">
        <f t="shared" si="12"/>
        <v>0</v>
      </c>
      <c r="X21" s="28">
        <f t="shared" si="20"/>
        <v>0</v>
      </c>
      <c r="Y21" s="28">
        <f t="shared" si="20"/>
        <v>0</v>
      </c>
      <c r="Z21" s="28">
        <f t="shared" si="14"/>
        <v>0</v>
      </c>
      <c r="AA21" s="28">
        <f t="shared" si="15"/>
        <v>0</v>
      </c>
      <c r="AB21" s="28">
        <f t="shared" si="15"/>
        <v>0</v>
      </c>
      <c r="AC21" s="28">
        <f t="shared" si="15"/>
        <v>0</v>
      </c>
      <c r="AD21" s="28">
        <f t="shared" si="15"/>
        <v>0</v>
      </c>
      <c r="AE21" s="28">
        <f t="shared" si="21"/>
        <v>0</v>
      </c>
      <c r="AF21" s="28">
        <f t="shared" si="21"/>
        <v>0</v>
      </c>
      <c r="AG21" s="28">
        <f t="shared" si="21"/>
        <v>0</v>
      </c>
      <c r="AH21" s="28">
        <f t="shared" si="21"/>
        <v>0</v>
      </c>
      <c r="AI21" s="28"/>
      <c r="AJ21" s="28"/>
      <c r="AK21" s="99"/>
    </row>
    <row r="22" spans="1:37">
      <c r="A22" s="3">
        <v>0.79166666666666663</v>
      </c>
      <c r="C22" s="3">
        <v>0.16666666666666666</v>
      </c>
      <c r="D22" s="28">
        <f t="shared" si="17"/>
        <v>0</v>
      </c>
      <c r="E22" s="28">
        <f t="shared" si="17"/>
        <v>0</v>
      </c>
      <c r="F22" s="28">
        <f t="shared" si="17"/>
        <v>0</v>
      </c>
      <c r="G22" s="28">
        <f t="shared" si="3"/>
        <v>0</v>
      </c>
      <c r="H22" s="28">
        <f t="shared" si="4"/>
        <v>0</v>
      </c>
      <c r="I22" s="28">
        <f t="shared" si="4"/>
        <v>0</v>
      </c>
      <c r="J22" s="28">
        <f t="shared" si="18"/>
        <v>0</v>
      </c>
      <c r="K22" s="28">
        <f t="shared" si="18"/>
        <v>0</v>
      </c>
      <c r="L22" s="28">
        <f t="shared" si="6"/>
        <v>0</v>
      </c>
      <c r="M22" s="28">
        <f t="shared" si="7"/>
        <v>0</v>
      </c>
      <c r="N22" s="28">
        <f t="shared" si="7"/>
        <v>0</v>
      </c>
      <c r="O22" s="28">
        <f t="shared" si="7"/>
        <v>0</v>
      </c>
      <c r="P22" s="28">
        <f t="shared" si="7"/>
        <v>0</v>
      </c>
      <c r="Q22" s="28">
        <f t="shared" si="19"/>
        <v>0</v>
      </c>
      <c r="R22" s="28">
        <f t="shared" si="9"/>
        <v>0</v>
      </c>
      <c r="S22" s="28">
        <f t="shared" si="9"/>
        <v>0</v>
      </c>
      <c r="T22" s="28">
        <f t="shared" si="9"/>
        <v>0</v>
      </c>
      <c r="U22" s="28">
        <f t="shared" si="10"/>
        <v>0</v>
      </c>
      <c r="V22" s="28">
        <f t="shared" si="11"/>
        <v>0</v>
      </c>
      <c r="W22" s="28">
        <f t="shared" si="12"/>
        <v>0</v>
      </c>
      <c r="X22" s="28">
        <f t="shared" si="20"/>
        <v>0</v>
      </c>
      <c r="Y22" s="28">
        <f t="shared" si="20"/>
        <v>0</v>
      </c>
      <c r="Z22" s="28">
        <f t="shared" si="14"/>
        <v>0</v>
      </c>
      <c r="AA22" s="28">
        <f t="shared" si="15"/>
        <v>0</v>
      </c>
      <c r="AB22" s="28">
        <f t="shared" si="15"/>
        <v>0</v>
      </c>
      <c r="AC22" s="28">
        <f t="shared" si="15"/>
        <v>0</v>
      </c>
      <c r="AD22" s="28">
        <f t="shared" si="15"/>
        <v>0</v>
      </c>
      <c r="AE22" s="28">
        <f t="shared" si="21"/>
        <v>0</v>
      </c>
      <c r="AF22" s="28">
        <f t="shared" si="21"/>
        <v>0</v>
      </c>
      <c r="AG22" s="28">
        <f t="shared" si="21"/>
        <v>0</v>
      </c>
      <c r="AH22" s="28">
        <f t="shared" si="21"/>
        <v>0</v>
      </c>
      <c r="AI22" s="28"/>
      <c r="AJ22" s="28"/>
      <c r="AK22" s="99"/>
    </row>
    <row r="23" spans="1:37">
      <c r="A23" s="3">
        <v>0.83333333333333337</v>
      </c>
      <c r="C23" s="3">
        <v>0.20833333333333334</v>
      </c>
      <c r="D23" s="28">
        <f t="shared" si="17"/>
        <v>0</v>
      </c>
      <c r="E23" s="28">
        <f t="shared" si="17"/>
        <v>0</v>
      </c>
      <c r="F23" s="28">
        <f t="shared" si="17"/>
        <v>0</v>
      </c>
      <c r="G23" s="28">
        <f t="shared" si="3"/>
        <v>0</v>
      </c>
      <c r="H23" s="28">
        <f t="shared" si="4"/>
        <v>0</v>
      </c>
      <c r="I23" s="28">
        <f t="shared" si="4"/>
        <v>0</v>
      </c>
      <c r="J23" s="28">
        <f t="shared" si="18"/>
        <v>0</v>
      </c>
      <c r="K23" s="28">
        <f t="shared" si="18"/>
        <v>0</v>
      </c>
      <c r="L23" s="28">
        <f t="shared" si="6"/>
        <v>0</v>
      </c>
      <c r="M23" s="28">
        <f t="shared" si="7"/>
        <v>0</v>
      </c>
      <c r="N23" s="28">
        <f t="shared" si="7"/>
        <v>0</v>
      </c>
      <c r="O23" s="28">
        <f t="shared" si="7"/>
        <v>0</v>
      </c>
      <c r="P23" s="28">
        <f t="shared" si="7"/>
        <v>0</v>
      </c>
      <c r="Q23" s="28">
        <f t="shared" si="19"/>
        <v>0</v>
      </c>
      <c r="R23" s="28">
        <f t="shared" si="9"/>
        <v>0</v>
      </c>
      <c r="S23" s="28">
        <f t="shared" si="9"/>
        <v>0</v>
      </c>
      <c r="T23" s="28">
        <f t="shared" si="9"/>
        <v>0</v>
      </c>
      <c r="U23" s="28">
        <f t="shared" si="10"/>
        <v>0</v>
      </c>
      <c r="V23" s="28">
        <f t="shared" si="11"/>
        <v>0</v>
      </c>
      <c r="W23" s="28">
        <f t="shared" si="12"/>
        <v>0</v>
      </c>
      <c r="X23" s="28">
        <f t="shared" si="20"/>
        <v>0</v>
      </c>
      <c r="Y23" s="28">
        <f t="shared" si="20"/>
        <v>0</v>
      </c>
      <c r="Z23" s="28">
        <f t="shared" si="14"/>
        <v>0</v>
      </c>
      <c r="AA23" s="28">
        <f t="shared" si="15"/>
        <v>0</v>
      </c>
      <c r="AB23" s="28">
        <f t="shared" si="15"/>
        <v>0</v>
      </c>
      <c r="AC23" s="28">
        <f t="shared" si="15"/>
        <v>0</v>
      </c>
      <c r="AD23" s="28">
        <f t="shared" si="15"/>
        <v>0</v>
      </c>
      <c r="AE23" s="28">
        <f t="shared" si="21"/>
        <v>0</v>
      </c>
      <c r="AF23" s="28">
        <f t="shared" si="21"/>
        <v>0</v>
      </c>
      <c r="AG23" s="28">
        <f t="shared" si="21"/>
        <v>0</v>
      </c>
      <c r="AH23" s="28">
        <f t="shared" si="21"/>
        <v>0</v>
      </c>
      <c r="AI23" s="28"/>
      <c r="AJ23" s="28"/>
      <c r="AK23" s="99"/>
    </row>
    <row r="24" spans="1:37">
      <c r="A24" s="3">
        <v>0.875</v>
      </c>
      <c r="C24" s="3">
        <v>0.25</v>
      </c>
      <c r="D24" s="28">
        <f t="shared" si="17"/>
        <v>0</v>
      </c>
      <c r="E24" s="28">
        <f t="shared" si="17"/>
        <v>0</v>
      </c>
      <c r="F24" s="28">
        <f t="shared" si="17"/>
        <v>0</v>
      </c>
      <c r="G24" s="28">
        <f t="shared" si="3"/>
        <v>0</v>
      </c>
      <c r="H24" s="28">
        <f t="shared" si="4"/>
        <v>0</v>
      </c>
      <c r="I24" s="28">
        <f t="shared" si="4"/>
        <v>0</v>
      </c>
      <c r="J24" s="28">
        <f t="shared" si="18"/>
        <v>0</v>
      </c>
      <c r="K24" s="28">
        <f t="shared" si="18"/>
        <v>0</v>
      </c>
      <c r="L24" s="28">
        <f t="shared" si="6"/>
        <v>0</v>
      </c>
      <c r="M24" s="28">
        <f t="shared" si="7"/>
        <v>0</v>
      </c>
      <c r="N24" s="28">
        <f t="shared" si="7"/>
        <v>0</v>
      </c>
      <c r="O24" s="28">
        <f t="shared" si="7"/>
        <v>0</v>
      </c>
      <c r="P24" s="28">
        <f t="shared" si="7"/>
        <v>0</v>
      </c>
      <c r="Q24" s="28">
        <f t="shared" si="19"/>
        <v>0</v>
      </c>
      <c r="R24" s="28">
        <f t="shared" si="9"/>
        <v>0</v>
      </c>
      <c r="S24" s="28">
        <f t="shared" si="9"/>
        <v>0</v>
      </c>
      <c r="T24" s="28">
        <f t="shared" si="9"/>
        <v>0</v>
      </c>
      <c r="U24" s="28">
        <f t="shared" si="10"/>
        <v>0</v>
      </c>
      <c r="V24" s="28">
        <f t="shared" si="11"/>
        <v>0</v>
      </c>
      <c r="W24" s="28">
        <f t="shared" si="12"/>
        <v>0</v>
      </c>
      <c r="X24" s="28">
        <f t="shared" si="20"/>
        <v>0</v>
      </c>
      <c r="Y24" s="28">
        <f t="shared" si="20"/>
        <v>0</v>
      </c>
      <c r="Z24" s="28">
        <f t="shared" si="14"/>
        <v>0</v>
      </c>
      <c r="AA24" s="28">
        <f t="shared" si="15"/>
        <v>0</v>
      </c>
      <c r="AB24" s="28">
        <f t="shared" si="15"/>
        <v>0</v>
      </c>
      <c r="AC24" s="28">
        <f t="shared" si="15"/>
        <v>0</v>
      </c>
      <c r="AD24" s="28">
        <f t="shared" si="15"/>
        <v>0</v>
      </c>
      <c r="AE24" s="28">
        <f t="shared" si="21"/>
        <v>0</v>
      </c>
      <c r="AF24" s="28">
        <f t="shared" si="21"/>
        <v>0</v>
      </c>
      <c r="AG24" s="28">
        <f t="shared" si="21"/>
        <v>0</v>
      </c>
      <c r="AH24" s="28">
        <f t="shared" si="21"/>
        <v>0</v>
      </c>
      <c r="AI24" s="28"/>
      <c r="AJ24" s="28"/>
      <c r="AK24" s="99"/>
    </row>
    <row r="25" spans="1:37">
      <c r="A25" s="3">
        <v>0.91666666666666663</v>
      </c>
      <c r="C25" s="3">
        <v>0.29166666666666669</v>
      </c>
      <c r="D25" s="28">
        <f t="shared" si="17"/>
        <v>0</v>
      </c>
      <c r="E25" s="28">
        <f t="shared" si="17"/>
        <v>0</v>
      </c>
      <c r="F25" s="28">
        <f t="shared" si="17"/>
        <v>0</v>
      </c>
      <c r="G25" s="28">
        <f t="shared" si="3"/>
        <v>0</v>
      </c>
      <c r="H25" s="28">
        <f t="shared" si="4"/>
        <v>0</v>
      </c>
      <c r="I25" s="28">
        <f t="shared" si="4"/>
        <v>0</v>
      </c>
      <c r="J25" s="28">
        <f t="shared" si="18"/>
        <v>0</v>
      </c>
      <c r="K25" s="28">
        <f t="shared" si="18"/>
        <v>0</v>
      </c>
      <c r="L25" s="28">
        <f t="shared" si="6"/>
        <v>0</v>
      </c>
      <c r="M25" s="28">
        <f t="shared" si="7"/>
        <v>0</v>
      </c>
      <c r="N25" s="28">
        <f t="shared" si="7"/>
        <v>0</v>
      </c>
      <c r="O25" s="28">
        <f t="shared" si="7"/>
        <v>0</v>
      </c>
      <c r="P25" s="28">
        <f t="shared" si="7"/>
        <v>0</v>
      </c>
      <c r="Q25" s="28">
        <f t="shared" si="19"/>
        <v>0</v>
      </c>
      <c r="R25" s="28">
        <f t="shared" si="9"/>
        <v>0</v>
      </c>
      <c r="S25" s="28">
        <f t="shared" si="9"/>
        <v>0</v>
      </c>
      <c r="T25" s="28">
        <f t="shared" si="9"/>
        <v>0</v>
      </c>
      <c r="U25" s="28">
        <f t="shared" si="10"/>
        <v>0</v>
      </c>
      <c r="V25" s="28">
        <f t="shared" si="11"/>
        <v>0</v>
      </c>
      <c r="W25" s="28">
        <f t="shared" si="12"/>
        <v>0</v>
      </c>
      <c r="X25" s="28">
        <f t="shared" si="20"/>
        <v>0</v>
      </c>
      <c r="Y25" s="28">
        <f t="shared" si="20"/>
        <v>0</v>
      </c>
      <c r="Z25" s="28">
        <f t="shared" si="14"/>
        <v>0</v>
      </c>
      <c r="AA25" s="28">
        <f t="shared" si="15"/>
        <v>0</v>
      </c>
      <c r="AB25" s="28">
        <f t="shared" si="15"/>
        <v>0</v>
      </c>
      <c r="AC25" s="28">
        <f t="shared" si="15"/>
        <v>0</v>
      </c>
      <c r="AD25" s="28">
        <f t="shared" si="15"/>
        <v>0</v>
      </c>
      <c r="AE25" s="28">
        <f t="shared" si="21"/>
        <v>0</v>
      </c>
      <c r="AF25" s="28">
        <f t="shared" si="21"/>
        <v>0</v>
      </c>
      <c r="AG25" s="28">
        <f t="shared" si="21"/>
        <v>0</v>
      </c>
      <c r="AH25" s="28">
        <f t="shared" si="21"/>
        <v>0</v>
      </c>
      <c r="AI25" s="28"/>
      <c r="AJ25" s="28"/>
      <c r="AK25" s="99"/>
    </row>
    <row r="26" spans="1:37">
      <c r="A26" s="3">
        <v>0.95833333333333337</v>
      </c>
      <c r="C26" s="3">
        <v>0.33333333333333331</v>
      </c>
      <c r="D26" s="28">
        <f t="shared" si="17"/>
        <v>0</v>
      </c>
      <c r="E26" s="28">
        <f t="shared" si="17"/>
        <v>0</v>
      </c>
      <c r="F26" s="28">
        <f t="shared" si="17"/>
        <v>0</v>
      </c>
      <c r="G26" s="28">
        <f t="shared" si="3"/>
        <v>0</v>
      </c>
      <c r="H26" s="28">
        <f t="shared" si="4"/>
        <v>0</v>
      </c>
      <c r="I26" s="28">
        <f t="shared" si="4"/>
        <v>0</v>
      </c>
      <c r="J26" s="28">
        <f t="shared" si="18"/>
        <v>0</v>
      </c>
      <c r="K26" s="28">
        <f t="shared" si="18"/>
        <v>0</v>
      </c>
      <c r="L26" s="28">
        <f t="shared" si="6"/>
        <v>0</v>
      </c>
      <c r="M26" s="28">
        <f t="shared" si="7"/>
        <v>0</v>
      </c>
      <c r="N26" s="28">
        <f t="shared" si="7"/>
        <v>0</v>
      </c>
      <c r="O26" s="28">
        <f t="shared" si="7"/>
        <v>0</v>
      </c>
      <c r="P26" s="28">
        <f t="shared" si="7"/>
        <v>0</v>
      </c>
      <c r="Q26" s="28">
        <f t="shared" si="19"/>
        <v>0</v>
      </c>
      <c r="R26" s="28">
        <f t="shared" si="9"/>
        <v>0</v>
      </c>
      <c r="S26" s="28">
        <f t="shared" si="9"/>
        <v>0</v>
      </c>
      <c r="T26" s="28">
        <f t="shared" si="9"/>
        <v>0</v>
      </c>
      <c r="U26" s="28">
        <f t="shared" si="10"/>
        <v>0</v>
      </c>
      <c r="V26" s="28">
        <f t="shared" si="11"/>
        <v>0</v>
      </c>
      <c r="W26" s="28">
        <f t="shared" si="12"/>
        <v>0</v>
      </c>
      <c r="X26" s="28">
        <f t="shared" si="20"/>
        <v>0</v>
      </c>
      <c r="Y26" s="28">
        <f t="shared" si="20"/>
        <v>0</v>
      </c>
      <c r="Z26" s="28">
        <f t="shared" si="14"/>
        <v>0</v>
      </c>
      <c r="AA26" s="28">
        <f t="shared" si="15"/>
        <v>0</v>
      </c>
      <c r="AB26" s="28">
        <f t="shared" si="15"/>
        <v>0</v>
      </c>
      <c r="AC26" s="28">
        <f t="shared" si="15"/>
        <v>0</v>
      </c>
      <c r="AD26" s="28">
        <f t="shared" si="15"/>
        <v>0</v>
      </c>
      <c r="AE26" s="28">
        <f t="shared" si="21"/>
        <v>0</v>
      </c>
      <c r="AF26" s="28">
        <f t="shared" si="21"/>
        <v>0</v>
      </c>
      <c r="AG26" s="28">
        <f t="shared" si="21"/>
        <v>0</v>
      </c>
      <c r="AH26" s="28">
        <f t="shared" si="21"/>
        <v>0</v>
      </c>
      <c r="AI26" s="28"/>
      <c r="AJ26" s="28"/>
      <c r="AK26" s="99"/>
    </row>
    <row r="27" spans="1:37">
      <c r="A27" s="3">
        <v>0</v>
      </c>
      <c r="C27" s="3">
        <v>0.375</v>
      </c>
      <c r="D27" s="28">
        <f t="shared" si="17"/>
        <v>0</v>
      </c>
      <c r="E27" s="28">
        <f t="shared" si="17"/>
        <v>0</v>
      </c>
      <c r="F27" s="28">
        <f t="shared" si="17"/>
        <v>0</v>
      </c>
      <c r="G27" s="28">
        <f t="shared" si="3"/>
        <v>0</v>
      </c>
      <c r="H27" s="28">
        <f t="shared" si="4"/>
        <v>0</v>
      </c>
      <c r="I27" s="28">
        <f t="shared" si="4"/>
        <v>0</v>
      </c>
      <c r="J27" s="28">
        <f t="shared" si="18"/>
        <v>0</v>
      </c>
      <c r="K27" s="28">
        <f t="shared" si="18"/>
        <v>0</v>
      </c>
      <c r="L27" s="28">
        <f t="shared" si="6"/>
        <v>0</v>
      </c>
      <c r="M27" s="28">
        <f t="shared" si="7"/>
        <v>0</v>
      </c>
      <c r="N27" s="28">
        <f t="shared" si="7"/>
        <v>0</v>
      </c>
      <c r="O27" s="28">
        <f t="shared" si="7"/>
        <v>0</v>
      </c>
      <c r="P27" s="28">
        <f t="shared" si="7"/>
        <v>0</v>
      </c>
      <c r="Q27" s="28">
        <f t="shared" si="19"/>
        <v>0</v>
      </c>
      <c r="R27" s="28">
        <f t="shared" si="9"/>
        <v>0</v>
      </c>
      <c r="S27" s="28">
        <f t="shared" si="9"/>
        <v>0</v>
      </c>
      <c r="T27" s="28">
        <f t="shared" si="9"/>
        <v>0</v>
      </c>
      <c r="U27" s="28">
        <f t="shared" si="10"/>
        <v>0</v>
      </c>
      <c r="V27" s="28">
        <f t="shared" si="11"/>
        <v>0</v>
      </c>
      <c r="W27" s="28">
        <f t="shared" si="12"/>
        <v>0</v>
      </c>
      <c r="X27" s="28">
        <f t="shared" si="20"/>
        <v>0</v>
      </c>
      <c r="Y27" s="28">
        <f t="shared" si="20"/>
        <v>0</v>
      </c>
      <c r="Z27" s="28">
        <f t="shared" si="14"/>
        <v>0</v>
      </c>
      <c r="AA27" s="28">
        <f t="shared" si="15"/>
        <v>0</v>
      </c>
      <c r="AB27" s="28">
        <f t="shared" si="15"/>
        <v>0</v>
      </c>
      <c r="AC27" s="28">
        <f t="shared" si="15"/>
        <v>0</v>
      </c>
      <c r="AD27" s="28">
        <f t="shared" si="15"/>
        <v>0</v>
      </c>
      <c r="AE27" s="28">
        <f t="shared" si="21"/>
        <v>0</v>
      </c>
      <c r="AF27" s="28">
        <f t="shared" si="21"/>
        <v>0</v>
      </c>
      <c r="AG27" s="28">
        <f t="shared" si="21"/>
        <v>0</v>
      </c>
      <c r="AH27" s="28">
        <f t="shared" si="21"/>
        <v>0</v>
      </c>
      <c r="AI27" s="28"/>
      <c r="AJ27" s="28"/>
      <c r="AK27" s="99"/>
    </row>
    <row r="28" spans="1:37">
      <c r="A28" s="3">
        <v>4.1666666666666664E-2</v>
      </c>
      <c r="C28" s="35">
        <v>0.41666666666666669</v>
      </c>
      <c r="D28" s="28">
        <f t="shared" si="17"/>
        <v>0</v>
      </c>
      <c r="E28" s="28">
        <f t="shared" si="17"/>
        <v>0</v>
      </c>
      <c r="F28" s="28">
        <f t="shared" si="17"/>
        <v>0</v>
      </c>
      <c r="G28" s="28">
        <f t="shared" si="3"/>
        <v>0</v>
      </c>
      <c r="H28" s="28">
        <f t="shared" si="4"/>
        <v>0</v>
      </c>
      <c r="I28" s="28">
        <f t="shared" si="4"/>
        <v>0</v>
      </c>
      <c r="J28" s="28">
        <f t="shared" si="18"/>
        <v>0</v>
      </c>
      <c r="K28" s="28">
        <f t="shared" si="18"/>
        <v>0</v>
      </c>
      <c r="L28" s="28">
        <f t="shared" si="6"/>
        <v>0</v>
      </c>
      <c r="M28" s="28">
        <f t="shared" si="7"/>
        <v>0</v>
      </c>
      <c r="N28" s="28">
        <f t="shared" si="7"/>
        <v>0</v>
      </c>
      <c r="O28" s="28">
        <f t="shared" si="7"/>
        <v>0</v>
      </c>
      <c r="P28" s="28">
        <f t="shared" si="7"/>
        <v>0</v>
      </c>
      <c r="Q28" s="28">
        <f t="shared" si="19"/>
        <v>0</v>
      </c>
      <c r="R28" s="28">
        <f t="shared" si="9"/>
        <v>0</v>
      </c>
      <c r="S28" s="28">
        <f t="shared" si="9"/>
        <v>0</v>
      </c>
      <c r="T28" s="28">
        <f t="shared" si="9"/>
        <v>0</v>
      </c>
      <c r="U28" s="28">
        <f t="shared" si="10"/>
        <v>0</v>
      </c>
      <c r="V28" s="28">
        <f t="shared" si="11"/>
        <v>0</v>
      </c>
      <c r="W28" s="28">
        <f t="shared" si="12"/>
        <v>0</v>
      </c>
      <c r="X28" s="28">
        <f t="shared" si="20"/>
        <v>0</v>
      </c>
      <c r="Y28" s="28">
        <f t="shared" si="20"/>
        <v>0</v>
      </c>
      <c r="Z28" s="28">
        <f t="shared" si="14"/>
        <v>0</v>
      </c>
      <c r="AA28" s="28">
        <f t="shared" si="15"/>
        <v>0</v>
      </c>
      <c r="AB28" s="28">
        <f t="shared" si="15"/>
        <v>0</v>
      </c>
      <c r="AC28" s="28">
        <f t="shared" si="15"/>
        <v>0</v>
      </c>
      <c r="AD28" s="28">
        <f t="shared" si="15"/>
        <v>0</v>
      </c>
      <c r="AE28" s="28">
        <f t="shared" si="21"/>
        <v>0</v>
      </c>
      <c r="AF28" s="28">
        <f t="shared" si="21"/>
        <v>0</v>
      </c>
      <c r="AG28" s="28">
        <f t="shared" si="21"/>
        <v>0</v>
      </c>
      <c r="AH28" s="28">
        <f t="shared" si="21"/>
        <v>0</v>
      </c>
      <c r="AI28" s="28"/>
      <c r="AJ28" s="28"/>
      <c r="AK28" s="99"/>
    </row>
    <row r="29" spans="1:37"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X29" s="36"/>
      <c r="Y29" s="36"/>
      <c r="Z29" s="36"/>
      <c r="AA29" s="36"/>
      <c r="AB29" s="36"/>
      <c r="AC29" s="36"/>
      <c r="AD29" s="36"/>
      <c r="AE29" s="36"/>
      <c r="AF29" s="36"/>
      <c r="AG29" s="37"/>
      <c r="AH29" s="59"/>
      <c r="AI29" s="59"/>
      <c r="AJ29" s="59"/>
      <c r="AK29" s="59"/>
    </row>
    <row r="31" spans="1:37">
      <c r="A31" s="31" t="s">
        <v>30</v>
      </c>
      <c r="B31" s="48"/>
    </row>
    <row r="32" spans="1:37">
      <c r="A32" s="34" t="s">
        <v>31</v>
      </c>
      <c r="B32" s="82" t="s">
        <v>27</v>
      </c>
    </row>
    <row r="33" spans="1:2">
      <c r="A33" s="34" t="s">
        <v>14</v>
      </c>
      <c r="B33" s="80" t="s">
        <v>27</v>
      </c>
    </row>
    <row r="34" spans="1:2">
      <c r="A34" s="33" t="s">
        <v>15</v>
      </c>
      <c r="B34" s="29"/>
    </row>
    <row r="35" spans="1:2">
      <c r="A35" s="33" t="s">
        <v>20</v>
      </c>
      <c r="B35" s="32"/>
    </row>
    <row r="36" spans="1:2">
      <c r="A36" s="1" t="s">
        <v>34</v>
      </c>
      <c r="B36" s="79"/>
    </row>
  </sheetData>
  <phoneticPr fontId="4" type="noConversion"/>
  <conditionalFormatting sqref="AL2:AL7 BK3:BK6 D10:AK28">
    <cfRule type="cellIs" dxfId="6" priority="110" operator="greaterThan">
      <formula>0</formula>
    </cfRule>
  </conditionalFormatting>
  <conditionalFormatting sqref="AM2:BE2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M3:BE6">
    <cfRule type="colorScale" priority="159">
      <colorScale>
        <cfvo type="min"/>
        <cfvo type="max"/>
        <color rgb="FFFCFCFF"/>
        <color rgb="FF63BE7B"/>
      </colorScale>
    </cfRule>
  </conditionalFormatting>
  <conditionalFormatting sqref="BG3:BI6">
    <cfRule type="colorScale" priority="11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9A12-F9D9-43E3-B500-164D0C8D99D1}">
  <sheetPr>
    <tabColor rgb="FF7030A0"/>
  </sheetPr>
  <dimension ref="A1:FC20"/>
  <sheetViews>
    <sheetView zoomScale="110" zoomScaleNormal="110" workbookViewId="0">
      <pane xSplit="1" topLeftCell="R1" activePane="topRight" state="frozen"/>
      <selection pane="topRight" activeCell="X13" sqref="X13"/>
    </sheetView>
  </sheetViews>
  <sheetFormatPr defaultColWidth="4.28515625" defaultRowHeight="15"/>
  <cols>
    <col min="1" max="1" width="23.140625" style="25" customWidth="1"/>
    <col min="2" max="2" width="6.5703125" style="25" bestFit="1" customWidth="1"/>
    <col min="3" max="3" width="9.85546875" style="25" bestFit="1" customWidth="1"/>
    <col min="4" max="4" width="13.85546875" style="25" customWidth="1"/>
    <col min="5" max="8" width="13.85546875" style="25" bestFit="1" customWidth="1"/>
    <col min="9" max="9" width="8.85546875" style="25" bestFit="1" customWidth="1"/>
    <col min="10" max="10" width="11.42578125" style="25" bestFit="1" customWidth="1"/>
    <col min="11" max="11" width="13.42578125" style="25" bestFit="1" customWidth="1"/>
    <col min="12" max="15" width="13.85546875" style="25" bestFit="1" customWidth="1"/>
    <col min="16" max="16" width="11.42578125" style="25" bestFit="1" customWidth="1"/>
    <col min="17" max="20" width="13.85546875" style="25" bestFit="1" customWidth="1"/>
    <col min="21" max="21" width="11.42578125" style="25" bestFit="1" customWidth="1"/>
    <col min="22" max="22" width="11.140625" style="25" bestFit="1" customWidth="1"/>
    <col min="23" max="23" width="13.85546875" style="25" bestFit="1" customWidth="1"/>
    <col min="24" max="24" width="11.42578125" style="25" bestFit="1" customWidth="1"/>
    <col min="25" max="25" width="13.85546875" style="25" bestFit="1" customWidth="1"/>
    <col min="26" max="26" width="8.85546875" style="25" bestFit="1" customWidth="1"/>
    <col min="27" max="27" width="11.42578125" style="25" bestFit="1" customWidth="1"/>
    <col min="28" max="29" width="13.5703125" style="25" bestFit="1" customWidth="1"/>
    <col min="30" max="31" width="11.42578125" style="25" bestFit="1" customWidth="1"/>
    <col min="32" max="32" width="13.85546875" style="25" bestFit="1" customWidth="1"/>
    <col min="33" max="33" width="11.42578125" style="25" bestFit="1" customWidth="1"/>
    <col min="34" max="34" width="13.85546875" style="25" customWidth="1"/>
    <col min="35" max="35" width="9.140625" style="25" bestFit="1" customWidth="1"/>
    <col min="36" max="36" width="10.42578125" style="25" customWidth="1"/>
    <col min="37" max="37" width="8.7109375" style="25" bestFit="1" customWidth="1"/>
    <col min="38" max="40" width="4.7109375" style="25" customWidth="1"/>
    <col min="41" max="42" width="4.7109375" style="25" bestFit="1" customWidth="1"/>
    <col min="43" max="56" width="5.7109375" style="25" bestFit="1" customWidth="1"/>
    <col min="57" max="58" width="4.7109375" style="25" bestFit="1" customWidth="1"/>
    <col min="59" max="59" width="4.28515625" style="25"/>
    <col min="60" max="60" width="4.42578125" style="25" bestFit="1" customWidth="1"/>
    <col min="61" max="61" width="4.5703125" style="25" bestFit="1" customWidth="1"/>
    <col min="62" max="62" width="7.28515625" style="25" bestFit="1" customWidth="1"/>
    <col min="63" max="63" width="17.42578125" style="25" customWidth="1"/>
    <col min="64" max="64" width="13.85546875" style="25" bestFit="1" customWidth="1"/>
    <col min="65" max="16384" width="4.28515625" style="25"/>
  </cols>
  <sheetData>
    <row r="1" spans="1:159" s="1" customFormat="1">
      <c r="A1" s="83" t="s">
        <v>27</v>
      </c>
      <c r="B1" s="83" t="s">
        <v>27</v>
      </c>
      <c r="C1" s="83" t="s">
        <v>27</v>
      </c>
      <c r="D1" s="86" t="s">
        <v>0</v>
      </c>
      <c r="E1" s="86" t="s">
        <v>1</v>
      </c>
      <c r="F1" s="86" t="s">
        <v>2</v>
      </c>
      <c r="G1" s="86" t="s">
        <v>3</v>
      </c>
      <c r="H1" s="86" t="s">
        <v>4</v>
      </c>
      <c r="I1" s="86" t="s">
        <v>5</v>
      </c>
      <c r="J1" s="86" t="s">
        <v>6</v>
      </c>
      <c r="K1" s="86" t="s">
        <v>0</v>
      </c>
      <c r="L1" s="86" t="s">
        <v>1</v>
      </c>
      <c r="M1" s="86" t="s">
        <v>2</v>
      </c>
      <c r="N1" s="86" t="s">
        <v>3</v>
      </c>
      <c r="O1" s="86" t="s">
        <v>4</v>
      </c>
      <c r="P1" s="86" t="s">
        <v>5</v>
      </c>
      <c r="Q1" s="86" t="s">
        <v>6</v>
      </c>
      <c r="R1" s="86" t="s">
        <v>0</v>
      </c>
      <c r="S1" s="86" t="s">
        <v>1</v>
      </c>
      <c r="T1" s="86" t="s">
        <v>2</v>
      </c>
      <c r="U1" s="86" t="s">
        <v>3</v>
      </c>
      <c r="V1" s="86" t="s">
        <v>4</v>
      </c>
      <c r="W1" s="86" t="s">
        <v>5</v>
      </c>
      <c r="X1" s="86" t="s">
        <v>6</v>
      </c>
      <c r="Y1" s="86" t="s">
        <v>0</v>
      </c>
      <c r="Z1" s="86" t="s">
        <v>1</v>
      </c>
      <c r="AA1" s="86" t="s">
        <v>2</v>
      </c>
      <c r="AB1" s="86" t="s">
        <v>3</v>
      </c>
      <c r="AC1" s="86" t="s">
        <v>4</v>
      </c>
      <c r="AD1" s="86" t="s">
        <v>5</v>
      </c>
      <c r="AE1" s="86" t="s">
        <v>6</v>
      </c>
      <c r="AF1" s="86" t="s">
        <v>0</v>
      </c>
      <c r="AG1" s="86" t="s">
        <v>1</v>
      </c>
      <c r="AH1" s="86" t="s">
        <v>2</v>
      </c>
      <c r="AI1" s="109"/>
      <c r="AJ1" s="109"/>
      <c r="AK1" s="94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</row>
    <row r="2" spans="1:159" s="24" customFormat="1">
      <c r="A2" s="83" t="s">
        <v>35</v>
      </c>
      <c r="B2" s="83" t="s">
        <v>8</v>
      </c>
      <c r="C2" s="83" t="s">
        <v>9</v>
      </c>
      <c r="D2" s="87">
        <v>46265</v>
      </c>
      <c r="E2" s="87">
        <v>46266</v>
      </c>
      <c r="F2" s="87">
        <v>46267</v>
      </c>
      <c r="G2" s="87">
        <v>46268</v>
      </c>
      <c r="H2" s="87">
        <v>46269</v>
      </c>
      <c r="I2" s="87">
        <v>46270</v>
      </c>
      <c r="J2" s="87">
        <v>46271</v>
      </c>
      <c r="K2" s="87">
        <v>46272</v>
      </c>
      <c r="L2" s="87">
        <v>46273</v>
      </c>
      <c r="M2" s="87">
        <v>46274</v>
      </c>
      <c r="N2" s="87">
        <v>46275</v>
      </c>
      <c r="O2" s="87">
        <v>46276</v>
      </c>
      <c r="P2" s="87">
        <v>46277</v>
      </c>
      <c r="Q2" s="87">
        <v>46278</v>
      </c>
      <c r="R2" s="87">
        <v>46279</v>
      </c>
      <c r="S2" s="87">
        <v>46280</v>
      </c>
      <c r="T2" s="87">
        <v>46281</v>
      </c>
      <c r="U2" s="87">
        <v>46282</v>
      </c>
      <c r="V2" s="87">
        <v>46283</v>
      </c>
      <c r="W2" s="87">
        <v>46284</v>
      </c>
      <c r="X2" s="87">
        <v>46285</v>
      </c>
      <c r="Y2" s="87">
        <v>46286</v>
      </c>
      <c r="Z2" s="87">
        <v>46287</v>
      </c>
      <c r="AA2" s="87">
        <v>46288</v>
      </c>
      <c r="AB2" s="87">
        <v>46289</v>
      </c>
      <c r="AC2" s="87">
        <v>46290</v>
      </c>
      <c r="AD2" s="87">
        <v>46291</v>
      </c>
      <c r="AE2" s="87">
        <v>46292</v>
      </c>
      <c r="AF2" s="87">
        <v>46293</v>
      </c>
      <c r="AG2" s="87">
        <v>46294</v>
      </c>
      <c r="AH2" s="87">
        <v>46295</v>
      </c>
      <c r="AI2" s="106"/>
      <c r="AJ2" s="106"/>
      <c r="AK2" s="95"/>
      <c r="AL2" s="25"/>
      <c r="AM2" s="25"/>
      <c r="AN2" s="25"/>
      <c r="AO2" s="2">
        <v>0.29166666666666669</v>
      </c>
      <c r="AP2" s="2">
        <v>0.33333333333333298</v>
      </c>
      <c r="AQ2" s="2">
        <v>0.375</v>
      </c>
      <c r="AR2" s="2">
        <v>0.41666666666666702</v>
      </c>
      <c r="AS2" s="2">
        <v>0.45833333333333331</v>
      </c>
      <c r="AT2" s="2">
        <v>0.499999999999998</v>
      </c>
      <c r="AU2" s="2">
        <v>0.54166666666666496</v>
      </c>
      <c r="AV2" s="2">
        <v>0.58333333333333337</v>
      </c>
      <c r="AW2" s="2">
        <v>0.624999999999997</v>
      </c>
      <c r="AX2" s="2">
        <v>0.66666666666666663</v>
      </c>
      <c r="AY2" s="2">
        <v>0.70833333333333004</v>
      </c>
      <c r="AZ2" s="2">
        <v>0.75</v>
      </c>
      <c r="BA2" s="2">
        <v>0.79166666666666297</v>
      </c>
      <c r="BB2" s="2">
        <v>0.83333333333332904</v>
      </c>
      <c r="BC2" s="2">
        <v>0.874999999999995</v>
      </c>
      <c r="BD2" s="2">
        <v>0.91666666666666097</v>
      </c>
      <c r="BE2" s="2">
        <v>0.95833333333333337</v>
      </c>
      <c r="BF2" s="2">
        <v>0.999999999999998</v>
      </c>
      <c r="BG2" s="25"/>
      <c r="BH2" s="25"/>
      <c r="BI2" s="26" t="s">
        <v>12</v>
      </c>
      <c r="BJ2" s="26" t="s">
        <v>13</v>
      </c>
      <c r="BK2" s="26" t="s">
        <v>14</v>
      </c>
      <c r="BL2" s="26" t="s">
        <v>16</v>
      </c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</row>
    <row r="3" spans="1:159" s="24" customFormat="1">
      <c r="A3" s="54" t="s">
        <v>41</v>
      </c>
      <c r="B3" s="54" t="s">
        <v>42</v>
      </c>
      <c r="C3" s="101">
        <v>30001801</v>
      </c>
      <c r="D3" s="74" t="s">
        <v>14</v>
      </c>
      <c r="E3" s="74" t="s">
        <v>14</v>
      </c>
      <c r="F3" s="74" t="s">
        <v>14</v>
      </c>
      <c r="G3" s="74" t="s">
        <v>14</v>
      </c>
      <c r="H3" s="74" t="s">
        <v>14</v>
      </c>
      <c r="I3" s="90" t="s">
        <v>13</v>
      </c>
      <c r="J3" s="90" t="s">
        <v>13</v>
      </c>
      <c r="K3" s="108">
        <v>0.41666666666666669</v>
      </c>
      <c r="L3" s="88">
        <v>0.41666666666666669</v>
      </c>
      <c r="M3" s="88">
        <v>0.41666666666666669</v>
      </c>
      <c r="N3" s="108">
        <v>0.41666666666666669</v>
      </c>
      <c r="O3" s="108">
        <v>0.41666666666666669</v>
      </c>
      <c r="P3" s="90" t="s">
        <v>13</v>
      </c>
      <c r="Q3" s="90" t="s">
        <v>13</v>
      </c>
      <c r="R3" s="108">
        <v>0.41666666666666669</v>
      </c>
      <c r="S3" s="88">
        <v>0.41666666666666669</v>
      </c>
      <c r="T3" s="88">
        <v>0.41666666666666669</v>
      </c>
      <c r="U3" s="108">
        <v>0.41666666666666669</v>
      </c>
      <c r="V3" s="108">
        <v>0.41666666666666669</v>
      </c>
      <c r="W3" s="90" t="s">
        <v>13</v>
      </c>
      <c r="X3" s="90" t="s">
        <v>13</v>
      </c>
      <c r="Y3" s="108">
        <v>0.41666666666666669</v>
      </c>
      <c r="Z3" s="88">
        <v>0.41666666666666669</v>
      </c>
      <c r="AA3" s="88">
        <v>0.41666666666666669</v>
      </c>
      <c r="AB3" s="108">
        <v>0.41666666666666669</v>
      </c>
      <c r="AC3" s="108">
        <v>0.41666666666666669</v>
      </c>
      <c r="AD3" s="90" t="s">
        <v>13</v>
      </c>
      <c r="AE3" s="90" t="s">
        <v>13</v>
      </c>
      <c r="AF3" s="108">
        <v>0.41666666666666669</v>
      </c>
      <c r="AG3" s="88">
        <v>0.41666666666666669</v>
      </c>
      <c r="AH3" s="88">
        <v>0.41666666666666669</v>
      </c>
      <c r="AI3" s="108"/>
      <c r="AJ3" s="108"/>
      <c r="AK3" s="96"/>
      <c r="AL3" s="25"/>
      <c r="AM3" s="25"/>
      <c r="AN3" s="25"/>
      <c r="AO3" s="1">
        <f t="shared" ref="AO3:AX7" si="0">COUNTIF($D3:$AG3,AO$2)</f>
        <v>0</v>
      </c>
      <c r="AP3" s="1">
        <f t="shared" si="0"/>
        <v>0</v>
      </c>
      <c r="AQ3" s="1">
        <f t="shared" si="0"/>
        <v>0</v>
      </c>
      <c r="AR3" s="1">
        <f t="shared" si="0"/>
        <v>17</v>
      </c>
      <c r="AS3" s="1">
        <f t="shared" si="0"/>
        <v>0</v>
      </c>
      <c r="AT3" s="1">
        <f t="shared" si="0"/>
        <v>0</v>
      </c>
      <c r="AU3" s="1">
        <f t="shared" si="0"/>
        <v>0</v>
      </c>
      <c r="AV3" s="1">
        <f t="shared" si="0"/>
        <v>0</v>
      </c>
      <c r="AW3" s="1">
        <f t="shared" si="0"/>
        <v>0</v>
      </c>
      <c r="AX3" s="1">
        <f t="shared" si="0"/>
        <v>0</v>
      </c>
      <c r="AY3" s="1">
        <f t="shared" ref="AY3:BF7" si="1">COUNTIF($D3:$AG3,AY$2)</f>
        <v>0</v>
      </c>
      <c r="AZ3" s="1">
        <f t="shared" si="1"/>
        <v>0</v>
      </c>
      <c r="BA3" s="1">
        <f t="shared" si="1"/>
        <v>0</v>
      </c>
      <c r="BB3" s="1">
        <f t="shared" si="1"/>
        <v>0</v>
      </c>
      <c r="BC3" s="1">
        <f t="shared" si="1"/>
        <v>0</v>
      </c>
      <c r="BD3" s="1">
        <f t="shared" si="1"/>
        <v>0</v>
      </c>
      <c r="BE3" s="1">
        <f t="shared" si="1"/>
        <v>0</v>
      </c>
      <c r="BF3" s="1">
        <f t="shared" si="1"/>
        <v>0</v>
      </c>
      <c r="BG3" s="25"/>
      <c r="BH3" s="25"/>
      <c r="BI3" s="1">
        <f t="shared" ref="BI3" si="2">SUM(AO3:BG3)</f>
        <v>17</v>
      </c>
      <c r="BJ3" s="1">
        <f>COUNTIF(D3:AG3,$BJ$2)</f>
        <v>8</v>
      </c>
      <c r="BK3" s="1">
        <f>COUNTIF(D3:AG3,$BK$2)</f>
        <v>5</v>
      </c>
      <c r="BL3" s="1">
        <f>COUNTIF(D3:AG3,$BL$2)</f>
        <v>0</v>
      </c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</row>
    <row r="4" spans="1:159" s="27" customFormat="1">
      <c r="A4" s="53" t="s">
        <v>43</v>
      </c>
      <c r="B4" s="53" t="s">
        <v>44</v>
      </c>
      <c r="C4" s="85">
        <v>1847229</v>
      </c>
      <c r="D4" s="88">
        <v>0.375</v>
      </c>
      <c r="E4" s="88">
        <v>0.375</v>
      </c>
      <c r="F4" s="108">
        <v>0.375</v>
      </c>
      <c r="G4" s="108">
        <v>0.375</v>
      </c>
      <c r="H4" s="108">
        <v>0.375</v>
      </c>
      <c r="I4" s="90" t="s">
        <v>13</v>
      </c>
      <c r="J4" s="90" t="s">
        <v>13</v>
      </c>
      <c r="K4" s="88">
        <v>0.375</v>
      </c>
      <c r="L4" s="115" t="s">
        <v>20</v>
      </c>
      <c r="M4" s="115" t="s">
        <v>20</v>
      </c>
      <c r="N4" s="74" t="s">
        <v>16</v>
      </c>
      <c r="O4" s="74" t="s">
        <v>16</v>
      </c>
      <c r="P4" s="90" t="s">
        <v>13</v>
      </c>
      <c r="Q4" s="90" t="s">
        <v>13</v>
      </c>
      <c r="R4" s="88">
        <v>0.375</v>
      </c>
      <c r="S4" s="88">
        <v>0.375</v>
      </c>
      <c r="T4" s="108">
        <v>0.375</v>
      </c>
      <c r="U4" s="108">
        <v>0.375</v>
      </c>
      <c r="V4" s="108">
        <v>0.375</v>
      </c>
      <c r="W4" s="90" t="s">
        <v>13</v>
      </c>
      <c r="X4" s="90" t="s">
        <v>13</v>
      </c>
      <c r="Y4" s="108">
        <v>0.375</v>
      </c>
      <c r="Z4" s="108">
        <v>0.375</v>
      </c>
      <c r="AA4" s="108">
        <v>0.375</v>
      </c>
      <c r="AB4" s="88">
        <v>0.375</v>
      </c>
      <c r="AC4" s="88">
        <v>0.375</v>
      </c>
      <c r="AD4" s="90" t="s">
        <v>13</v>
      </c>
      <c r="AE4" s="90" t="s">
        <v>13</v>
      </c>
      <c r="AF4" s="88">
        <v>0.375</v>
      </c>
      <c r="AG4" s="88">
        <v>0.375</v>
      </c>
      <c r="AH4" s="88">
        <v>0.375</v>
      </c>
      <c r="AI4" s="108"/>
      <c r="AJ4" s="108"/>
      <c r="AK4" s="96"/>
      <c r="AL4" s="25"/>
      <c r="AM4" s="25"/>
      <c r="AN4" s="25"/>
      <c r="AO4" s="1">
        <f t="shared" si="0"/>
        <v>0</v>
      </c>
      <c r="AP4" s="1">
        <f t="shared" si="0"/>
        <v>0</v>
      </c>
      <c r="AQ4" s="1">
        <f t="shared" si="0"/>
        <v>18</v>
      </c>
      <c r="AR4" s="1">
        <f t="shared" si="0"/>
        <v>0</v>
      </c>
      <c r="AS4" s="1">
        <f t="shared" si="0"/>
        <v>0</v>
      </c>
      <c r="AT4" s="1">
        <f t="shared" si="0"/>
        <v>0</v>
      </c>
      <c r="AU4" s="1">
        <f t="shared" si="0"/>
        <v>0</v>
      </c>
      <c r="AV4" s="1">
        <f t="shared" si="0"/>
        <v>0</v>
      </c>
      <c r="AW4" s="1">
        <f t="shared" si="0"/>
        <v>0</v>
      </c>
      <c r="AX4" s="1">
        <f t="shared" si="0"/>
        <v>0</v>
      </c>
      <c r="AY4" s="1">
        <f t="shared" si="1"/>
        <v>0</v>
      </c>
      <c r="AZ4" s="1">
        <f t="shared" si="1"/>
        <v>0</v>
      </c>
      <c r="BA4" s="1">
        <f t="shared" si="1"/>
        <v>0</v>
      </c>
      <c r="BB4" s="1">
        <f t="shared" si="1"/>
        <v>0</v>
      </c>
      <c r="BC4" s="1">
        <f t="shared" si="1"/>
        <v>0</v>
      </c>
      <c r="BD4" s="1">
        <f t="shared" si="1"/>
        <v>0</v>
      </c>
      <c r="BE4" s="1">
        <f t="shared" si="1"/>
        <v>0</v>
      </c>
      <c r="BF4" s="1">
        <f t="shared" si="1"/>
        <v>0</v>
      </c>
      <c r="BG4" s="25"/>
      <c r="BH4" s="25"/>
      <c r="BI4" s="1">
        <f t="shared" ref="BI4" si="3">SUM(AO4:BG4)</f>
        <v>18</v>
      </c>
      <c r="BJ4" s="1">
        <f>COUNTIF(D4:AG4,$BJ$2)</f>
        <v>8</v>
      </c>
      <c r="BK4" s="1">
        <f>COUNTIF(D4:AG4,$BK$2)</f>
        <v>0</v>
      </c>
      <c r="BL4" s="1">
        <f>COUNTIF(D4:AG4,$BL$2)</f>
        <v>2</v>
      </c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</row>
    <row r="5" spans="1:159" s="27" customFormat="1">
      <c r="A5" s="52" t="s">
        <v>45</v>
      </c>
      <c r="B5" s="53" t="s">
        <v>46</v>
      </c>
      <c r="C5" s="102">
        <v>1842172</v>
      </c>
      <c r="D5" s="74" t="s">
        <v>16</v>
      </c>
      <c r="E5" s="108">
        <v>0.375</v>
      </c>
      <c r="F5" s="108">
        <v>0.375</v>
      </c>
      <c r="G5" s="108">
        <v>0.375</v>
      </c>
      <c r="H5" s="88">
        <v>0.375</v>
      </c>
      <c r="I5" s="90" t="s">
        <v>13</v>
      </c>
      <c r="J5" s="90" t="s">
        <v>13</v>
      </c>
      <c r="K5" s="88">
        <v>0.375</v>
      </c>
      <c r="L5" s="88">
        <v>0.375</v>
      </c>
      <c r="M5" s="108">
        <v>0.375</v>
      </c>
      <c r="N5" s="88">
        <v>0.375</v>
      </c>
      <c r="O5" s="108">
        <v>0.375</v>
      </c>
      <c r="P5" s="90" t="s">
        <v>13</v>
      </c>
      <c r="Q5" s="90" t="s">
        <v>13</v>
      </c>
      <c r="R5" s="88">
        <v>0.375</v>
      </c>
      <c r="S5" s="88">
        <v>0.375</v>
      </c>
      <c r="T5" s="108">
        <v>0.375</v>
      </c>
      <c r="U5" s="108">
        <v>0.375</v>
      </c>
      <c r="V5" s="108">
        <v>0.375</v>
      </c>
      <c r="W5" s="90" t="s">
        <v>13</v>
      </c>
      <c r="X5" s="90" t="s">
        <v>13</v>
      </c>
      <c r="Y5" s="108">
        <v>0.375</v>
      </c>
      <c r="Z5" s="108">
        <v>0.375</v>
      </c>
      <c r="AA5" s="108">
        <v>0.375</v>
      </c>
      <c r="AB5" s="88">
        <v>0.375</v>
      </c>
      <c r="AC5" s="88">
        <v>0.375</v>
      </c>
      <c r="AD5" s="90" t="s">
        <v>13</v>
      </c>
      <c r="AE5" s="90" t="s">
        <v>13</v>
      </c>
      <c r="AF5" s="88">
        <v>0.375</v>
      </c>
      <c r="AG5" s="88">
        <v>0.375</v>
      </c>
      <c r="AH5" s="88">
        <v>0.375</v>
      </c>
      <c r="AI5" s="108"/>
      <c r="AJ5" s="108"/>
      <c r="AK5" s="96"/>
      <c r="AL5" s="25"/>
      <c r="AM5" s="25"/>
      <c r="AN5" s="25"/>
      <c r="AO5" s="1">
        <f t="shared" si="0"/>
        <v>0</v>
      </c>
      <c r="AP5" s="1">
        <f t="shared" si="0"/>
        <v>0</v>
      </c>
      <c r="AQ5" s="1">
        <f t="shared" si="0"/>
        <v>21</v>
      </c>
      <c r="AR5" s="1">
        <f t="shared" si="0"/>
        <v>0</v>
      </c>
      <c r="AS5" s="1">
        <f t="shared" si="0"/>
        <v>0</v>
      </c>
      <c r="AT5" s="1">
        <f t="shared" si="0"/>
        <v>0</v>
      </c>
      <c r="AU5" s="1">
        <f t="shared" si="0"/>
        <v>0</v>
      </c>
      <c r="AV5" s="1">
        <f t="shared" si="0"/>
        <v>0</v>
      </c>
      <c r="AW5" s="1">
        <f t="shared" si="0"/>
        <v>0</v>
      </c>
      <c r="AX5" s="1">
        <f t="shared" si="0"/>
        <v>0</v>
      </c>
      <c r="AY5" s="1">
        <f t="shared" si="1"/>
        <v>0</v>
      </c>
      <c r="AZ5" s="1">
        <f t="shared" si="1"/>
        <v>0</v>
      </c>
      <c r="BA5" s="1">
        <f t="shared" si="1"/>
        <v>0</v>
      </c>
      <c r="BB5" s="1">
        <f t="shared" si="1"/>
        <v>0</v>
      </c>
      <c r="BC5" s="1">
        <f t="shared" si="1"/>
        <v>0</v>
      </c>
      <c r="BD5" s="1">
        <f t="shared" si="1"/>
        <v>0</v>
      </c>
      <c r="BE5" s="1">
        <f t="shared" si="1"/>
        <v>0</v>
      </c>
      <c r="BF5" s="1">
        <f t="shared" si="1"/>
        <v>0</v>
      </c>
      <c r="BG5" s="25"/>
      <c r="BH5" s="25"/>
      <c r="BI5" s="1">
        <f t="shared" ref="BI5:BI7" si="4">SUM(AO5:BG5)</f>
        <v>21</v>
      </c>
      <c r="BJ5" s="1">
        <f>COUNTIF(D5:AG5,$BJ$2)</f>
        <v>8</v>
      </c>
      <c r="BK5" s="1">
        <f>COUNTIF(D5:AG5,$BK$2)</f>
        <v>0</v>
      </c>
      <c r="BL5" s="1">
        <f>COUNTIF(D5:AG5,$BL$2)</f>
        <v>1</v>
      </c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</row>
    <row r="6" spans="1:159" s="27" customFormat="1">
      <c r="A6" s="52" t="s">
        <v>47</v>
      </c>
      <c r="B6" s="53" t="s">
        <v>48</v>
      </c>
      <c r="C6" s="102">
        <v>30031810</v>
      </c>
      <c r="D6" s="108">
        <v>0.41666666666666669</v>
      </c>
      <c r="E6" s="108">
        <v>0.41666666666666669</v>
      </c>
      <c r="F6" s="88">
        <v>0.41666666666666669</v>
      </c>
      <c r="G6" s="108">
        <v>0.41666666666666669</v>
      </c>
      <c r="H6" s="88">
        <v>0.41666666666666669</v>
      </c>
      <c r="I6" s="90" t="s">
        <v>13</v>
      </c>
      <c r="J6" s="90" t="s">
        <v>13</v>
      </c>
      <c r="K6" s="108">
        <v>0.41666666666666669</v>
      </c>
      <c r="L6" s="108">
        <v>0.41666666666666669</v>
      </c>
      <c r="M6" s="88">
        <v>0.41666666666666669</v>
      </c>
      <c r="N6" s="108">
        <v>0.41666666666666669</v>
      </c>
      <c r="O6" s="74" t="s">
        <v>16</v>
      </c>
      <c r="P6" s="90" t="s">
        <v>13</v>
      </c>
      <c r="Q6" s="90" t="s">
        <v>13</v>
      </c>
      <c r="R6" s="108">
        <v>0.41666666666666669</v>
      </c>
      <c r="S6" s="108">
        <v>0.41666666666666669</v>
      </c>
      <c r="T6" s="88">
        <v>0.41666666666666669</v>
      </c>
      <c r="U6" s="108">
        <v>0.41666666666666669</v>
      </c>
      <c r="V6" s="88">
        <v>0.41666666666666669</v>
      </c>
      <c r="W6" s="90" t="s">
        <v>13</v>
      </c>
      <c r="X6" s="90" t="s">
        <v>13</v>
      </c>
      <c r="Y6" s="108">
        <v>0.41666666666666669</v>
      </c>
      <c r="Z6" s="108">
        <v>0.41666666666666669</v>
      </c>
      <c r="AA6" s="88">
        <v>0.41666666666666669</v>
      </c>
      <c r="AB6" s="108">
        <v>0.41666666666666669</v>
      </c>
      <c r="AC6" s="88">
        <v>0.41666666666666669</v>
      </c>
      <c r="AD6" s="90" t="s">
        <v>13</v>
      </c>
      <c r="AE6" s="90" t="s">
        <v>13</v>
      </c>
      <c r="AF6" s="108">
        <v>0.41666666666666669</v>
      </c>
      <c r="AG6" s="108">
        <v>0.41666666666666669</v>
      </c>
      <c r="AH6" s="108">
        <v>0.41666666666666669</v>
      </c>
      <c r="AI6" s="108"/>
      <c r="AJ6" s="108"/>
      <c r="AK6" s="96"/>
      <c r="AL6" s="25"/>
      <c r="AM6" s="25"/>
      <c r="AN6" s="25"/>
      <c r="AO6" s="1">
        <f t="shared" si="0"/>
        <v>0</v>
      </c>
      <c r="AP6" s="1">
        <f t="shared" si="0"/>
        <v>0</v>
      </c>
      <c r="AQ6" s="1">
        <f t="shared" si="0"/>
        <v>0</v>
      </c>
      <c r="AR6" s="1">
        <f t="shared" si="0"/>
        <v>21</v>
      </c>
      <c r="AS6" s="1">
        <f t="shared" si="0"/>
        <v>0</v>
      </c>
      <c r="AT6" s="1">
        <f t="shared" si="0"/>
        <v>0</v>
      </c>
      <c r="AU6" s="1">
        <f t="shared" si="0"/>
        <v>0</v>
      </c>
      <c r="AV6" s="1">
        <f t="shared" si="0"/>
        <v>0</v>
      </c>
      <c r="AW6" s="1">
        <f t="shared" si="0"/>
        <v>0</v>
      </c>
      <c r="AX6" s="1">
        <f t="shared" si="0"/>
        <v>0</v>
      </c>
      <c r="AY6" s="1">
        <f t="shared" si="1"/>
        <v>0</v>
      </c>
      <c r="AZ6" s="1">
        <f t="shared" si="1"/>
        <v>0</v>
      </c>
      <c r="BA6" s="1">
        <f t="shared" si="1"/>
        <v>0</v>
      </c>
      <c r="BB6" s="1">
        <f t="shared" si="1"/>
        <v>0</v>
      </c>
      <c r="BC6" s="1">
        <f t="shared" si="1"/>
        <v>0</v>
      </c>
      <c r="BD6" s="1">
        <f t="shared" si="1"/>
        <v>0</v>
      </c>
      <c r="BE6" s="1">
        <f t="shared" si="1"/>
        <v>0</v>
      </c>
      <c r="BF6" s="1">
        <f t="shared" si="1"/>
        <v>0</v>
      </c>
      <c r="BG6" s="25"/>
      <c r="BH6" s="25"/>
      <c r="BI6" s="1">
        <f t="shared" si="4"/>
        <v>21</v>
      </c>
      <c r="BJ6" s="1">
        <f>COUNTIF(D6:AG6,$BJ$2)</f>
        <v>8</v>
      </c>
      <c r="BK6" s="1">
        <f>COUNTIF(D6:AG6,$BK$2)</f>
        <v>0</v>
      </c>
      <c r="BL6" s="1">
        <f>COUNTIF(D6:AG6,$BL$2)</f>
        <v>1</v>
      </c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</row>
    <row r="7" spans="1:159">
      <c r="A7" s="1" t="s">
        <v>49</v>
      </c>
      <c r="B7" s="1" t="s">
        <v>50</v>
      </c>
      <c r="C7" s="103">
        <v>30001994</v>
      </c>
      <c r="D7" s="110">
        <v>0.41666666666666669</v>
      </c>
      <c r="E7" s="110">
        <v>0.41666666666666669</v>
      </c>
      <c r="F7" s="110">
        <v>0.41666666666666669</v>
      </c>
      <c r="G7" s="105">
        <v>0.41666666666666669</v>
      </c>
      <c r="H7" s="105">
        <v>0.41666666666666669</v>
      </c>
      <c r="I7" s="90" t="s">
        <v>13</v>
      </c>
      <c r="J7" s="90" t="s">
        <v>13</v>
      </c>
      <c r="K7" s="110">
        <v>0.41666666666666669</v>
      </c>
      <c r="L7" s="110">
        <v>0.41666666666666669</v>
      </c>
      <c r="M7" s="110">
        <v>0.41666666666666669</v>
      </c>
      <c r="N7" s="105">
        <v>0.41666666666666669</v>
      </c>
      <c r="O7" s="105">
        <v>0.41666666666666669</v>
      </c>
      <c r="P7" s="90" t="s">
        <v>13</v>
      </c>
      <c r="Q7" s="90" t="s">
        <v>13</v>
      </c>
      <c r="R7" s="110">
        <v>0.41666666666666669</v>
      </c>
      <c r="S7" s="110">
        <v>0.41666666666666669</v>
      </c>
      <c r="T7" s="110">
        <v>0.41666666666666669</v>
      </c>
      <c r="U7" s="105">
        <v>0.41666666666666669</v>
      </c>
      <c r="V7" s="105">
        <v>0.41666666666666669</v>
      </c>
      <c r="W7" s="90" t="s">
        <v>13</v>
      </c>
      <c r="X7" s="90" t="s">
        <v>13</v>
      </c>
      <c r="Y7" s="74" t="s">
        <v>14</v>
      </c>
      <c r="Z7" s="74" t="s">
        <v>14</v>
      </c>
      <c r="AA7" s="74" t="s">
        <v>14</v>
      </c>
      <c r="AB7" s="74" t="s">
        <v>14</v>
      </c>
      <c r="AC7" s="74" t="s">
        <v>14</v>
      </c>
      <c r="AD7" s="90" t="s">
        <v>13</v>
      </c>
      <c r="AE7" s="90" t="s">
        <v>13</v>
      </c>
      <c r="AF7" s="110">
        <v>0.41666666666666669</v>
      </c>
      <c r="AG7" s="110">
        <v>0.41666666666666669</v>
      </c>
      <c r="AH7" s="110">
        <v>0.41666666666666669</v>
      </c>
      <c r="AI7" s="110"/>
      <c r="AJ7" s="110"/>
      <c r="AK7" s="96"/>
      <c r="AO7" s="25">
        <f t="shared" si="0"/>
        <v>0</v>
      </c>
      <c r="AP7" s="25">
        <f t="shared" si="0"/>
        <v>0</v>
      </c>
      <c r="AQ7" s="25">
        <f t="shared" si="0"/>
        <v>0</v>
      </c>
      <c r="AR7" s="25">
        <f t="shared" si="0"/>
        <v>17</v>
      </c>
      <c r="AS7" s="25">
        <f t="shared" si="0"/>
        <v>0</v>
      </c>
      <c r="AT7" s="25">
        <f t="shared" si="0"/>
        <v>0</v>
      </c>
      <c r="AU7" s="25">
        <f t="shared" si="0"/>
        <v>0</v>
      </c>
      <c r="AV7" s="25">
        <f t="shared" si="0"/>
        <v>0</v>
      </c>
      <c r="AW7" s="25">
        <f t="shared" si="0"/>
        <v>0</v>
      </c>
      <c r="AX7" s="25">
        <f t="shared" si="0"/>
        <v>0</v>
      </c>
      <c r="AY7" s="25">
        <f t="shared" si="1"/>
        <v>0</v>
      </c>
      <c r="AZ7" s="25">
        <f t="shared" si="1"/>
        <v>0</v>
      </c>
      <c r="BA7" s="25">
        <f t="shared" si="1"/>
        <v>0</v>
      </c>
      <c r="BB7" s="25">
        <f t="shared" si="1"/>
        <v>0</v>
      </c>
      <c r="BC7" s="25">
        <f t="shared" si="1"/>
        <v>0</v>
      </c>
      <c r="BD7" s="25">
        <f t="shared" si="1"/>
        <v>0</v>
      </c>
      <c r="BE7" s="25">
        <f t="shared" si="1"/>
        <v>0</v>
      </c>
      <c r="BF7" s="25">
        <f t="shared" si="1"/>
        <v>0</v>
      </c>
      <c r="BI7" s="25">
        <f t="shared" si="4"/>
        <v>17</v>
      </c>
      <c r="BJ7" s="25">
        <f>COUNTIF(D7:AG7,$BJ$2)</f>
        <v>8</v>
      </c>
      <c r="BK7" s="25">
        <f>COUNTIF(D7:AG7,$BK$2)</f>
        <v>5</v>
      </c>
      <c r="BL7" s="25">
        <f>COUNTIF(D7:AG7,$BL$2)</f>
        <v>0</v>
      </c>
    </row>
    <row r="8" spans="1:159"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91" t="s">
        <v>51</v>
      </c>
      <c r="X8" s="91"/>
      <c r="Y8" s="91"/>
    </row>
    <row r="9" spans="1:159">
      <c r="A9" s="31" t="s">
        <v>30</v>
      </c>
      <c r="B9" s="48"/>
    </row>
    <row r="10" spans="1:159">
      <c r="A10" s="34" t="s">
        <v>31</v>
      </c>
      <c r="B10" s="82" t="s">
        <v>27</v>
      </c>
    </row>
    <row r="11" spans="1:159">
      <c r="A11" s="34" t="s">
        <v>14</v>
      </c>
      <c r="B11" s="80" t="s">
        <v>27</v>
      </c>
    </row>
    <row r="12" spans="1:159">
      <c r="A12" s="33" t="s">
        <v>15</v>
      </c>
      <c r="B12" s="29"/>
    </row>
    <row r="13" spans="1:159">
      <c r="A13" s="33" t="s">
        <v>32</v>
      </c>
      <c r="B13" s="42"/>
    </row>
    <row r="14" spans="1:159">
      <c r="A14" s="33" t="s">
        <v>20</v>
      </c>
      <c r="B14" s="32"/>
    </row>
    <row r="15" spans="1:159">
      <c r="A15" s="1" t="s">
        <v>34</v>
      </c>
      <c r="B15" s="79"/>
    </row>
    <row r="20" spans="7:7">
      <c r="G20" s="59"/>
    </row>
  </sheetData>
  <phoneticPr fontId="4" type="noConversion"/>
  <conditionalFormatting sqref="AO2:BF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O3:BF6">
    <cfRule type="colorScale" priority="160">
      <colorScale>
        <cfvo type="min"/>
        <cfvo type="max"/>
        <color rgb="FFFCFCFF"/>
        <color rgb="FF63BE7B"/>
      </colorScale>
    </cfRule>
  </conditionalFormatting>
  <conditionalFormatting sqref="BL3:BL6">
    <cfRule type="cellIs" dxfId="5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051B-269B-4AFC-B200-E9A1B32812C3}">
  <sheetPr>
    <tabColor theme="3" tint="0.79998168889431442"/>
  </sheetPr>
  <dimension ref="A1:AG30"/>
  <sheetViews>
    <sheetView zoomScale="70" zoomScaleNormal="70" workbookViewId="0">
      <selection activeCell="Z29" sqref="Z29"/>
    </sheetView>
  </sheetViews>
  <sheetFormatPr defaultColWidth="20.140625" defaultRowHeight="15"/>
  <cols>
    <col min="1" max="1" width="20.7109375" customWidth="1"/>
    <col min="2" max="2" width="7.7109375" hidden="1" customWidth="1"/>
    <col min="3" max="7" width="6.7109375" hidden="1" customWidth="1"/>
    <col min="8" max="8" width="12.42578125" hidden="1" customWidth="1"/>
    <col min="9" max="11" width="6.7109375" hidden="1" customWidth="1"/>
    <col min="12" max="21" width="7.85546875" hidden="1" customWidth="1"/>
    <col min="22" max="33" width="7.85546875" bestFit="1" customWidth="1"/>
  </cols>
  <sheetData>
    <row r="1" spans="1:33">
      <c r="A1" s="8" t="s">
        <v>35</v>
      </c>
      <c r="B1" s="8" t="s">
        <v>8</v>
      </c>
      <c r="C1" s="9" t="e">
        <f>'L1'!#REF!</f>
        <v>#REF!</v>
      </c>
      <c r="D1" s="9" t="e">
        <f>'L1'!#REF!</f>
        <v>#REF!</v>
      </c>
      <c r="E1" s="9" t="e">
        <f>'L1'!#REF!</f>
        <v>#REF!</v>
      </c>
      <c r="F1" s="9" t="e">
        <f>'L1'!#REF!</f>
        <v>#REF!</v>
      </c>
      <c r="G1" s="9" t="e">
        <f>'L1'!#REF!</f>
        <v>#REF!</v>
      </c>
      <c r="H1" s="9" t="e">
        <f>'L1'!#REF!</f>
        <v>#REF!</v>
      </c>
      <c r="I1" s="9" t="e">
        <f>'L1'!#REF!</f>
        <v>#REF!</v>
      </c>
      <c r="J1" s="9" t="e">
        <f>'L1'!#REF!</f>
        <v>#REF!</v>
      </c>
      <c r="K1" s="9" t="e">
        <f>'L1'!#REF!</f>
        <v>#REF!</v>
      </c>
      <c r="L1" s="9" t="e">
        <f>'L1'!#REF!</f>
        <v>#REF!</v>
      </c>
      <c r="M1" s="9" t="e">
        <f>'L1'!#REF!</f>
        <v>#REF!</v>
      </c>
      <c r="N1" s="9" t="str">
        <f>'L1'!D1</f>
        <v>Monday</v>
      </c>
      <c r="O1" s="9" t="str">
        <f>'L1'!E1</f>
        <v>Tuesday</v>
      </c>
      <c r="P1" s="9" t="str">
        <f>'L1'!F1</f>
        <v>Wednesday</v>
      </c>
      <c r="Q1" s="9" t="str">
        <f>'L1'!G1</f>
        <v>Thursday</v>
      </c>
      <c r="R1" s="9" t="str">
        <f>'L1'!H1</f>
        <v>Friday</v>
      </c>
      <c r="S1" s="9" t="str">
        <f>'L1'!I1</f>
        <v>Saturday</v>
      </c>
      <c r="T1" s="9" t="str">
        <f>'L1'!J1</f>
        <v>Sunday</v>
      </c>
      <c r="U1" s="9" t="str">
        <f>'L1'!K1</f>
        <v>Monday</v>
      </c>
      <c r="V1" s="9" t="str">
        <f>'L1'!L1</f>
        <v>Tuesday</v>
      </c>
      <c r="W1" s="9" t="str">
        <f>'L1'!M1</f>
        <v>Wednesday</v>
      </c>
      <c r="X1" s="9" t="str">
        <f>'L1'!N1</f>
        <v>Thursday</v>
      </c>
      <c r="Y1" s="9" t="str">
        <f>'L1'!O1</f>
        <v>Friday</v>
      </c>
      <c r="Z1" s="9" t="str">
        <f>'L1'!P1</f>
        <v>Saturday</v>
      </c>
      <c r="AA1" s="9" t="str">
        <f>'L1'!Q1</f>
        <v>Sunday</v>
      </c>
      <c r="AB1" s="9" t="str">
        <f>'L1'!R1</f>
        <v>Monday</v>
      </c>
      <c r="AC1" s="9" t="str">
        <f>'L1'!S1</f>
        <v>Tuesday</v>
      </c>
      <c r="AD1" s="9" t="str">
        <f>'L1'!T1</f>
        <v>Wednesday</v>
      </c>
      <c r="AE1" s="9" t="str">
        <f>'L1'!U1</f>
        <v>Thursday</v>
      </c>
      <c r="AF1" s="9" t="str">
        <f>'L1'!V1</f>
        <v>Friday</v>
      </c>
      <c r="AG1" s="9" t="e">
        <f>'L1'!#REF!</f>
        <v>#REF!</v>
      </c>
    </row>
    <row r="2" spans="1:33">
      <c r="A2" s="7" t="str">
        <f>'L1'!A3</f>
        <v>Amr Abdelwahab</v>
      </c>
      <c r="B2" s="7" t="s">
        <v>18</v>
      </c>
      <c r="C2" s="12" t="e">
        <f>'L1'!#REF!</f>
        <v>#REF!</v>
      </c>
      <c r="D2" s="10" t="e">
        <f>'L1'!#REF!</f>
        <v>#REF!</v>
      </c>
      <c r="E2" s="12" t="e">
        <f>'L1'!#REF!</f>
        <v>#REF!</v>
      </c>
      <c r="F2" s="10" t="e">
        <f>'L1'!#REF!</f>
        <v>#REF!</v>
      </c>
      <c r="G2" s="10" t="e">
        <f>'L1'!#REF!</f>
        <v>#REF!</v>
      </c>
      <c r="H2" s="10" t="e">
        <f>'L1'!#REF!</f>
        <v>#REF!</v>
      </c>
      <c r="I2" s="10" t="e">
        <f>'L1'!#REF!</f>
        <v>#REF!</v>
      </c>
      <c r="J2" s="10" t="e">
        <f>'L1'!#REF!</f>
        <v>#REF!</v>
      </c>
      <c r="K2" s="12" t="e">
        <f>'L1'!#REF!</f>
        <v>#REF!</v>
      </c>
      <c r="L2" s="12" t="e">
        <f>'L1'!#REF!</f>
        <v>#REF!</v>
      </c>
      <c r="M2" s="10" t="e">
        <f>'L1'!#REF!</f>
        <v>#REF!</v>
      </c>
      <c r="N2" s="10" t="e">
        <f>'L1'!#REF!</f>
        <v>#REF!</v>
      </c>
      <c r="O2" s="13" t="str">
        <f>'L1'!K3</f>
        <v>Annual</v>
      </c>
      <c r="P2" s="13" t="e">
        <f>'L1'!#REF!</f>
        <v>#REF!</v>
      </c>
      <c r="Q2" s="14" t="e">
        <f>'L1'!#REF!</f>
        <v>#REF!</v>
      </c>
      <c r="R2" s="11" t="e">
        <f>'L1'!#REF!</f>
        <v>#REF!</v>
      </c>
      <c r="S2" s="11" t="e">
        <f>'L1'!#REF!</f>
        <v>#REF!</v>
      </c>
      <c r="T2" s="10" t="e">
        <f>'L1'!#REF!</f>
        <v>#REF!</v>
      </c>
      <c r="U2" s="10" t="str">
        <f>'L1'!Q3</f>
        <v>OFF</v>
      </c>
      <c r="V2" s="18"/>
      <c r="W2" s="19"/>
      <c r="X2" s="19"/>
      <c r="Y2" s="18"/>
      <c r="Z2" s="19"/>
      <c r="AA2" s="10"/>
      <c r="AB2" s="10"/>
      <c r="AC2" s="10"/>
      <c r="AD2" s="10"/>
      <c r="AE2" s="10"/>
      <c r="AF2" s="10"/>
      <c r="AG2" s="10"/>
    </row>
    <row r="3" spans="1:33">
      <c r="A3" s="7" t="e">
        <f>'L1'!#REF!</f>
        <v>#REF!</v>
      </c>
      <c r="B3" s="7" t="s">
        <v>18</v>
      </c>
      <c r="C3" s="10" t="e">
        <f>'L1'!#REF!</f>
        <v>#REF!</v>
      </c>
      <c r="D3" s="12" t="e">
        <f>'L1'!#REF!</f>
        <v>#REF!</v>
      </c>
      <c r="E3" s="10" t="e">
        <f>'L1'!#REF!</f>
        <v>#REF!</v>
      </c>
      <c r="F3" s="10" t="e">
        <f>'L1'!#REF!</f>
        <v>#REF!</v>
      </c>
      <c r="G3" s="10" t="e">
        <f>'L1'!#REF!</f>
        <v>#REF!</v>
      </c>
      <c r="H3" s="10" t="e">
        <f>'L1'!#REF!</f>
        <v>#REF!</v>
      </c>
      <c r="I3" s="10" t="str">
        <f>'L1'!D4</f>
        <v>Sick</v>
      </c>
      <c r="J3" s="10" t="e">
        <f>'L1'!#REF!</f>
        <v>#REF!</v>
      </c>
      <c r="K3" s="12" t="e">
        <f>'L1'!#REF!</f>
        <v>#REF!</v>
      </c>
      <c r="L3" s="12" t="e">
        <f>'L1'!#REF!</f>
        <v>#REF!</v>
      </c>
      <c r="M3" s="10" t="e">
        <f>'L1'!#REF!</f>
        <v>#REF!</v>
      </c>
      <c r="N3" s="10" t="e">
        <f>'L1'!#REF!</f>
        <v>#REF!</v>
      </c>
      <c r="O3" s="11">
        <f>'L1'!K4</f>
        <v>0.375</v>
      </c>
      <c r="P3" s="13" t="e">
        <f>'L1'!#REF!</f>
        <v>#REF!</v>
      </c>
      <c r="Q3" s="13" t="e">
        <f>'L1'!#REF!</f>
        <v>#REF!</v>
      </c>
      <c r="R3" s="13" t="e">
        <f>'L1'!#REF!</f>
        <v>#REF!</v>
      </c>
      <c r="S3" s="11" t="e">
        <f>'L1'!#REF!</f>
        <v>#REF!</v>
      </c>
      <c r="T3" s="10" t="e">
        <f>'L1'!#REF!</f>
        <v>#REF!</v>
      </c>
      <c r="U3" s="10" t="e">
        <f>'L1'!#REF!</f>
        <v>#REF!</v>
      </c>
      <c r="V3" s="18"/>
      <c r="W3" s="19"/>
      <c r="X3" s="19"/>
      <c r="Y3" s="19"/>
      <c r="Z3" s="18"/>
      <c r="AA3" s="10"/>
      <c r="AB3" s="10"/>
      <c r="AC3" s="10"/>
      <c r="AD3" s="10"/>
      <c r="AE3" s="10"/>
      <c r="AF3" s="10"/>
      <c r="AG3" s="10"/>
    </row>
    <row r="4" spans="1:33">
      <c r="A4" s="7" t="e">
        <f>'L1'!#REF!</f>
        <v>#REF!</v>
      </c>
      <c r="B4" s="7" t="s">
        <v>18</v>
      </c>
      <c r="C4" s="10" t="e">
        <f>'L1'!#REF!</f>
        <v>#REF!</v>
      </c>
      <c r="D4" s="10" t="e">
        <f>'L1'!#REF!</f>
        <v>#REF!</v>
      </c>
      <c r="E4" s="12" t="e">
        <f>'L1'!#REF!</f>
        <v>#REF!</v>
      </c>
      <c r="F4" s="10" t="e">
        <f>'L1'!#REF!</f>
        <v>#REF!</v>
      </c>
      <c r="G4" s="10" t="e">
        <f>'L1'!#REF!</f>
        <v>#REF!</v>
      </c>
      <c r="H4" s="12" t="e">
        <f>'L1'!#REF!</f>
        <v>#REF!</v>
      </c>
      <c r="I4" s="10">
        <f>'L1'!D3</f>
        <v>0.45833333333333331</v>
      </c>
      <c r="J4" s="10" t="e">
        <f>'L1'!#REF!</f>
        <v>#REF!</v>
      </c>
      <c r="K4" s="10" t="e">
        <f>'L1'!#REF!</f>
        <v>#REF!</v>
      </c>
      <c r="L4" s="12" t="e">
        <f>'L1'!#REF!</f>
        <v>#REF!</v>
      </c>
      <c r="M4" s="10" t="e">
        <f>'L1'!#REF!</f>
        <v>#REF!</v>
      </c>
      <c r="N4" s="10" t="e">
        <f>'L1'!#REF!</f>
        <v>#REF!</v>
      </c>
      <c r="O4" s="11" t="e">
        <f>'L1'!#REF!</f>
        <v>#REF!</v>
      </c>
      <c r="P4" s="13" t="e">
        <f>'L1'!#REF!</f>
        <v>#REF!</v>
      </c>
      <c r="Q4" s="13" t="e">
        <f>'L1'!#REF!</f>
        <v>#REF!</v>
      </c>
      <c r="R4" s="13" t="e">
        <f>'L1'!#REF!</f>
        <v>#REF!</v>
      </c>
      <c r="S4" s="11" t="e">
        <f>'L1'!#REF!</f>
        <v>#REF!</v>
      </c>
      <c r="T4" s="10" t="e">
        <f>'L1'!#REF!</f>
        <v>#REF!</v>
      </c>
      <c r="U4" s="10" t="e">
        <f>'L1'!#REF!</f>
        <v>#REF!</v>
      </c>
      <c r="V4" s="18"/>
      <c r="W4" s="18"/>
      <c r="X4" s="19"/>
      <c r="Y4" s="19"/>
      <c r="Z4" s="19"/>
      <c r="AA4" s="10"/>
      <c r="AB4" s="10"/>
      <c r="AC4" s="10"/>
      <c r="AD4" s="10"/>
      <c r="AE4" s="10"/>
      <c r="AF4" s="10"/>
      <c r="AG4" s="10"/>
    </row>
    <row r="5" spans="1:33">
      <c r="A5" s="7" t="e">
        <f>'L1'!#REF!</f>
        <v>#REF!</v>
      </c>
      <c r="B5" s="7" t="s">
        <v>18</v>
      </c>
      <c r="C5" s="10" t="e">
        <f>'L1'!#REF!</f>
        <v>#REF!</v>
      </c>
      <c r="D5" s="12" t="e">
        <f>'L1'!#REF!</f>
        <v>#REF!</v>
      </c>
      <c r="E5" s="10" t="e">
        <f>'L1'!#REF!</f>
        <v>#REF!</v>
      </c>
      <c r="F5" s="10" t="e">
        <f>'L1'!#REF!</f>
        <v>#REF!</v>
      </c>
      <c r="G5" s="10" t="e">
        <f>'L1'!#REF!</f>
        <v>#REF!</v>
      </c>
      <c r="H5" s="10" t="e">
        <f>'L1'!#REF!</f>
        <v>#REF!</v>
      </c>
      <c r="I5" s="10">
        <f>'L1'!D5</f>
        <v>0.58333333333333337</v>
      </c>
      <c r="J5" s="10" t="e">
        <f>'L1'!#REF!</f>
        <v>#REF!</v>
      </c>
      <c r="K5" s="12" t="e">
        <f>'L1'!#REF!</f>
        <v>#REF!</v>
      </c>
      <c r="L5" s="12" t="e">
        <f>'L1'!#REF!</f>
        <v>#REF!</v>
      </c>
      <c r="M5" s="10" t="e">
        <f>'L1'!#REF!</f>
        <v>#REF!</v>
      </c>
      <c r="N5" s="10" t="e">
        <f>'L1'!#REF!</f>
        <v>#REF!</v>
      </c>
      <c r="O5" s="15">
        <f>'L1'!K5</f>
        <v>0.29166666666666669</v>
      </c>
      <c r="P5" s="16" t="e">
        <f>'L1'!#REF!</f>
        <v>#REF!</v>
      </c>
      <c r="Q5" s="15" t="e">
        <f>'L1'!#REF!</f>
        <v>#REF!</v>
      </c>
      <c r="R5" s="15" t="e">
        <f>'L1'!#REF!</f>
        <v>#REF!</v>
      </c>
      <c r="S5" s="16" t="e">
        <f>'L1'!#REF!</f>
        <v>#REF!</v>
      </c>
      <c r="T5" s="10" t="e">
        <f>'L1'!#REF!</f>
        <v>#REF!</v>
      </c>
      <c r="U5" s="10" t="str">
        <f>'L1'!Q5</f>
        <v>OFF</v>
      </c>
      <c r="V5" s="18"/>
      <c r="W5" s="19"/>
      <c r="X5" s="19"/>
      <c r="Y5" s="19"/>
      <c r="Z5" s="18"/>
      <c r="AA5" s="10"/>
      <c r="AB5" s="10"/>
      <c r="AC5" s="10"/>
      <c r="AD5" s="10"/>
      <c r="AE5" s="10"/>
      <c r="AF5" s="10"/>
      <c r="AG5" s="10"/>
    </row>
    <row r="6" spans="1:33">
      <c r="A6" s="7" t="e">
        <f>'L1'!#REF!</f>
        <v>#REF!</v>
      </c>
      <c r="B6" s="7" t="s">
        <v>18</v>
      </c>
      <c r="C6" s="10" t="e">
        <f>'L1'!#REF!</f>
        <v>#REF!</v>
      </c>
      <c r="D6" s="12" t="e">
        <f>'L1'!#REF!</f>
        <v>#REF!</v>
      </c>
      <c r="E6" s="12" t="e">
        <f>'L1'!#REF!</f>
        <v>#REF!</v>
      </c>
      <c r="F6" s="10" t="e">
        <f>'L1'!#REF!</f>
        <v>#REF!</v>
      </c>
      <c r="G6" s="10" t="e">
        <f>'L1'!#REF!</f>
        <v>#REF!</v>
      </c>
      <c r="H6" s="12" t="e">
        <f>'L1'!#REF!</f>
        <v>#REF!</v>
      </c>
      <c r="I6" s="10" t="e">
        <f>'L1'!#REF!</f>
        <v>#REF!</v>
      </c>
      <c r="J6" s="10" t="e">
        <f>'L1'!#REF!</f>
        <v>#REF!</v>
      </c>
      <c r="K6" s="12" t="e">
        <f>'L1'!#REF!</f>
        <v>#REF!</v>
      </c>
      <c r="L6" s="10" t="e">
        <f>'L1'!#REF!</f>
        <v>#REF!</v>
      </c>
      <c r="M6" s="10" t="e">
        <f>'L1'!#REF!</f>
        <v>#REF!</v>
      </c>
      <c r="N6" s="10" t="e">
        <f>'L1'!#REF!</f>
        <v>#REF!</v>
      </c>
      <c r="O6" s="11" t="e">
        <f>'L1'!#REF!</f>
        <v>#REF!</v>
      </c>
      <c r="P6" s="13" t="e">
        <f>'L1'!#REF!</f>
        <v>#REF!</v>
      </c>
      <c r="Q6" s="13" t="e">
        <f>'L1'!#REF!</f>
        <v>#REF!</v>
      </c>
      <c r="R6" s="13" t="e">
        <f>'L1'!#REF!</f>
        <v>#REF!</v>
      </c>
      <c r="S6" s="11" t="e">
        <f>'L1'!#REF!</f>
        <v>#REF!</v>
      </c>
      <c r="T6" s="10" t="e">
        <f>'L1'!#REF!</f>
        <v>#REF!</v>
      </c>
      <c r="U6" s="10" t="e">
        <f>'L1'!#REF!</f>
        <v>#REF!</v>
      </c>
      <c r="V6" s="19"/>
      <c r="W6" s="19"/>
      <c r="X6" s="18"/>
      <c r="Y6" s="19"/>
      <c r="Z6" s="18"/>
      <c r="AA6" s="10"/>
      <c r="AB6" s="10"/>
      <c r="AC6" s="10"/>
      <c r="AD6" s="10"/>
      <c r="AE6" s="10"/>
      <c r="AF6" s="10"/>
      <c r="AG6" s="10"/>
    </row>
    <row r="7" spans="1:33">
      <c r="A7" s="7" t="e">
        <f>'L1'!#REF!</f>
        <v>#REF!</v>
      </c>
      <c r="B7" s="7" t="s">
        <v>18</v>
      </c>
      <c r="C7" s="12" t="e">
        <f>'L1'!#REF!</f>
        <v>#REF!</v>
      </c>
      <c r="D7" s="10" t="e">
        <f>'L1'!#REF!</f>
        <v>#REF!</v>
      </c>
      <c r="E7" s="10" t="e">
        <f>'L1'!#REF!</f>
        <v>#REF!</v>
      </c>
      <c r="F7" s="10" t="e">
        <f>'L1'!#REF!</f>
        <v>#REF!</v>
      </c>
      <c r="G7" s="10" t="e">
        <f>'L1'!#REF!</f>
        <v>#REF!</v>
      </c>
      <c r="H7" s="10" t="e">
        <f>'L1'!#REF!</f>
        <v>#REF!</v>
      </c>
      <c r="I7" s="12" t="e">
        <f>'L1'!#REF!</f>
        <v>#REF!</v>
      </c>
      <c r="J7" s="10" t="e">
        <f>'L1'!#REF!</f>
        <v>#REF!</v>
      </c>
      <c r="K7" s="12" t="e">
        <f>'L1'!#REF!</f>
        <v>#REF!</v>
      </c>
      <c r="L7" s="10" t="e">
        <f>'L1'!#REF!</f>
        <v>#REF!</v>
      </c>
      <c r="M7" s="10" t="e">
        <f>'L1'!#REF!</f>
        <v>#REF!</v>
      </c>
      <c r="N7" s="10" t="e">
        <f>'L1'!#REF!</f>
        <v>#REF!</v>
      </c>
      <c r="O7" s="13" t="e">
        <f>'L1'!#REF!</f>
        <v>#REF!</v>
      </c>
      <c r="P7" s="13" t="e">
        <f>'L1'!#REF!</f>
        <v>#REF!</v>
      </c>
      <c r="Q7" s="13" t="e">
        <f>'L1'!#REF!</f>
        <v>#REF!</v>
      </c>
      <c r="R7" s="11" t="e">
        <f>'L1'!#REF!</f>
        <v>#REF!</v>
      </c>
      <c r="S7" s="11" t="e">
        <f>'L1'!#REF!</f>
        <v>#REF!</v>
      </c>
      <c r="T7" s="10" t="e">
        <f>'L1'!#REF!</f>
        <v>#REF!</v>
      </c>
      <c r="U7" s="10" t="e">
        <f>'L1'!#REF!</f>
        <v>#REF!</v>
      </c>
      <c r="V7" s="19"/>
      <c r="W7" s="19"/>
      <c r="X7" s="19"/>
      <c r="Y7" s="18"/>
      <c r="Z7" s="18"/>
      <c r="AA7" s="10"/>
      <c r="AB7" s="10"/>
      <c r="AC7" s="10"/>
      <c r="AD7" s="10"/>
      <c r="AE7" s="10"/>
      <c r="AF7" s="10"/>
      <c r="AG7" s="10"/>
    </row>
    <row r="8" spans="1:33">
      <c r="A8" s="7" t="e">
        <f>'L1'!#REF!</f>
        <v>#REF!</v>
      </c>
      <c r="B8" s="7" t="s">
        <v>18</v>
      </c>
      <c r="C8" s="12" t="e">
        <f>'L1'!#REF!</f>
        <v>#REF!</v>
      </c>
      <c r="D8" s="10" t="e">
        <f>'L1'!#REF!</f>
        <v>#REF!</v>
      </c>
      <c r="E8" s="12" t="e">
        <f>'L1'!#REF!</f>
        <v>#REF!</v>
      </c>
      <c r="F8" s="10" t="e">
        <f>'L1'!#REF!</f>
        <v>#REF!</v>
      </c>
      <c r="G8" s="10" t="e">
        <f>'L1'!#REF!</f>
        <v>#REF!</v>
      </c>
      <c r="H8" s="10" t="e">
        <f>'L1'!#REF!</f>
        <v>#REF!</v>
      </c>
      <c r="I8" s="10" t="e">
        <f>'L1'!#REF!</f>
        <v>#REF!</v>
      </c>
      <c r="J8" s="12" t="e">
        <f>'L1'!#REF!</f>
        <v>#REF!</v>
      </c>
      <c r="K8" s="10" t="e">
        <f>'L1'!#REF!</f>
        <v>#REF!</v>
      </c>
      <c r="L8" s="12" t="e">
        <f>'L1'!#REF!</f>
        <v>#REF!</v>
      </c>
      <c r="M8" s="10" t="e">
        <f>'L1'!#REF!</f>
        <v>#REF!</v>
      </c>
      <c r="N8" s="10" t="e">
        <f>'L1'!#REF!</f>
        <v>#REF!</v>
      </c>
      <c r="O8" s="13" t="e">
        <f>'L1'!#REF!</f>
        <v>#REF!</v>
      </c>
      <c r="P8" s="13" t="e">
        <f>'L1'!#REF!</f>
        <v>#REF!</v>
      </c>
      <c r="Q8" s="11" t="e">
        <f>'L1'!#REF!</f>
        <v>#REF!</v>
      </c>
      <c r="R8" s="11" t="e">
        <f>'L1'!#REF!</f>
        <v>#REF!</v>
      </c>
      <c r="S8" s="13" t="e">
        <f>'L1'!#REF!</f>
        <v>#REF!</v>
      </c>
      <c r="T8" s="10" t="e">
        <f>'L1'!#REF!</f>
        <v>#REF!</v>
      </c>
      <c r="U8" s="10" t="e">
        <f>'L1'!#REF!</f>
        <v>#REF!</v>
      </c>
      <c r="V8" s="19"/>
      <c r="W8" s="19"/>
      <c r="X8" s="18"/>
      <c r="Y8" s="19"/>
      <c r="Z8" s="18"/>
      <c r="AA8" s="10"/>
      <c r="AB8" s="10"/>
      <c r="AC8" s="10"/>
      <c r="AD8" s="10"/>
      <c r="AE8" s="10"/>
      <c r="AF8" s="10"/>
      <c r="AG8" s="10"/>
    </row>
    <row r="9" spans="1:33">
      <c r="A9" s="7" t="e">
        <f>'L1'!#REF!</f>
        <v>#REF!</v>
      </c>
      <c r="B9" s="7" t="s">
        <v>18</v>
      </c>
      <c r="C9" s="12" t="e">
        <f>'L1'!#REF!</f>
        <v>#REF!</v>
      </c>
      <c r="D9" s="10" t="e">
        <f>'L1'!#REF!</f>
        <v>#REF!</v>
      </c>
      <c r="E9" s="12" t="e">
        <f>'L1'!#REF!</f>
        <v>#REF!</v>
      </c>
      <c r="F9" s="10" t="e">
        <f>'L1'!#REF!</f>
        <v>#REF!</v>
      </c>
      <c r="G9" s="10" t="e">
        <f>'L1'!#REF!</f>
        <v>#REF!</v>
      </c>
      <c r="H9" s="10" t="e">
        <f>'L1'!#REF!</f>
        <v>#REF!</v>
      </c>
      <c r="I9" s="10" t="e">
        <f>'L1'!#REF!</f>
        <v>#REF!</v>
      </c>
      <c r="J9" s="12" t="e">
        <f>'L1'!#REF!</f>
        <v>#REF!</v>
      </c>
      <c r="K9" s="10" t="e">
        <f>'L1'!#REF!</f>
        <v>#REF!</v>
      </c>
      <c r="L9" s="12" t="e">
        <f>'L1'!#REF!</f>
        <v>#REF!</v>
      </c>
      <c r="M9" s="10" t="e">
        <f>'L1'!#REF!</f>
        <v>#REF!</v>
      </c>
      <c r="N9" s="10" t="e">
        <f>'L1'!#REF!</f>
        <v>#REF!</v>
      </c>
      <c r="O9" s="13" t="e">
        <f>'L1'!#REF!</f>
        <v>#REF!</v>
      </c>
      <c r="P9" s="11" t="e">
        <f>'L1'!#REF!</f>
        <v>#REF!</v>
      </c>
      <c r="Q9" s="13" t="e">
        <f>'L1'!#REF!</f>
        <v>#REF!</v>
      </c>
      <c r="R9" s="11" t="e">
        <f>'L1'!#REF!</f>
        <v>#REF!</v>
      </c>
      <c r="S9" s="13" t="e">
        <f>'L1'!#REF!</f>
        <v>#REF!</v>
      </c>
      <c r="T9" s="10" t="e">
        <f>'L1'!#REF!</f>
        <v>#REF!</v>
      </c>
      <c r="U9" s="10" t="e">
        <f>'L1'!#REF!</f>
        <v>#REF!</v>
      </c>
      <c r="V9" s="19"/>
      <c r="W9" s="18"/>
      <c r="X9" s="19"/>
      <c r="Y9" s="19"/>
      <c r="Z9" s="18"/>
      <c r="AA9" s="10"/>
      <c r="AB9" s="10"/>
      <c r="AC9" s="10"/>
      <c r="AD9" s="10"/>
      <c r="AE9" s="10"/>
      <c r="AF9" s="10"/>
      <c r="AG9" s="10"/>
    </row>
    <row r="10" spans="1:33">
      <c r="A10" s="7" t="str">
        <f>'L2'!A4</f>
        <v>Mohamed Aly</v>
      </c>
      <c r="B10" s="7" t="s">
        <v>37</v>
      </c>
      <c r="C10" s="10" t="e">
        <f>'L2'!#REF!</f>
        <v>#REF!</v>
      </c>
      <c r="D10" s="12">
        <f>'L2'!E3</f>
        <v>0.33333333333333331</v>
      </c>
      <c r="E10" s="12">
        <f>'L2'!F3</f>
        <v>0.33333333333333331</v>
      </c>
      <c r="F10" s="10" t="e">
        <f>'L2'!#REF!</f>
        <v>#REF!</v>
      </c>
      <c r="G10" s="10" t="e">
        <f>'L2'!#REF!</f>
        <v>#REF!</v>
      </c>
      <c r="H10" s="10" t="e">
        <f>'L2'!#REF!</f>
        <v>#REF!</v>
      </c>
      <c r="I10" s="10" t="e">
        <f>'L2'!#REF!</f>
        <v>#REF!</v>
      </c>
      <c r="J10" s="10">
        <f>'L2'!N6</f>
        <v>0.33333333333333331</v>
      </c>
      <c r="K10" s="12">
        <f>'L2'!L3</f>
        <v>0.41666666666666669</v>
      </c>
      <c r="L10" s="12">
        <f>'L2'!M6</f>
        <v>0.33333333333333331</v>
      </c>
      <c r="M10" s="10" t="e">
        <f>'L2'!#REF!</f>
        <v>#REF!</v>
      </c>
      <c r="N10" s="10" t="e">
        <f>'L2'!#REF!</f>
        <v>#REF!</v>
      </c>
      <c r="O10" s="11" t="e">
        <f>'L2'!#REF!</f>
        <v>#REF!</v>
      </c>
      <c r="P10" s="11" t="e">
        <f>'L2'!#REF!</f>
        <v>#REF!</v>
      </c>
      <c r="Q10" s="11">
        <f>'L2'!R4</f>
        <v>0.41666666666666669</v>
      </c>
      <c r="R10" s="11" t="str">
        <f>'L2'!S4</f>
        <v>Sick</v>
      </c>
      <c r="S10" s="4" t="str">
        <f>'L2'!T4</f>
        <v>Sick</v>
      </c>
      <c r="T10" s="10" t="e">
        <f>'L2'!#REF!</f>
        <v>#REF!</v>
      </c>
      <c r="U10" s="10" t="e">
        <f>'L2'!#REF!</f>
        <v>#REF!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>
      <c r="A11" s="7" t="str">
        <f>'L2'!A5</f>
        <v>Amr Elsherbiny</v>
      </c>
      <c r="B11" s="7" t="s">
        <v>37</v>
      </c>
      <c r="C11" s="10" t="e">
        <f>'L2'!#REF!</f>
        <v>#REF!</v>
      </c>
      <c r="D11" s="10">
        <f>'L2'!E6</f>
        <v>0.41666666666666669</v>
      </c>
      <c r="E11" s="12">
        <f>'L2'!F6</f>
        <v>0.41666666666666669</v>
      </c>
      <c r="F11" s="10" t="e">
        <f>'L2'!#REF!</f>
        <v>#REF!</v>
      </c>
      <c r="G11" s="10" t="e">
        <f>'L2'!#REF!</f>
        <v>#REF!</v>
      </c>
      <c r="H11" s="10" t="e">
        <f>'L2'!#REF!</f>
        <v>#REF!</v>
      </c>
      <c r="I11" s="12">
        <f>'L2'!G6</f>
        <v>0.41666666666666669</v>
      </c>
      <c r="J11" s="10">
        <f>'L2'!N4</f>
        <v>0.33333333333333331</v>
      </c>
      <c r="K11" s="10">
        <f>'L2'!L6</f>
        <v>0.33333333333333331</v>
      </c>
      <c r="L11" s="12">
        <f>'L2'!M4</f>
        <v>0.33333333333333331</v>
      </c>
      <c r="M11" s="10" t="e">
        <f>'L2'!#REF!</f>
        <v>#REF!</v>
      </c>
      <c r="N11" s="10" t="e">
        <f>'L2'!#REF!</f>
        <v>#REF!</v>
      </c>
      <c r="O11" s="13" t="e">
        <f>'L2'!#REF!</f>
        <v>#REF!</v>
      </c>
      <c r="P11" s="13" t="e">
        <f>'L2'!#REF!</f>
        <v>#REF!</v>
      </c>
      <c r="Q11" s="11" t="e">
        <f>'L2'!#REF!</f>
        <v>#REF!</v>
      </c>
      <c r="R11" s="13" t="e">
        <f>'L2'!#REF!</f>
        <v>#REF!</v>
      </c>
      <c r="S11" s="11">
        <f>'L2'!T5</f>
        <v>0.58333333333333337</v>
      </c>
      <c r="T11" s="10" t="e">
        <f>'L2'!#REF!</f>
        <v>#REF!</v>
      </c>
      <c r="U11" s="10" t="e">
        <f>'L2'!#REF!</f>
        <v>#REF!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>
      <c r="A12" s="7" t="e">
        <f>BO!#REF!</f>
        <v>#REF!</v>
      </c>
      <c r="B12" s="7" t="s">
        <v>37</v>
      </c>
      <c r="C12" s="10" t="e">
        <f>'L2'!#REF!</f>
        <v>#REF!</v>
      </c>
      <c r="D12" s="10" t="e">
        <f>'L2'!#REF!</f>
        <v>#REF!</v>
      </c>
      <c r="E12" s="10" t="e">
        <f>'L2'!#REF!</f>
        <v>#REF!</v>
      </c>
      <c r="F12" s="10" t="e">
        <f>'L2'!#REF!</f>
        <v>#REF!</v>
      </c>
      <c r="G12" s="10" t="e">
        <f>'L2'!#REF!</f>
        <v>#REF!</v>
      </c>
      <c r="H12" s="12" t="e">
        <f>'L2'!#REF!</f>
        <v>#REF!</v>
      </c>
      <c r="I12" s="10" t="e">
        <f>'L2'!#REF!</f>
        <v>#REF!</v>
      </c>
      <c r="J12" s="10" t="e">
        <f>BO!#REF!</f>
        <v>#REF!</v>
      </c>
      <c r="K12" s="10" t="e">
        <f>BO!#REF!</f>
        <v>#REF!</v>
      </c>
      <c r="L12" s="12" t="e">
        <f>BO!#REF!</f>
        <v>#REF!</v>
      </c>
      <c r="M12" s="10" t="e">
        <f>'L2'!#REF!</f>
        <v>#REF!</v>
      </c>
      <c r="N12" s="10" t="e">
        <f>'L2'!#REF!</f>
        <v>#REF!</v>
      </c>
      <c r="O12" s="16" t="e">
        <f>'L2'!#REF!</f>
        <v>#REF!</v>
      </c>
      <c r="P12" s="16" t="e">
        <f>'L2'!#REF!</f>
        <v>#REF!</v>
      </c>
      <c r="Q12" s="15" t="e">
        <f>BO!#REF!</f>
        <v>#REF!</v>
      </c>
      <c r="R12" s="13" t="e">
        <f>BO!#REF!</f>
        <v>#REF!</v>
      </c>
      <c r="S12" s="13" t="e">
        <f>BO!#REF!</f>
        <v>#REF!</v>
      </c>
      <c r="T12" s="10" t="e">
        <f>'L2'!#REF!</f>
        <v>#REF!</v>
      </c>
      <c r="U12" s="10" t="e">
        <f>'L2'!#REF!</f>
        <v>#REF!</v>
      </c>
      <c r="V12" s="20"/>
      <c r="W12" s="20"/>
      <c r="X12" s="21"/>
      <c r="Y12" s="21"/>
      <c r="Z12" s="21"/>
      <c r="AA12" s="10"/>
      <c r="AB12" s="10"/>
      <c r="AC12" s="10"/>
      <c r="AD12" s="10"/>
      <c r="AE12" s="10"/>
      <c r="AF12" s="10"/>
      <c r="AG12" s="10"/>
    </row>
    <row r="13" spans="1:33">
      <c r="A13" s="10" t="str">
        <f>'L2'!A3</f>
        <v>Mohamed Elezaby</v>
      </c>
      <c r="B13" s="7" t="s">
        <v>37</v>
      </c>
      <c r="C13" s="10">
        <f>'L2'!D3</f>
        <v>0.33333333333333331</v>
      </c>
      <c r="D13" s="10" t="e">
        <f>'L2'!#REF!</f>
        <v>#REF!</v>
      </c>
      <c r="E13" s="12" t="e">
        <f>'L2'!#REF!</f>
        <v>#REF!</v>
      </c>
      <c r="F13" s="10" t="e">
        <f>'L2'!#REF!</f>
        <v>#REF!</v>
      </c>
      <c r="G13" s="10" t="e">
        <f>'L2'!#REF!</f>
        <v>#REF!</v>
      </c>
      <c r="H13" s="12" t="e">
        <f>'L2'!#REF!</f>
        <v>#REF!</v>
      </c>
      <c r="I13" s="10" t="e">
        <f>'L2'!#REF!</f>
        <v>#REF!</v>
      </c>
      <c r="J13" s="10" t="e">
        <f>'L2'!#REF!</f>
        <v>#REF!</v>
      </c>
      <c r="K13" s="12" t="e">
        <f>'L2'!#REF!</f>
        <v>#REF!</v>
      </c>
      <c r="L13" s="10">
        <f>'L2'!M3</f>
        <v>0.41666666666666669</v>
      </c>
      <c r="M13" s="10">
        <f>'L2'!N3</f>
        <v>0.41666666666666669</v>
      </c>
      <c r="N13" s="10">
        <f>'L2'!O3</f>
        <v>0.41666666666666669</v>
      </c>
      <c r="O13" s="15" t="str">
        <f>'L2'!P3</f>
        <v>OFF</v>
      </c>
      <c r="P13" s="15" t="str">
        <f>'L2'!Q3</f>
        <v>OFF</v>
      </c>
      <c r="Q13" s="17">
        <f>'L2'!R6</f>
        <v>0.58333333333333337</v>
      </c>
      <c r="R13" s="17">
        <f>'L2'!S6</f>
        <v>0.58333333333333337</v>
      </c>
      <c r="S13" s="17">
        <f>'L2'!T6</f>
        <v>0.58333333333333337</v>
      </c>
      <c r="T13" s="10">
        <f>'L2'!U5</f>
        <v>0.58333333333333337</v>
      </c>
      <c r="U13" s="10" t="e">
        <f>'L2'!#REF!</f>
        <v>#REF!</v>
      </c>
      <c r="V13" s="22"/>
      <c r="W13" s="23"/>
      <c r="X13" s="23"/>
      <c r="Y13" s="22"/>
      <c r="Z13" s="23"/>
      <c r="AA13" s="10"/>
      <c r="AB13" s="10"/>
      <c r="AC13" s="10"/>
      <c r="AD13" s="10"/>
      <c r="AE13" s="10"/>
      <c r="AF13" s="10"/>
      <c r="AG13" s="10"/>
    </row>
    <row r="14" spans="1:33">
      <c r="A14" s="10" t="str">
        <f>'L2'!A6</f>
        <v>Fady Farid</v>
      </c>
      <c r="B14" s="7" t="s">
        <v>37</v>
      </c>
      <c r="C14" s="10" t="e">
        <f>'L2'!#REF!</f>
        <v>#REF!</v>
      </c>
      <c r="D14" s="10" t="e">
        <f>BO!#REF!</f>
        <v>#REF!</v>
      </c>
      <c r="E14" s="10" t="e">
        <f>BO!#REF!</f>
        <v>#REF!</v>
      </c>
      <c r="F14" s="10" t="e">
        <f>'L2'!#REF!</f>
        <v>#REF!</v>
      </c>
      <c r="G14" s="10" t="e">
        <f>'L2'!#REF!</f>
        <v>#REF!</v>
      </c>
      <c r="H14" s="10" t="e">
        <f>'L2'!#REF!</f>
        <v>#REF!</v>
      </c>
      <c r="I14" s="10" t="e">
        <f>'L2'!#REF!</f>
        <v>#REF!</v>
      </c>
      <c r="J14" s="10" t="e">
        <f>'L2'!#REF!</f>
        <v>#REF!</v>
      </c>
      <c r="K14" s="10">
        <f>'L2'!L4</f>
        <v>0.33333333333333331</v>
      </c>
      <c r="L14" s="10">
        <f>'L2'!M5</f>
        <v>0.58333333333333337</v>
      </c>
      <c r="M14" s="10" t="e">
        <f>'L2'!#REF!</f>
        <v>#REF!</v>
      </c>
      <c r="N14" s="10" t="e">
        <f>'L2'!#REF!</f>
        <v>#REF!</v>
      </c>
      <c r="O14" s="13" t="e">
        <f>'L2'!#REF!</f>
        <v>#REF!</v>
      </c>
      <c r="P14" s="13" t="e">
        <f>'L2'!#REF!</f>
        <v>#REF!</v>
      </c>
      <c r="Q14" s="13" t="e">
        <f>'L2'!#REF!</f>
        <v>#REF!</v>
      </c>
      <c r="R14" s="13" t="e">
        <f>'L2'!#REF!</f>
        <v>#REF!</v>
      </c>
      <c r="S14" s="17" t="e">
        <f>'L2'!#REF!</f>
        <v>#REF!</v>
      </c>
      <c r="T14" s="10" t="e">
        <f>'L2'!#REF!</f>
        <v>#REF!</v>
      </c>
      <c r="U14" s="10" t="e">
        <f>'L2'!#REF!</f>
        <v>#REF!</v>
      </c>
      <c r="V14" s="21"/>
      <c r="W14" s="21"/>
      <c r="X14" s="21"/>
      <c r="Y14" s="20"/>
      <c r="Z14" s="20"/>
      <c r="AA14" s="10"/>
      <c r="AB14" s="10"/>
      <c r="AC14" s="10"/>
      <c r="AD14" s="10"/>
      <c r="AE14" s="10"/>
      <c r="AF14" s="10"/>
      <c r="AG14" s="10"/>
    </row>
    <row r="15" spans="1:33">
      <c r="A15" s="7" t="e">
        <f>BO!#REF!</f>
        <v>#REF!</v>
      </c>
      <c r="B15" s="7" t="s">
        <v>42</v>
      </c>
      <c r="C15" s="12" t="e">
        <f>BO!#REF!</f>
        <v>#REF!</v>
      </c>
      <c r="D15" s="10" t="e">
        <f>BO!#REF!</f>
        <v>#REF!</v>
      </c>
      <c r="E15" s="12" t="e">
        <f>BO!#REF!</f>
        <v>#REF!</v>
      </c>
      <c r="F15" s="10" t="e">
        <f>BO!#REF!</f>
        <v>#REF!</v>
      </c>
      <c r="G15" s="10" t="e">
        <f>BO!#REF!</f>
        <v>#REF!</v>
      </c>
      <c r="H15" s="10" t="e">
        <f>BO!#REF!</f>
        <v>#REF!</v>
      </c>
      <c r="I15" s="10" t="e">
        <f>BO!#REF!</f>
        <v>#REF!</v>
      </c>
      <c r="J15" s="10" t="e">
        <f>BO!#REF!</f>
        <v>#REF!</v>
      </c>
      <c r="K15" s="12" t="e">
        <f>BO!#REF!</f>
        <v>#REF!</v>
      </c>
      <c r="L15" s="12" t="e">
        <f>BO!#REF!</f>
        <v>#REF!</v>
      </c>
      <c r="M15" s="10" t="e">
        <f>BO!#REF!</f>
        <v>#REF!</v>
      </c>
      <c r="N15" s="10" t="e">
        <f>BO!#REF!</f>
        <v>#REF!</v>
      </c>
      <c r="O15" s="10" t="e">
        <f>BO!#REF!</f>
        <v>#REF!</v>
      </c>
      <c r="P15" s="10" t="e">
        <f>BO!#REF!</f>
        <v>#REF!</v>
      </c>
      <c r="Q15" s="10" t="e">
        <f>BO!#REF!</f>
        <v>#REF!</v>
      </c>
      <c r="R15" s="16" t="e">
        <f>BO!#REF!</f>
        <v>#REF!</v>
      </c>
      <c r="S15" s="16" t="e">
        <f>BO!#REF!</f>
        <v>#REF!</v>
      </c>
      <c r="T15" s="10" t="e">
        <f>BO!#REF!</f>
        <v>#REF!</v>
      </c>
      <c r="U15" s="10" t="e">
        <f>BO!#REF!</f>
        <v>#REF!</v>
      </c>
      <c r="V15" s="16"/>
      <c r="W15" s="10"/>
      <c r="X15" s="10"/>
      <c r="Y15" s="10"/>
      <c r="Z15" s="16"/>
      <c r="AA15" s="10"/>
      <c r="AB15" s="10"/>
      <c r="AC15" s="10"/>
      <c r="AD15" s="10"/>
      <c r="AE15" s="10"/>
      <c r="AF15" s="10"/>
      <c r="AG15" s="10"/>
    </row>
    <row r="16" spans="1:33">
      <c r="A16" s="7" t="str">
        <f>BO!A4</f>
        <v>Wessam Ahmed</v>
      </c>
      <c r="B16" s="7" t="s">
        <v>46</v>
      </c>
      <c r="C16" s="10" t="e">
        <f>BO!#REF!</f>
        <v>#REF!</v>
      </c>
      <c r="D16" s="10" t="e">
        <f>BO!#REF!</f>
        <v>#REF!</v>
      </c>
      <c r="E16" s="12" t="e">
        <f>BO!#REF!</f>
        <v>#REF!</v>
      </c>
      <c r="F16" s="10" t="e">
        <f>BO!#REF!</f>
        <v>#REF!</v>
      </c>
      <c r="G16" s="10" t="e">
        <f>BO!#REF!</f>
        <v>#REF!</v>
      </c>
      <c r="H16" s="10">
        <f>BO!F4</f>
        <v>0.375</v>
      </c>
      <c r="I16" s="10">
        <f>BO!G4</f>
        <v>0.375</v>
      </c>
      <c r="J16" s="10">
        <f>BO!H4</f>
        <v>0.375</v>
      </c>
      <c r="K16" s="12" t="str">
        <f>BO!I4</f>
        <v>OFF</v>
      </c>
      <c r="L16" s="12" t="str">
        <f>BO!J4</f>
        <v>OFF</v>
      </c>
      <c r="M16" s="10">
        <f>BO!K4</f>
        <v>0.375</v>
      </c>
      <c r="N16" s="10" t="str">
        <f>BO!L4</f>
        <v>Sick</v>
      </c>
      <c r="O16" s="10" t="str">
        <f>BO!M4</f>
        <v>Sick</v>
      </c>
      <c r="P16" s="10" t="str">
        <f>BO!N4</f>
        <v>Compensation</v>
      </c>
      <c r="Q16" s="10" t="str">
        <f>BO!O4</f>
        <v>Compensation</v>
      </c>
      <c r="R16" s="16" t="str">
        <f>BO!P4</f>
        <v>OFF</v>
      </c>
      <c r="S16" s="16" t="str">
        <f>BO!Q4</f>
        <v>OFF</v>
      </c>
      <c r="T16" s="10">
        <f>BO!R4</f>
        <v>0.375</v>
      </c>
      <c r="U16" s="10">
        <f>BO!S4</f>
        <v>0.375</v>
      </c>
      <c r="V16" s="10"/>
      <c r="W16" s="10"/>
      <c r="X16" s="10"/>
      <c r="Y16" s="16"/>
      <c r="Z16" s="16"/>
      <c r="AA16" s="10"/>
      <c r="AB16" s="10"/>
      <c r="AC16" s="10"/>
      <c r="AD16" s="10"/>
      <c r="AE16" s="10"/>
      <c r="AF16" s="10"/>
      <c r="AG16" s="10"/>
    </row>
    <row r="17" spans="1:33">
      <c r="A17" s="7" t="str">
        <f>BO!A5</f>
        <v>Reham Baghdady</v>
      </c>
      <c r="B17" s="7" t="s">
        <v>46</v>
      </c>
      <c r="C17" s="12" t="e">
        <f>BO!#REF!</f>
        <v>#REF!</v>
      </c>
      <c r="D17" s="10" t="e">
        <f>BO!#REF!</f>
        <v>#REF!</v>
      </c>
      <c r="E17" s="12" t="e">
        <f>BO!#REF!</f>
        <v>#REF!</v>
      </c>
      <c r="F17" s="10" t="e">
        <f>BO!#REF!</f>
        <v>#REF!</v>
      </c>
      <c r="G17" s="10" t="e">
        <f>BO!#REF!</f>
        <v>#REF!</v>
      </c>
      <c r="H17" s="10" t="e">
        <f>BO!#REF!</f>
        <v>#REF!</v>
      </c>
      <c r="I17" s="10">
        <f>BO!G5</f>
        <v>0.375</v>
      </c>
      <c r="J17" s="10">
        <f>BO!H5</f>
        <v>0.375</v>
      </c>
      <c r="K17" s="10">
        <f>BO!F5</f>
        <v>0.375</v>
      </c>
      <c r="L17" s="10" t="str">
        <f>BO!J5</f>
        <v>OFF</v>
      </c>
      <c r="M17" s="10">
        <f>BO!K5</f>
        <v>0.375</v>
      </c>
      <c r="N17" s="10">
        <f>BO!L5</f>
        <v>0.375</v>
      </c>
      <c r="O17" s="10">
        <f>BO!M5</f>
        <v>0.375</v>
      </c>
      <c r="P17" s="10">
        <f>BO!N5</f>
        <v>0.375</v>
      </c>
      <c r="Q17" s="10">
        <f>BO!O5</f>
        <v>0.375</v>
      </c>
      <c r="R17" s="16" t="str">
        <f>BO!P5</f>
        <v>OFF</v>
      </c>
      <c r="S17" s="16" t="str">
        <f>BO!Q5</f>
        <v>OFF</v>
      </c>
      <c r="T17" s="10">
        <f>BO!R5</f>
        <v>0.375</v>
      </c>
      <c r="U17" s="10">
        <f>BO!S5</f>
        <v>0.375</v>
      </c>
      <c r="V17" s="10"/>
      <c r="W17" s="10"/>
      <c r="X17" s="10"/>
      <c r="Y17" s="16"/>
      <c r="Z17" s="16"/>
      <c r="AA17" s="10"/>
      <c r="AB17" s="10"/>
      <c r="AC17" s="10"/>
      <c r="AD17" s="10"/>
      <c r="AE17" s="10"/>
      <c r="AF17" s="10"/>
      <c r="AG17" s="10"/>
    </row>
    <row r="18" spans="1:33">
      <c r="A18" s="7" t="str">
        <f>BO!A6</f>
        <v>Maha Dahshan</v>
      </c>
      <c r="B18" s="7" t="s">
        <v>48</v>
      </c>
      <c r="C18" s="10" t="e">
        <f>BO!#REF!</f>
        <v>#REF!</v>
      </c>
      <c r="D18" s="12" t="e">
        <f>BO!#REF!</f>
        <v>#REF!</v>
      </c>
      <c r="E18" s="12" t="e">
        <f>BO!#REF!</f>
        <v>#REF!</v>
      </c>
      <c r="F18" s="10" t="e">
        <f>BO!#REF!</f>
        <v>#REF!</v>
      </c>
      <c r="G18" s="10" t="e">
        <f>BO!#REF!</f>
        <v>#REF!</v>
      </c>
      <c r="H18" s="10">
        <f>BO!F6</f>
        <v>0.41666666666666669</v>
      </c>
      <c r="I18" s="10">
        <f>BO!G6</f>
        <v>0.41666666666666669</v>
      </c>
      <c r="J18" s="10">
        <f>BO!H6</f>
        <v>0.41666666666666669</v>
      </c>
      <c r="K18" s="12" t="str">
        <f>BO!I6</f>
        <v>OFF</v>
      </c>
      <c r="L18" s="12" t="str">
        <f>BO!J6</f>
        <v>OFF</v>
      </c>
      <c r="M18" s="10">
        <f>BO!K6</f>
        <v>0.41666666666666669</v>
      </c>
      <c r="N18" s="10">
        <f>BO!L6</f>
        <v>0.41666666666666669</v>
      </c>
      <c r="O18" s="10">
        <f>BO!M6</f>
        <v>0.41666666666666669</v>
      </c>
      <c r="P18" s="10">
        <f>BO!N6</f>
        <v>0.41666666666666669</v>
      </c>
      <c r="Q18" s="10" t="str">
        <f>BO!O6</f>
        <v>Compensation</v>
      </c>
      <c r="R18" s="16" t="str">
        <f>BO!P6</f>
        <v>OFF</v>
      </c>
      <c r="S18" s="16" t="str">
        <f>BO!Q6</f>
        <v>OFF</v>
      </c>
      <c r="T18" s="10">
        <f>BO!R6</f>
        <v>0.41666666666666669</v>
      </c>
      <c r="U18" s="10">
        <f>BO!S6</f>
        <v>0.41666666666666669</v>
      </c>
      <c r="V18" s="10"/>
      <c r="W18" s="10"/>
      <c r="X18" s="10"/>
      <c r="Y18" s="16"/>
      <c r="Z18" s="16"/>
      <c r="AA18" s="10"/>
      <c r="AB18" s="10"/>
      <c r="AC18" s="10"/>
      <c r="AD18" s="10"/>
      <c r="AE18" s="10"/>
      <c r="AF18" s="10"/>
      <c r="AG18" s="10"/>
    </row>
    <row r="27" spans="1:33">
      <c r="C27" s="5"/>
      <c r="D27" s="5"/>
      <c r="E27" s="5"/>
      <c r="F27" s="5"/>
      <c r="G27" s="5"/>
      <c r="H27" s="5"/>
      <c r="I27" s="5"/>
      <c r="J27" s="5"/>
      <c r="K27" s="6"/>
      <c r="L27" s="6"/>
      <c r="M27" s="5"/>
      <c r="N27" s="6"/>
      <c r="O27" s="5"/>
      <c r="P27" s="5"/>
      <c r="Q27" s="5"/>
      <c r="R27" s="5"/>
      <c r="S27" s="5"/>
      <c r="T27" s="5"/>
      <c r="U27" s="5"/>
    </row>
    <row r="28" spans="1:33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  <c r="R28" s="6"/>
      <c r="S28" s="6"/>
      <c r="T28" s="5"/>
      <c r="U28" s="5"/>
    </row>
    <row r="29" spans="1:33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6"/>
      <c r="R29" s="6"/>
      <c r="S29" s="5"/>
      <c r="T29" s="6"/>
      <c r="U29" s="5"/>
    </row>
    <row r="30" spans="1:33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  <c r="R30" s="6"/>
      <c r="S30" s="6"/>
      <c r="T30" s="5"/>
      <c r="U30" s="5"/>
    </row>
  </sheetData>
  <conditionalFormatting sqref="C1:AG1 C2:U9 AA2:XFD9 A2:A18 C10:XFD11 C12:U14 AA12:XFD14 C15:XFD18">
    <cfRule type="containsText" dxfId="4" priority="28" operator="containsText" text="OFF">
      <formula>NOT(ISERROR(SEARCH("OFF",A1)))</formula>
    </cfRule>
  </conditionalFormatting>
  <conditionalFormatting sqref="Q28:R30">
    <cfRule type="cellIs" dxfId="3" priority="21" operator="greaterThan">
      <formula>0</formula>
    </cfRule>
  </conditionalFormatting>
  <conditionalFormatting sqref="S28">
    <cfRule type="cellIs" dxfId="2" priority="20" operator="greaterThan">
      <formula>0</formula>
    </cfRule>
  </conditionalFormatting>
  <conditionalFormatting sqref="S30">
    <cfRule type="cellIs" dxfId="1" priority="19" operator="greaterThan">
      <formula>0</formula>
    </cfRule>
  </conditionalFormatting>
  <conditionalFormatting sqref="T29">
    <cfRule type="cellIs" dxfId="0" priority="18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3698-CA80-4DDE-91F7-8855D23027D5}">
  <dimension ref="A1:AG528"/>
  <sheetViews>
    <sheetView tabSelected="1" workbookViewId="0">
      <selection activeCell="B2" sqref="B2:AF2"/>
    </sheetView>
  </sheetViews>
  <sheetFormatPr defaultRowHeight="15"/>
  <cols>
    <col min="1" max="1" width="25.28515625" style="5" customWidth="1"/>
    <col min="2" max="2" width="9.140625" style="5" bestFit="1" customWidth="1"/>
    <col min="3" max="3" width="13.42578125" style="5" bestFit="1" customWidth="1"/>
  </cols>
  <sheetData>
    <row r="1" spans="1:33">
      <c r="A1" s="116" t="s">
        <v>7</v>
      </c>
      <c r="B1" s="117" t="s">
        <v>52</v>
      </c>
      <c r="C1" s="118" t="s">
        <v>53</v>
      </c>
    </row>
    <row r="2" spans="1:33">
      <c r="A2" s="5" t="s">
        <v>17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</row>
    <row r="3" spans="1:33">
      <c r="A3" s="5" t="s">
        <v>17</v>
      </c>
      <c r="B3" s="119"/>
      <c r="C3" s="119"/>
    </row>
    <row r="4" spans="1:33">
      <c r="A4" s="5" t="s">
        <v>17</v>
      </c>
      <c r="B4" s="119"/>
      <c r="C4" s="120"/>
    </row>
    <row r="5" spans="1:33">
      <c r="A5" s="5" t="s">
        <v>17</v>
      </c>
      <c r="B5" s="119"/>
      <c r="C5" s="120"/>
    </row>
    <row r="6" spans="1:33">
      <c r="A6" s="5" t="s">
        <v>17</v>
      </c>
      <c r="B6" s="119"/>
      <c r="C6" s="120"/>
    </row>
    <row r="7" spans="1:33">
      <c r="A7" s="5" t="s">
        <v>17</v>
      </c>
      <c r="B7" s="119"/>
      <c r="C7" s="120"/>
    </row>
    <row r="8" spans="1:33">
      <c r="A8" s="5" t="s">
        <v>17</v>
      </c>
      <c r="B8" s="119"/>
      <c r="C8" s="120"/>
    </row>
    <row r="9" spans="1:33">
      <c r="A9" s="5" t="s">
        <v>17</v>
      </c>
      <c r="B9" s="119"/>
      <c r="C9" s="120"/>
    </row>
    <row r="10" spans="1:33">
      <c r="A10" s="5" t="s">
        <v>17</v>
      </c>
      <c r="B10" s="119"/>
      <c r="C10" s="120"/>
    </row>
    <row r="11" spans="1:33">
      <c r="A11" s="5" t="s">
        <v>17</v>
      </c>
      <c r="B11" s="119"/>
      <c r="C11" s="120"/>
    </row>
    <row r="12" spans="1:33">
      <c r="A12" s="5" t="s">
        <v>17</v>
      </c>
      <c r="B12" s="119"/>
      <c r="C12" s="120"/>
    </row>
    <row r="13" spans="1:33">
      <c r="A13" s="5" t="s">
        <v>17</v>
      </c>
      <c r="B13" s="119"/>
      <c r="C13" s="120"/>
    </row>
    <row r="14" spans="1:33">
      <c r="A14" s="5" t="s">
        <v>17</v>
      </c>
      <c r="B14" s="119"/>
      <c r="C14" s="120"/>
    </row>
    <row r="15" spans="1:33">
      <c r="A15" s="5" t="s">
        <v>17</v>
      </c>
      <c r="B15" s="119"/>
      <c r="C15" s="120"/>
    </row>
    <row r="16" spans="1:33">
      <c r="A16" s="5" t="s">
        <v>17</v>
      </c>
      <c r="B16" s="119"/>
      <c r="C16" s="120"/>
    </row>
    <row r="17" spans="1:3">
      <c r="A17" s="5" t="s">
        <v>17</v>
      </c>
      <c r="B17" s="119"/>
      <c r="C17" s="120"/>
    </row>
    <row r="18" spans="1:3">
      <c r="A18" s="5" t="s">
        <v>17</v>
      </c>
      <c r="B18" s="119"/>
      <c r="C18" s="120"/>
    </row>
    <row r="19" spans="1:3">
      <c r="A19" s="5" t="s">
        <v>17</v>
      </c>
      <c r="B19" s="119"/>
      <c r="C19" s="120"/>
    </row>
    <row r="20" spans="1:3">
      <c r="A20" s="5" t="s">
        <v>17</v>
      </c>
      <c r="B20" s="119"/>
      <c r="C20" s="120"/>
    </row>
    <row r="21" spans="1:3">
      <c r="A21" s="5" t="s">
        <v>17</v>
      </c>
      <c r="B21" s="119"/>
      <c r="C21" s="120"/>
    </row>
    <row r="22" spans="1:3">
      <c r="A22" s="5" t="s">
        <v>17</v>
      </c>
      <c r="B22" s="119"/>
      <c r="C22" s="120"/>
    </row>
    <row r="23" spans="1:3">
      <c r="A23" s="5" t="s">
        <v>17</v>
      </c>
      <c r="B23" s="119"/>
      <c r="C23" s="120"/>
    </row>
    <row r="24" spans="1:3">
      <c r="A24" s="5" t="s">
        <v>17</v>
      </c>
      <c r="B24" s="119"/>
      <c r="C24" s="120"/>
    </row>
    <row r="25" spans="1:3">
      <c r="A25" s="5" t="s">
        <v>17</v>
      </c>
      <c r="B25" s="119"/>
      <c r="C25" s="120"/>
    </row>
    <row r="26" spans="1:3">
      <c r="A26" s="5" t="s">
        <v>17</v>
      </c>
      <c r="B26" s="119"/>
      <c r="C26" s="120"/>
    </row>
    <row r="27" spans="1:3">
      <c r="A27" s="5" t="s">
        <v>17</v>
      </c>
      <c r="B27" s="119"/>
      <c r="C27" s="120"/>
    </row>
    <row r="28" spans="1:3">
      <c r="A28" s="5" t="s">
        <v>17</v>
      </c>
      <c r="B28" s="119"/>
      <c r="C28" s="120"/>
    </row>
    <row r="29" spans="1:3">
      <c r="A29" s="5" t="s">
        <v>17</v>
      </c>
      <c r="B29" s="119"/>
      <c r="C29" s="120"/>
    </row>
    <row r="30" spans="1:3">
      <c r="A30" s="5" t="s">
        <v>17</v>
      </c>
      <c r="B30" s="119"/>
      <c r="C30" s="120"/>
    </row>
    <row r="31" spans="1:3">
      <c r="A31" s="5" t="s">
        <v>17</v>
      </c>
      <c r="B31" s="119"/>
      <c r="C31" s="120"/>
    </row>
    <row r="32" spans="1:3">
      <c r="A32" s="5" t="s">
        <v>17</v>
      </c>
      <c r="B32" s="119"/>
      <c r="C32" s="120"/>
    </row>
    <row r="33" spans="1:3">
      <c r="A33" s="5" t="s">
        <v>47</v>
      </c>
      <c r="B33" s="119"/>
      <c r="C33" s="120"/>
    </row>
    <row r="34" spans="1:3">
      <c r="A34" s="5" t="s">
        <v>47</v>
      </c>
      <c r="B34" s="119"/>
      <c r="C34" s="120"/>
    </row>
    <row r="35" spans="1:3">
      <c r="A35" s="5" t="s">
        <v>47</v>
      </c>
      <c r="B35" s="119"/>
      <c r="C35" s="120"/>
    </row>
    <row r="36" spans="1:3">
      <c r="A36" s="5" t="s">
        <v>47</v>
      </c>
      <c r="B36" s="119"/>
      <c r="C36" s="120"/>
    </row>
    <row r="37" spans="1:3">
      <c r="A37" s="5" t="s">
        <v>47</v>
      </c>
      <c r="B37" s="119"/>
      <c r="C37" s="120"/>
    </row>
    <row r="38" spans="1:3">
      <c r="A38" s="5" t="s">
        <v>47</v>
      </c>
      <c r="B38" s="119"/>
      <c r="C38" s="120"/>
    </row>
    <row r="39" spans="1:3">
      <c r="A39" s="5" t="s">
        <v>47</v>
      </c>
      <c r="B39" s="119"/>
      <c r="C39" s="120"/>
    </row>
    <row r="40" spans="1:3">
      <c r="A40" s="5" t="s">
        <v>47</v>
      </c>
      <c r="B40" s="119"/>
      <c r="C40" s="120"/>
    </row>
    <row r="41" spans="1:3">
      <c r="A41" s="5" t="s">
        <v>47</v>
      </c>
      <c r="B41" s="119"/>
      <c r="C41" s="120"/>
    </row>
    <row r="42" spans="1:3">
      <c r="A42" s="5" t="s">
        <v>47</v>
      </c>
      <c r="B42" s="119"/>
      <c r="C42" s="120"/>
    </row>
    <row r="43" spans="1:3">
      <c r="A43" s="5" t="s">
        <v>47</v>
      </c>
      <c r="B43" s="119"/>
      <c r="C43" s="120"/>
    </row>
    <row r="44" spans="1:3">
      <c r="A44" s="5" t="s">
        <v>47</v>
      </c>
      <c r="B44" s="119"/>
      <c r="C44" s="120"/>
    </row>
    <row r="45" spans="1:3">
      <c r="A45" s="5" t="s">
        <v>47</v>
      </c>
      <c r="B45" s="119"/>
      <c r="C45" s="120"/>
    </row>
    <row r="46" spans="1:3">
      <c r="A46" s="5" t="s">
        <v>47</v>
      </c>
      <c r="B46" s="119"/>
      <c r="C46" s="120"/>
    </row>
    <row r="47" spans="1:3">
      <c r="A47" s="5" t="s">
        <v>47</v>
      </c>
      <c r="B47" s="119"/>
      <c r="C47" s="120"/>
    </row>
    <row r="48" spans="1:3">
      <c r="A48" s="5" t="s">
        <v>47</v>
      </c>
      <c r="B48" s="119"/>
      <c r="C48" s="120"/>
    </row>
    <row r="49" spans="1:3">
      <c r="A49" s="5" t="s">
        <v>47</v>
      </c>
      <c r="B49" s="119"/>
      <c r="C49" s="120"/>
    </row>
    <row r="50" spans="1:3">
      <c r="A50" s="5" t="s">
        <v>47</v>
      </c>
      <c r="B50" s="119"/>
      <c r="C50" s="120"/>
    </row>
    <row r="51" spans="1:3">
      <c r="A51" s="5" t="s">
        <v>47</v>
      </c>
      <c r="B51" s="119"/>
      <c r="C51" s="120"/>
    </row>
    <row r="52" spans="1:3">
      <c r="A52" s="5" t="s">
        <v>47</v>
      </c>
      <c r="B52" s="119"/>
      <c r="C52" s="120"/>
    </row>
    <row r="53" spans="1:3">
      <c r="A53" s="5" t="s">
        <v>47</v>
      </c>
      <c r="B53" s="119"/>
      <c r="C53" s="120"/>
    </row>
    <row r="54" spans="1:3">
      <c r="A54" s="5" t="s">
        <v>47</v>
      </c>
      <c r="B54" s="119"/>
      <c r="C54" s="120"/>
    </row>
    <row r="55" spans="1:3">
      <c r="A55" s="5" t="s">
        <v>47</v>
      </c>
      <c r="B55" s="119"/>
      <c r="C55" s="120"/>
    </row>
    <row r="56" spans="1:3">
      <c r="A56" s="5" t="s">
        <v>47</v>
      </c>
      <c r="B56" s="119"/>
      <c r="C56" s="120"/>
    </row>
    <row r="57" spans="1:3">
      <c r="A57" s="5" t="s">
        <v>47</v>
      </c>
      <c r="B57" s="119"/>
      <c r="C57" s="120"/>
    </row>
    <row r="58" spans="1:3">
      <c r="A58" s="5" t="s">
        <v>47</v>
      </c>
      <c r="B58" s="119"/>
      <c r="C58" s="120"/>
    </row>
    <row r="59" spans="1:3">
      <c r="A59" s="5" t="s">
        <v>47</v>
      </c>
      <c r="B59" s="119"/>
      <c r="C59" s="120"/>
    </row>
    <row r="60" spans="1:3">
      <c r="A60" s="5" t="s">
        <v>47</v>
      </c>
      <c r="B60" s="119"/>
      <c r="C60" s="120"/>
    </row>
    <row r="61" spans="1:3">
      <c r="A61" s="5" t="s">
        <v>47</v>
      </c>
      <c r="B61" s="119"/>
      <c r="C61" s="120"/>
    </row>
    <row r="62" spans="1:3">
      <c r="A62" s="5" t="s">
        <v>47</v>
      </c>
      <c r="B62" s="119"/>
      <c r="C62" s="120"/>
    </row>
    <row r="63" spans="1:3">
      <c r="A63" s="5" t="s">
        <v>47</v>
      </c>
      <c r="B63" s="119"/>
      <c r="C63" s="120"/>
    </row>
    <row r="64" spans="1:3">
      <c r="A64" s="5" t="s">
        <v>21</v>
      </c>
      <c r="B64" s="119"/>
      <c r="C64" s="120"/>
    </row>
    <row r="65" spans="1:3">
      <c r="A65" s="5" t="s">
        <v>21</v>
      </c>
      <c r="B65" s="119"/>
      <c r="C65" s="120"/>
    </row>
    <row r="66" spans="1:3">
      <c r="A66" s="5" t="s">
        <v>21</v>
      </c>
      <c r="B66" s="119"/>
      <c r="C66" s="120"/>
    </row>
    <row r="67" spans="1:3">
      <c r="A67" s="5" t="s">
        <v>21</v>
      </c>
      <c r="B67" s="119"/>
      <c r="C67" s="120"/>
    </row>
    <row r="68" spans="1:3">
      <c r="A68" s="5" t="s">
        <v>21</v>
      </c>
      <c r="B68" s="119"/>
      <c r="C68" s="120"/>
    </row>
    <row r="69" spans="1:3">
      <c r="A69" s="5" t="s">
        <v>21</v>
      </c>
      <c r="B69" s="119"/>
      <c r="C69" s="120"/>
    </row>
    <row r="70" spans="1:3">
      <c r="A70" s="5" t="s">
        <v>21</v>
      </c>
      <c r="B70" s="119"/>
      <c r="C70" s="120"/>
    </row>
    <row r="71" spans="1:3">
      <c r="A71" s="5" t="s">
        <v>21</v>
      </c>
      <c r="B71" s="119"/>
      <c r="C71" s="120"/>
    </row>
    <row r="72" spans="1:3">
      <c r="A72" s="5" t="s">
        <v>21</v>
      </c>
      <c r="B72" s="119"/>
      <c r="C72" s="120"/>
    </row>
    <row r="73" spans="1:3">
      <c r="A73" s="5" t="s">
        <v>21</v>
      </c>
      <c r="B73" s="119"/>
      <c r="C73" s="120"/>
    </row>
    <row r="74" spans="1:3">
      <c r="A74" s="5" t="s">
        <v>21</v>
      </c>
      <c r="B74" s="119"/>
      <c r="C74" s="120"/>
    </row>
    <row r="75" spans="1:3">
      <c r="A75" s="5" t="s">
        <v>21</v>
      </c>
      <c r="B75" s="119"/>
      <c r="C75" s="120"/>
    </row>
    <row r="76" spans="1:3">
      <c r="A76" s="5" t="s">
        <v>21</v>
      </c>
      <c r="B76" s="119"/>
      <c r="C76" s="120"/>
    </row>
    <row r="77" spans="1:3">
      <c r="A77" s="5" t="s">
        <v>21</v>
      </c>
      <c r="B77" s="119"/>
      <c r="C77" s="120"/>
    </row>
    <row r="78" spans="1:3">
      <c r="A78" s="5" t="s">
        <v>21</v>
      </c>
      <c r="B78" s="119"/>
      <c r="C78" s="120"/>
    </row>
    <row r="79" spans="1:3">
      <c r="A79" s="5" t="s">
        <v>21</v>
      </c>
      <c r="B79" s="119"/>
      <c r="C79" s="120"/>
    </row>
    <row r="80" spans="1:3">
      <c r="A80" s="5" t="s">
        <v>21</v>
      </c>
      <c r="B80" s="119"/>
      <c r="C80" s="120"/>
    </row>
    <row r="81" spans="1:3">
      <c r="A81" s="5" t="s">
        <v>21</v>
      </c>
      <c r="B81" s="119"/>
      <c r="C81" s="120"/>
    </row>
    <row r="82" spans="1:3">
      <c r="A82" s="5" t="s">
        <v>21</v>
      </c>
      <c r="B82" s="119"/>
      <c r="C82" s="120"/>
    </row>
    <row r="83" spans="1:3">
      <c r="A83" s="5" t="s">
        <v>21</v>
      </c>
      <c r="B83" s="119"/>
      <c r="C83" s="120"/>
    </row>
    <row r="84" spans="1:3">
      <c r="A84" s="5" t="s">
        <v>21</v>
      </c>
      <c r="B84" s="119"/>
      <c r="C84" s="120"/>
    </row>
    <row r="85" spans="1:3">
      <c r="A85" s="5" t="s">
        <v>21</v>
      </c>
      <c r="B85" s="119"/>
      <c r="C85" s="120"/>
    </row>
    <row r="86" spans="1:3">
      <c r="A86" s="5" t="s">
        <v>21</v>
      </c>
      <c r="B86" s="119"/>
      <c r="C86" s="120"/>
    </row>
    <row r="87" spans="1:3">
      <c r="A87" s="5" t="s">
        <v>21</v>
      </c>
      <c r="B87" s="119"/>
      <c r="C87" s="120"/>
    </row>
    <row r="88" spans="1:3">
      <c r="A88" s="5" t="s">
        <v>21</v>
      </c>
      <c r="B88" s="119"/>
      <c r="C88" s="120"/>
    </row>
    <row r="89" spans="1:3">
      <c r="A89" s="5" t="s">
        <v>21</v>
      </c>
      <c r="B89" s="119"/>
      <c r="C89" s="120"/>
    </row>
    <row r="90" spans="1:3">
      <c r="A90" s="5" t="s">
        <v>21</v>
      </c>
      <c r="B90" s="119"/>
      <c r="C90" s="120"/>
    </row>
    <row r="91" spans="1:3">
      <c r="A91" s="5" t="s">
        <v>21</v>
      </c>
      <c r="B91" s="119"/>
      <c r="C91" s="120"/>
    </row>
    <row r="92" spans="1:3">
      <c r="A92" s="5" t="s">
        <v>21</v>
      </c>
      <c r="B92" s="119"/>
      <c r="C92" s="120"/>
    </row>
    <row r="93" spans="1:3">
      <c r="A93" s="5" t="s">
        <v>21</v>
      </c>
      <c r="B93" s="119"/>
      <c r="C93" s="120"/>
    </row>
    <row r="94" spans="1:3">
      <c r="A94" s="5" t="s">
        <v>21</v>
      </c>
      <c r="B94" s="119"/>
      <c r="C94" s="120"/>
    </row>
    <row r="95" spans="1:3">
      <c r="A95" s="5" t="s">
        <v>22</v>
      </c>
      <c r="B95" s="119"/>
      <c r="C95" s="120"/>
    </row>
    <row r="96" spans="1:3">
      <c r="A96" s="5" t="s">
        <v>22</v>
      </c>
      <c r="B96" s="119"/>
      <c r="C96" s="120"/>
    </row>
    <row r="97" spans="1:3">
      <c r="A97" s="5" t="s">
        <v>22</v>
      </c>
      <c r="B97" s="119"/>
      <c r="C97" s="120"/>
    </row>
    <row r="98" spans="1:3">
      <c r="A98" s="5" t="s">
        <v>22</v>
      </c>
      <c r="B98" s="119"/>
      <c r="C98" s="120"/>
    </row>
    <row r="99" spans="1:3">
      <c r="A99" s="5" t="s">
        <v>22</v>
      </c>
      <c r="B99" s="119"/>
      <c r="C99" s="120"/>
    </row>
    <row r="100" spans="1:3">
      <c r="A100" s="5" t="s">
        <v>22</v>
      </c>
      <c r="B100" s="119"/>
      <c r="C100" s="120"/>
    </row>
    <row r="101" spans="1:3">
      <c r="A101" s="5" t="s">
        <v>22</v>
      </c>
      <c r="B101" s="119"/>
      <c r="C101" s="120"/>
    </row>
    <row r="102" spans="1:3">
      <c r="A102" s="5" t="s">
        <v>22</v>
      </c>
      <c r="B102" s="119"/>
      <c r="C102" s="120"/>
    </row>
    <row r="103" spans="1:3">
      <c r="A103" s="5" t="s">
        <v>22</v>
      </c>
      <c r="B103" s="119"/>
      <c r="C103" s="120"/>
    </row>
    <row r="104" spans="1:3">
      <c r="A104" s="5" t="s">
        <v>22</v>
      </c>
      <c r="B104" s="119"/>
      <c r="C104" s="120"/>
    </row>
    <row r="105" spans="1:3">
      <c r="A105" s="5" t="s">
        <v>22</v>
      </c>
      <c r="B105" s="119"/>
      <c r="C105" s="120"/>
    </row>
    <row r="106" spans="1:3">
      <c r="A106" s="5" t="s">
        <v>22</v>
      </c>
      <c r="B106" s="119"/>
      <c r="C106" s="120"/>
    </row>
    <row r="107" spans="1:3">
      <c r="A107" s="5" t="s">
        <v>22</v>
      </c>
      <c r="B107" s="119"/>
      <c r="C107" s="120"/>
    </row>
    <row r="108" spans="1:3">
      <c r="A108" s="5" t="s">
        <v>22</v>
      </c>
      <c r="B108" s="119"/>
      <c r="C108" s="120"/>
    </row>
    <row r="109" spans="1:3">
      <c r="A109" s="5" t="s">
        <v>22</v>
      </c>
      <c r="B109" s="119"/>
      <c r="C109" s="120"/>
    </row>
    <row r="110" spans="1:3">
      <c r="A110" s="5" t="s">
        <v>22</v>
      </c>
      <c r="B110" s="119"/>
      <c r="C110" s="120"/>
    </row>
    <row r="111" spans="1:3">
      <c r="A111" s="5" t="s">
        <v>22</v>
      </c>
      <c r="B111" s="119"/>
      <c r="C111" s="120"/>
    </row>
    <row r="112" spans="1:3">
      <c r="A112" s="5" t="s">
        <v>22</v>
      </c>
      <c r="B112" s="119"/>
      <c r="C112" s="120"/>
    </row>
    <row r="113" spans="1:3">
      <c r="A113" s="5" t="s">
        <v>22</v>
      </c>
      <c r="B113" s="119"/>
      <c r="C113" s="120"/>
    </row>
    <row r="114" spans="1:3">
      <c r="A114" s="5" t="s">
        <v>22</v>
      </c>
      <c r="B114" s="119"/>
      <c r="C114" s="120"/>
    </row>
    <row r="115" spans="1:3">
      <c r="A115" s="5" t="s">
        <v>22</v>
      </c>
      <c r="B115" s="119"/>
      <c r="C115" s="120"/>
    </row>
    <row r="116" spans="1:3">
      <c r="A116" s="5" t="s">
        <v>22</v>
      </c>
      <c r="B116" s="119"/>
      <c r="C116" s="120"/>
    </row>
    <row r="117" spans="1:3">
      <c r="A117" s="5" t="s">
        <v>22</v>
      </c>
      <c r="B117" s="119"/>
      <c r="C117" s="120"/>
    </row>
    <row r="118" spans="1:3">
      <c r="A118" s="5" t="s">
        <v>22</v>
      </c>
      <c r="B118" s="119"/>
      <c r="C118" s="120"/>
    </row>
    <row r="119" spans="1:3">
      <c r="A119" s="5" t="s">
        <v>22</v>
      </c>
      <c r="B119" s="119"/>
      <c r="C119" s="120"/>
    </row>
    <row r="120" spans="1:3">
      <c r="A120" s="5" t="s">
        <v>22</v>
      </c>
      <c r="B120" s="119"/>
      <c r="C120" s="120"/>
    </row>
    <row r="121" spans="1:3">
      <c r="A121" s="5" t="s">
        <v>22</v>
      </c>
      <c r="B121" s="119"/>
      <c r="C121" s="120"/>
    </row>
    <row r="122" spans="1:3">
      <c r="A122" s="5" t="s">
        <v>22</v>
      </c>
      <c r="B122" s="119"/>
      <c r="C122" s="120"/>
    </row>
    <row r="123" spans="1:3">
      <c r="A123" s="5" t="s">
        <v>22</v>
      </c>
      <c r="B123" s="119"/>
      <c r="C123" s="120"/>
    </row>
    <row r="124" spans="1:3">
      <c r="A124" s="5" t="s">
        <v>22</v>
      </c>
      <c r="B124" s="119"/>
      <c r="C124" s="120"/>
    </row>
    <row r="125" spans="1:3">
      <c r="A125" s="5" t="s">
        <v>22</v>
      </c>
      <c r="B125" s="119"/>
      <c r="C125" s="120"/>
    </row>
    <row r="126" spans="1:3">
      <c r="A126" s="5" t="s">
        <v>23</v>
      </c>
      <c r="B126" s="119"/>
      <c r="C126" s="120"/>
    </row>
    <row r="127" spans="1:3">
      <c r="A127" s="5" t="s">
        <v>23</v>
      </c>
      <c r="B127" s="119"/>
      <c r="C127" s="120"/>
    </row>
    <row r="128" spans="1:3">
      <c r="A128" s="5" t="s">
        <v>23</v>
      </c>
      <c r="B128" s="119"/>
      <c r="C128" s="120"/>
    </row>
    <row r="129" spans="1:3">
      <c r="A129" s="5" t="s">
        <v>23</v>
      </c>
      <c r="B129" s="119"/>
      <c r="C129" s="120"/>
    </row>
    <row r="130" spans="1:3">
      <c r="A130" s="5" t="s">
        <v>23</v>
      </c>
      <c r="B130" s="119"/>
      <c r="C130" s="120"/>
    </row>
    <row r="131" spans="1:3">
      <c r="A131" s="5" t="s">
        <v>23</v>
      </c>
      <c r="B131" s="119"/>
      <c r="C131" s="120"/>
    </row>
    <row r="132" spans="1:3">
      <c r="A132" s="5" t="s">
        <v>23</v>
      </c>
      <c r="B132" s="119"/>
      <c r="C132" s="120"/>
    </row>
    <row r="133" spans="1:3">
      <c r="A133" s="5" t="s">
        <v>23</v>
      </c>
      <c r="B133" s="119"/>
      <c r="C133" s="120"/>
    </row>
    <row r="134" spans="1:3">
      <c r="A134" s="5" t="s">
        <v>23</v>
      </c>
      <c r="B134" s="119"/>
      <c r="C134" s="120"/>
    </row>
    <row r="135" spans="1:3">
      <c r="A135" s="5" t="s">
        <v>23</v>
      </c>
      <c r="B135" s="119"/>
      <c r="C135" s="120"/>
    </row>
    <row r="136" spans="1:3">
      <c r="A136" s="5" t="s">
        <v>23</v>
      </c>
      <c r="B136" s="119"/>
      <c r="C136" s="120"/>
    </row>
    <row r="137" spans="1:3">
      <c r="A137" s="5" t="s">
        <v>23</v>
      </c>
      <c r="B137" s="119"/>
      <c r="C137" s="120"/>
    </row>
    <row r="138" spans="1:3">
      <c r="A138" s="5" t="s">
        <v>23</v>
      </c>
      <c r="B138" s="119"/>
      <c r="C138" s="120"/>
    </row>
    <row r="139" spans="1:3">
      <c r="A139" s="5" t="s">
        <v>23</v>
      </c>
      <c r="B139" s="119"/>
      <c r="C139" s="120"/>
    </row>
    <row r="140" spans="1:3">
      <c r="A140" s="5" t="s">
        <v>23</v>
      </c>
      <c r="B140" s="119"/>
      <c r="C140" s="120"/>
    </row>
    <row r="141" spans="1:3">
      <c r="A141" s="5" t="s">
        <v>23</v>
      </c>
      <c r="B141" s="119"/>
      <c r="C141" s="120"/>
    </row>
    <row r="142" spans="1:3">
      <c r="A142" s="5" t="s">
        <v>23</v>
      </c>
      <c r="B142" s="119"/>
      <c r="C142" s="120"/>
    </row>
    <row r="143" spans="1:3">
      <c r="A143" s="5" t="s">
        <v>23</v>
      </c>
      <c r="B143" s="119"/>
      <c r="C143" s="120"/>
    </row>
    <row r="144" spans="1:3">
      <c r="A144" s="5" t="s">
        <v>23</v>
      </c>
      <c r="B144" s="119"/>
      <c r="C144" s="120"/>
    </row>
    <row r="145" spans="1:3">
      <c r="A145" s="5" t="s">
        <v>23</v>
      </c>
      <c r="B145" s="119"/>
      <c r="C145" s="120"/>
    </row>
    <row r="146" spans="1:3">
      <c r="A146" s="5" t="s">
        <v>23</v>
      </c>
      <c r="B146" s="119"/>
      <c r="C146" s="120"/>
    </row>
    <row r="147" spans="1:3">
      <c r="A147" s="5" t="s">
        <v>23</v>
      </c>
      <c r="B147" s="119"/>
      <c r="C147" s="120"/>
    </row>
    <row r="148" spans="1:3">
      <c r="A148" s="5" t="s">
        <v>23</v>
      </c>
      <c r="B148" s="119"/>
      <c r="C148" s="120"/>
    </row>
    <row r="149" spans="1:3">
      <c r="A149" s="5" t="s">
        <v>23</v>
      </c>
      <c r="B149" s="119"/>
      <c r="C149" s="120"/>
    </row>
    <row r="150" spans="1:3">
      <c r="A150" s="5" t="s">
        <v>23</v>
      </c>
      <c r="B150" s="119"/>
      <c r="C150" s="120"/>
    </row>
    <row r="151" spans="1:3">
      <c r="A151" s="5" t="s">
        <v>23</v>
      </c>
      <c r="B151" s="119"/>
      <c r="C151" s="120"/>
    </row>
    <row r="152" spans="1:3">
      <c r="A152" s="5" t="s">
        <v>23</v>
      </c>
      <c r="B152" s="119"/>
      <c r="C152" s="120"/>
    </row>
    <row r="153" spans="1:3">
      <c r="A153" s="5" t="s">
        <v>23</v>
      </c>
      <c r="B153" s="119"/>
      <c r="C153" s="120"/>
    </row>
    <row r="154" spans="1:3">
      <c r="A154" s="5" t="s">
        <v>23</v>
      </c>
      <c r="B154" s="119"/>
      <c r="C154" s="120"/>
    </row>
    <row r="155" spans="1:3">
      <c r="A155" s="5" t="s">
        <v>23</v>
      </c>
      <c r="B155" s="119"/>
      <c r="C155" s="120"/>
    </row>
    <row r="156" spans="1:3">
      <c r="A156" s="5" t="s">
        <v>23</v>
      </c>
      <c r="B156" s="119"/>
      <c r="C156" s="120"/>
    </row>
    <row r="157" spans="1:3">
      <c r="A157" s="5" t="s">
        <v>19</v>
      </c>
      <c r="B157" s="119"/>
      <c r="C157" s="120"/>
    </row>
    <row r="158" spans="1:3">
      <c r="A158" s="5" t="s">
        <v>19</v>
      </c>
      <c r="B158" s="119"/>
      <c r="C158" s="120"/>
    </row>
    <row r="159" spans="1:3">
      <c r="A159" s="5" t="s">
        <v>19</v>
      </c>
      <c r="B159" s="119"/>
      <c r="C159" s="120"/>
    </row>
    <row r="160" spans="1:3">
      <c r="A160" s="5" t="s">
        <v>19</v>
      </c>
      <c r="B160" s="119"/>
      <c r="C160" s="120"/>
    </row>
    <row r="161" spans="1:3">
      <c r="A161" s="5" t="s">
        <v>19</v>
      </c>
      <c r="B161" s="119"/>
      <c r="C161" s="120"/>
    </row>
    <row r="162" spans="1:3">
      <c r="A162" s="5" t="s">
        <v>19</v>
      </c>
      <c r="B162" s="119"/>
      <c r="C162" s="120"/>
    </row>
    <row r="163" spans="1:3">
      <c r="A163" s="5" t="s">
        <v>19</v>
      </c>
      <c r="B163" s="119"/>
      <c r="C163" s="120"/>
    </row>
    <row r="164" spans="1:3">
      <c r="A164" s="5" t="s">
        <v>19</v>
      </c>
      <c r="B164" s="119"/>
      <c r="C164" s="120"/>
    </row>
    <row r="165" spans="1:3">
      <c r="A165" s="5" t="s">
        <v>19</v>
      </c>
      <c r="B165" s="119"/>
      <c r="C165" s="120"/>
    </row>
    <row r="166" spans="1:3">
      <c r="A166" s="5" t="s">
        <v>19</v>
      </c>
      <c r="B166" s="119"/>
      <c r="C166" s="120"/>
    </row>
    <row r="167" spans="1:3">
      <c r="A167" s="5" t="s">
        <v>19</v>
      </c>
      <c r="B167" s="119"/>
      <c r="C167" s="120"/>
    </row>
    <row r="168" spans="1:3">
      <c r="A168" s="5" t="s">
        <v>19</v>
      </c>
      <c r="B168" s="119"/>
      <c r="C168" s="120"/>
    </row>
    <row r="169" spans="1:3">
      <c r="A169" s="5" t="s">
        <v>19</v>
      </c>
      <c r="B169" s="119"/>
      <c r="C169" s="120"/>
    </row>
    <row r="170" spans="1:3">
      <c r="A170" s="5" t="s">
        <v>19</v>
      </c>
      <c r="B170" s="119"/>
      <c r="C170" s="120"/>
    </row>
    <row r="171" spans="1:3">
      <c r="A171" s="5" t="s">
        <v>19</v>
      </c>
      <c r="B171" s="119"/>
      <c r="C171" s="120"/>
    </row>
    <row r="172" spans="1:3">
      <c r="A172" s="5" t="s">
        <v>19</v>
      </c>
      <c r="B172" s="119"/>
      <c r="C172" s="120"/>
    </row>
    <row r="173" spans="1:3">
      <c r="A173" s="5" t="s">
        <v>19</v>
      </c>
      <c r="B173" s="119"/>
      <c r="C173" s="120"/>
    </row>
    <row r="174" spans="1:3">
      <c r="A174" s="5" t="s">
        <v>19</v>
      </c>
      <c r="B174" s="119"/>
      <c r="C174" s="120"/>
    </row>
    <row r="175" spans="1:3">
      <c r="A175" s="5" t="s">
        <v>19</v>
      </c>
      <c r="B175" s="119"/>
      <c r="C175" s="120"/>
    </row>
    <row r="176" spans="1:3">
      <c r="A176" s="5" t="s">
        <v>19</v>
      </c>
      <c r="B176" s="119"/>
      <c r="C176" s="120"/>
    </row>
    <row r="177" spans="1:4">
      <c r="A177" s="5" t="s">
        <v>19</v>
      </c>
      <c r="B177" s="119"/>
      <c r="C177" s="120"/>
    </row>
    <row r="178" spans="1:4">
      <c r="A178" s="5" t="s">
        <v>19</v>
      </c>
      <c r="B178" s="119"/>
      <c r="C178" s="120"/>
    </row>
    <row r="179" spans="1:4">
      <c r="A179" s="5" t="s">
        <v>19</v>
      </c>
      <c r="B179" s="119"/>
      <c r="C179" s="120"/>
    </row>
    <row r="180" spans="1:4">
      <c r="A180" s="5" t="s">
        <v>19</v>
      </c>
      <c r="B180" s="119"/>
      <c r="C180" s="120"/>
    </row>
    <row r="181" spans="1:4">
      <c r="A181" s="5" t="s">
        <v>19</v>
      </c>
      <c r="B181" s="119"/>
      <c r="C181" s="120"/>
    </row>
    <row r="182" spans="1:4">
      <c r="A182" s="5" t="s">
        <v>19</v>
      </c>
      <c r="B182" s="119"/>
      <c r="C182" s="120"/>
    </row>
    <row r="183" spans="1:4">
      <c r="A183" s="5" t="s">
        <v>19</v>
      </c>
      <c r="B183" s="119"/>
      <c r="C183" s="120"/>
    </row>
    <row r="184" spans="1:4">
      <c r="A184" s="5" t="s">
        <v>19</v>
      </c>
      <c r="B184" s="119"/>
      <c r="C184" s="120"/>
    </row>
    <row r="185" spans="1:4">
      <c r="A185" s="5" t="s">
        <v>19</v>
      </c>
      <c r="B185" s="119"/>
      <c r="C185" s="120"/>
    </row>
    <row r="186" spans="1:4">
      <c r="A186" s="5" t="s">
        <v>19</v>
      </c>
      <c r="B186" s="119"/>
      <c r="C186" s="120"/>
      <c r="D186" s="41"/>
    </row>
    <row r="187" spans="1:4">
      <c r="A187" s="5" t="s">
        <v>19</v>
      </c>
      <c r="B187" s="119"/>
      <c r="C187" s="120"/>
    </row>
    <row r="188" spans="1:4">
      <c r="A188" s="5" t="s">
        <v>24</v>
      </c>
      <c r="B188" s="119"/>
      <c r="C188" s="120"/>
    </row>
    <row r="189" spans="1:4">
      <c r="A189" s="5" t="s">
        <v>24</v>
      </c>
      <c r="B189" s="119"/>
      <c r="C189" s="120"/>
    </row>
    <row r="190" spans="1:4">
      <c r="A190" s="5" t="s">
        <v>24</v>
      </c>
      <c r="B190" s="119"/>
      <c r="C190" s="120"/>
    </row>
    <row r="191" spans="1:4">
      <c r="A191" s="5" t="s">
        <v>24</v>
      </c>
      <c r="B191" s="119"/>
      <c r="C191" s="120"/>
    </row>
    <row r="192" spans="1:4">
      <c r="A192" s="5" t="s">
        <v>24</v>
      </c>
      <c r="B192" s="119"/>
      <c r="C192" s="120"/>
    </row>
    <row r="193" spans="1:3">
      <c r="A193" s="5" t="s">
        <v>24</v>
      </c>
      <c r="B193" s="119"/>
      <c r="C193" s="120"/>
    </row>
    <row r="194" spans="1:3">
      <c r="A194" s="5" t="s">
        <v>24</v>
      </c>
      <c r="B194" s="119"/>
      <c r="C194" s="120"/>
    </row>
    <row r="195" spans="1:3">
      <c r="A195" s="5" t="s">
        <v>24</v>
      </c>
      <c r="B195" s="119"/>
      <c r="C195" s="120"/>
    </row>
    <row r="196" spans="1:3">
      <c r="A196" s="5" t="s">
        <v>24</v>
      </c>
      <c r="B196" s="119"/>
      <c r="C196" s="120"/>
    </row>
    <row r="197" spans="1:3">
      <c r="A197" s="5" t="s">
        <v>24</v>
      </c>
      <c r="B197" s="119"/>
      <c r="C197" s="120"/>
    </row>
    <row r="198" spans="1:3">
      <c r="A198" s="5" t="s">
        <v>24</v>
      </c>
      <c r="B198" s="119"/>
      <c r="C198" s="120"/>
    </row>
    <row r="199" spans="1:3">
      <c r="A199" s="5" t="s">
        <v>24</v>
      </c>
      <c r="B199" s="119"/>
      <c r="C199" s="120"/>
    </row>
    <row r="200" spans="1:3">
      <c r="A200" s="5" t="s">
        <v>24</v>
      </c>
      <c r="B200" s="119"/>
      <c r="C200" s="120"/>
    </row>
    <row r="201" spans="1:3">
      <c r="A201" s="5" t="s">
        <v>24</v>
      </c>
      <c r="B201" s="119"/>
      <c r="C201" s="120"/>
    </row>
    <row r="202" spans="1:3">
      <c r="A202" s="5" t="s">
        <v>24</v>
      </c>
      <c r="B202" s="119"/>
      <c r="C202" s="120"/>
    </row>
    <row r="203" spans="1:3">
      <c r="A203" s="5" t="s">
        <v>24</v>
      </c>
      <c r="B203" s="119"/>
      <c r="C203" s="120"/>
    </row>
    <row r="204" spans="1:3">
      <c r="A204" s="5" t="s">
        <v>24</v>
      </c>
      <c r="B204" s="119"/>
      <c r="C204" s="120"/>
    </row>
    <row r="205" spans="1:3">
      <c r="A205" s="5" t="s">
        <v>24</v>
      </c>
      <c r="B205" s="119"/>
      <c r="C205" s="120"/>
    </row>
    <row r="206" spans="1:3">
      <c r="A206" s="5" t="s">
        <v>24</v>
      </c>
      <c r="B206" s="119"/>
      <c r="C206" s="120"/>
    </row>
    <row r="207" spans="1:3">
      <c r="A207" s="5" t="s">
        <v>24</v>
      </c>
      <c r="B207" s="119"/>
      <c r="C207" s="120"/>
    </row>
    <row r="208" spans="1:3">
      <c r="A208" s="5" t="s">
        <v>24</v>
      </c>
      <c r="B208" s="119"/>
      <c r="C208" s="120"/>
    </row>
    <row r="209" spans="1:3">
      <c r="A209" s="5" t="s">
        <v>24</v>
      </c>
      <c r="B209" s="119"/>
      <c r="C209" s="120"/>
    </row>
    <row r="210" spans="1:3">
      <c r="A210" s="5" t="s">
        <v>24</v>
      </c>
      <c r="B210" s="119"/>
      <c r="C210" s="120"/>
    </row>
    <row r="211" spans="1:3">
      <c r="A211" s="5" t="s">
        <v>24</v>
      </c>
      <c r="B211" s="119"/>
      <c r="C211" s="120"/>
    </row>
    <row r="212" spans="1:3">
      <c r="A212" s="5" t="s">
        <v>24</v>
      </c>
      <c r="B212" s="119"/>
      <c r="C212" s="120"/>
    </row>
    <row r="213" spans="1:3">
      <c r="A213" s="5" t="s">
        <v>24</v>
      </c>
      <c r="B213" s="119"/>
      <c r="C213" s="120"/>
    </row>
    <row r="214" spans="1:3">
      <c r="A214" s="5" t="s">
        <v>24</v>
      </c>
      <c r="B214" s="119"/>
      <c r="C214" s="120"/>
    </row>
    <row r="215" spans="1:3">
      <c r="A215" s="5" t="s">
        <v>24</v>
      </c>
      <c r="B215" s="119"/>
      <c r="C215" s="120"/>
    </row>
    <row r="216" spans="1:3">
      <c r="A216" s="5" t="s">
        <v>24</v>
      </c>
      <c r="B216" s="119"/>
      <c r="C216" s="120"/>
    </row>
    <row r="217" spans="1:3">
      <c r="A217" s="5" t="s">
        <v>24</v>
      </c>
      <c r="B217" s="119"/>
      <c r="C217" s="120"/>
    </row>
    <row r="218" spans="1:3">
      <c r="A218" s="5" t="s">
        <v>24</v>
      </c>
      <c r="B218" s="119"/>
      <c r="C218" s="120"/>
    </row>
    <row r="219" spans="1:3">
      <c r="A219" s="5" t="s">
        <v>25</v>
      </c>
      <c r="B219" s="119"/>
      <c r="C219" s="120"/>
    </row>
    <row r="220" spans="1:3">
      <c r="A220" s="5" t="s">
        <v>25</v>
      </c>
      <c r="B220" s="119"/>
      <c r="C220" s="120"/>
    </row>
    <row r="221" spans="1:3">
      <c r="A221" s="5" t="s">
        <v>25</v>
      </c>
      <c r="B221" s="119"/>
      <c r="C221" s="120"/>
    </row>
    <row r="222" spans="1:3">
      <c r="A222" s="5" t="s">
        <v>25</v>
      </c>
      <c r="B222" s="119"/>
      <c r="C222" s="120"/>
    </row>
    <row r="223" spans="1:3">
      <c r="A223" s="5" t="s">
        <v>25</v>
      </c>
      <c r="B223" s="119"/>
      <c r="C223" s="120"/>
    </row>
    <row r="224" spans="1:3">
      <c r="A224" s="5" t="s">
        <v>25</v>
      </c>
      <c r="B224" s="119"/>
      <c r="C224" s="120"/>
    </row>
    <row r="225" spans="1:3">
      <c r="A225" s="5" t="s">
        <v>25</v>
      </c>
      <c r="B225" s="119"/>
      <c r="C225" s="120"/>
    </row>
    <row r="226" spans="1:3">
      <c r="A226" s="5" t="s">
        <v>25</v>
      </c>
      <c r="B226" s="119"/>
      <c r="C226" s="120"/>
    </row>
    <row r="227" spans="1:3">
      <c r="A227" s="5" t="s">
        <v>25</v>
      </c>
      <c r="B227" s="119"/>
      <c r="C227" s="120"/>
    </row>
    <row r="228" spans="1:3">
      <c r="A228" s="5" t="s">
        <v>25</v>
      </c>
      <c r="B228" s="119"/>
      <c r="C228" s="120"/>
    </row>
    <row r="229" spans="1:3">
      <c r="A229" s="5" t="s">
        <v>25</v>
      </c>
      <c r="B229" s="119"/>
      <c r="C229" s="120"/>
    </row>
    <row r="230" spans="1:3">
      <c r="A230" s="5" t="s">
        <v>25</v>
      </c>
      <c r="B230" s="119"/>
      <c r="C230" s="120"/>
    </row>
    <row r="231" spans="1:3">
      <c r="A231" s="5" t="s">
        <v>25</v>
      </c>
      <c r="B231" s="119"/>
      <c r="C231" s="120"/>
    </row>
    <row r="232" spans="1:3">
      <c r="A232" s="5" t="s">
        <v>25</v>
      </c>
      <c r="B232" s="119"/>
      <c r="C232" s="120"/>
    </row>
    <row r="233" spans="1:3">
      <c r="A233" s="5" t="s">
        <v>25</v>
      </c>
      <c r="B233" s="119"/>
      <c r="C233" s="120"/>
    </row>
    <row r="234" spans="1:3">
      <c r="A234" s="5" t="s">
        <v>25</v>
      </c>
      <c r="B234" s="119"/>
      <c r="C234" s="120"/>
    </row>
    <row r="235" spans="1:3">
      <c r="A235" s="5" t="s">
        <v>25</v>
      </c>
      <c r="B235" s="119"/>
      <c r="C235" s="120"/>
    </row>
    <row r="236" spans="1:3">
      <c r="A236" s="5" t="s">
        <v>25</v>
      </c>
      <c r="B236" s="119"/>
      <c r="C236" s="120"/>
    </row>
    <row r="237" spans="1:3">
      <c r="A237" s="5" t="s">
        <v>25</v>
      </c>
      <c r="B237" s="119"/>
      <c r="C237" s="120"/>
    </row>
    <row r="238" spans="1:3">
      <c r="A238" s="5" t="s">
        <v>25</v>
      </c>
      <c r="B238" s="119"/>
      <c r="C238" s="120"/>
    </row>
    <row r="239" spans="1:3">
      <c r="A239" s="5" t="s">
        <v>25</v>
      </c>
      <c r="B239" s="119"/>
      <c r="C239" s="120"/>
    </row>
    <row r="240" spans="1:3">
      <c r="A240" s="5" t="s">
        <v>25</v>
      </c>
      <c r="B240" s="119"/>
      <c r="C240" s="120"/>
    </row>
    <row r="241" spans="1:3">
      <c r="A241" s="5" t="s">
        <v>25</v>
      </c>
      <c r="B241" s="119"/>
      <c r="C241" s="120"/>
    </row>
    <row r="242" spans="1:3">
      <c r="A242" s="5" t="s">
        <v>25</v>
      </c>
      <c r="B242" s="119"/>
      <c r="C242" s="120"/>
    </row>
    <row r="243" spans="1:3">
      <c r="A243" s="5" t="s">
        <v>25</v>
      </c>
      <c r="B243" s="119"/>
      <c r="C243" s="120"/>
    </row>
    <row r="244" spans="1:3">
      <c r="A244" s="5" t="s">
        <v>25</v>
      </c>
      <c r="B244" s="119"/>
      <c r="C244" s="120"/>
    </row>
    <row r="245" spans="1:3">
      <c r="A245" s="5" t="s">
        <v>25</v>
      </c>
      <c r="B245" s="119"/>
      <c r="C245" s="120"/>
    </row>
    <row r="246" spans="1:3">
      <c r="A246" s="5" t="s">
        <v>25</v>
      </c>
      <c r="B246" s="119"/>
      <c r="C246" s="120"/>
    </row>
    <row r="247" spans="1:3">
      <c r="A247" s="5" t="s">
        <v>25</v>
      </c>
      <c r="B247" s="119"/>
      <c r="C247" s="120"/>
    </row>
    <row r="248" spans="1:3">
      <c r="A248" s="5" t="s">
        <v>25</v>
      </c>
      <c r="B248" s="119"/>
      <c r="C248" s="120"/>
    </row>
    <row r="249" spans="1:3">
      <c r="A249" s="5" t="s">
        <v>25</v>
      </c>
      <c r="B249" s="119"/>
      <c r="C249" s="120"/>
    </row>
    <row r="250" spans="1:3">
      <c r="A250" s="5" t="s">
        <v>36</v>
      </c>
      <c r="B250" s="119"/>
      <c r="C250" s="120"/>
    </row>
    <row r="251" spans="1:3">
      <c r="A251" s="5" t="s">
        <v>36</v>
      </c>
      <c r="B251" s="119"/>
      <c r="C251" s="120"/>
    </row>
    <row r="252" spans="1:3">
      <c r="A252" s="5" t="s">
        <v>36</v>
      </c>
      <c r="B252" s="119"/>
      <c r="C252" s="120"/>
    </row>
    <row r="253" spans="1:3">
      <c r="A253" s="5" t="s">
        <v>36</v>
      </c>
      <c r="B253" s="119"/>
      <c r="C253" s="120"/>
    </row>
    <row r="254" spans="1:3">
      <c r="A254" s="5" t="s">
        <v>36</v>
      </c>
      <c r="B254" s="119"/>
      <c r="C254" s="120"/>
    </row>
    <row r="255" spans="1:3">
      <c r="A255" s="5" t="s">
        <v>36</v>
      </c>
      <c r="B255" s="119"/>
      <c r="C255" s="120"/>
    </row>
    <row r="256" spans="1:3">
      <c r="A256" s="5" t="s">
        <v>36</v>
      </c>
      <c r="B256" s="119"/>
      <c r="C256" s="120"/>
    </row>
    <row r="257" spans="1:3">
      <c r="A257" s="5" t="s">
        <v>36</v>
      </c>
      <c r="B257" s="119"/>
      <c r="C257" s="120"/>
    </row>
    <row r="258" spans="1:3">
      <c r="A258" s="5" t="s">
        <v>36</v>
      </c>
      <c r="B258" s="119"/>
      <c r="C258" s="120"/>
    </row>
    <row r="259" spans="1:3">
      <c r="A259" s="5" t="s">
        <v>36</v>
      </c>
      <c r="B259" s="119"/>
      <c r="C259" s="120"/>
    </row>
    <row r="260" spans="1:3">
      <c r="A260" s="5" t="s">
        <v>36</v>
      </c>
      <c r="B260" s="119"/>
      <c r="C260" s="120"/>
    </row>
    <row r="261" spans="1:3">
      <c r="A261" s="5" t="s">
        <v>36</v>
      </c>
      <c r="B261" s="119"/>
      <c r="C261" s="120"/>
    </row>
    <row r="262" spans="1:3">
      <c r="A262" s="5" t="s">
        <v>36</v>
      </c>
      <c r="B262" s="119"/>
      <c r="C262" s="120"/>
    </row>
    <row r="263" spans="1:3">
      <c r="A263" s="5" t="s">
        <v>36</v>
      </c>
      <c r="B263" s="119"/>
      <c r="C263" s="120"/>
    </row>
    <row r="264" spans="1:3">
      <c r="A264" s="5" t="s">
        <v>36</v>
      </c>
      <c r="B264" s="119"/>
      <c r="C264" s="120"/>
    </row>
    <row r="265" spans="1:3">
      <c r="A265" s="5" t="s">
        <v>36</v>
      </c>
      <c r="B265" s="119"/>
      <c r="C265" s="120"/>
    </row>
    <row r="266" spans="1:3">
      <c r="A266" s="5" t="s">
        <v>36</v>
      </c>
      <c r="B266" s="119"/>
      <c r="C266" s="120"/>
    </row>
    <row r="267" spans="1:3">
      <c r="A267" s="5" t="s">
        <v>36</v>
      </c>
      <c r="B267" s="119"/>
      <c r="C267" s="120"/>
    </row>
    <row r="268" spans="1:3">
      <c r="A268" s="5" t="s">
        <v>36</v>
      </c>
      <c r="B268" s="119"/>
      <c r="C268" s="120"/>
    </row>
    <row r="269" spans="1:3">
      <c r="A269" s="5" t="s">
        <v>36</v>
      </c>
      <c r="B269" s="119"/>
      <c r="C269" s="120"/>
    </row>
    <row r="270" spans="1:3">
      <c r="A270" s="5" t="s">
        <v>36</v>
      </c>
      <c r="B270" s="119"/>
      <c r="C270" s="120"/>
    </row>
    <row r="271" spans="1:3">
      <c r="A271" s="5" t="s">
        <v>36</v>
      </c>
      <c r="B271" s="119"/>
      <c r="C271" s="120"/>
    </row>
    <row r="272" spans="1:3">
      <c r="A272" s="5" t="s">
        <v>36</v>
      </c>
      <c r="B272" s="119"/>
      <c r="C272" s="120"/>
    </row>
    <row r="273" spans="1:3">
      <c r="A273" s="5" t="s">
        <v>36</v>
      </c>
      <c r="B273" s="119"/>
      <c r="C273" s="120"/>
    </row>
    <row r="274" spans="1:3">
      <c r="A274" s="5" t="s">
        <v>36</v>
      </c>
      <c r="B274" s="119"/>
      <c r="C274" s="120"/>
    </row>
    <row r="275" spans="1:3">
      <c r="A275" s="5" t="s">
        <v>36</v>
      </c>
      <c r="B275" s="119"/>
      <c r="C275" s="120"/>
    </row>
    <row r="276" spans="1:3">
      <c r="A276" s="5" t="s">
        <v>36</v>
      </c>
      <c r="B276" s="119"/>
      <c r="C276" s="120"/>
    </row>
    <row r="277" spans="1:3">
      <c r="A277" s="5" t="s">
        <v>36</v>
      </c>
      <c r="B277" s="119"/>
      <c r="C277" s="120"/>
    </row>
    <row r="278" spans="1:3">
      <c r="A278" s="5" t="s">
        <v>36</v>
      </c>
      <c r="B278" s="119"/>
      <c r="C278" s="120"/>
    </row>
    <row r="279" spans="1:3">
      <c r="A279" s="5" t="s">
        <v>36</v>
      </c>
      <c r="B279" s="119"/>
      <c r="C279" s="120"/>
    </row>
    <row r="280" spans="1:3">
      <c r="A280" s="5" t="s">
        <v>36</v>
      </c>
      <c r="B280" s="119"/>
      <c r="C280" s="120"/>
    </row>
    <row r="281" spans="1:3">
      <c r="A281" s="5" t="s">
        <v>38</v>
      </c>
      <c r="B281" s="119"/>
      <c r="C281" s="120"/>
    </row>
    <row r="282" spans="1:3">
      <c r="A282" s="5" t="s">
        <v>38</v>
      </c>
      <c r="B282" s="119"/>
      <c r="C282" s="120"/>
    </row>
    <row r="283" spans="1:3">
      <c r="A283" s="5" t="s">
        <v>38</v>
      </c>
      <c r="B283" s="119"/>
      <c r="C283" s="120"/>
    </row>
    <row r="284" spans="1:3">
      <c r="A284" s="5" t="s">
        <v>38</v>
      </c>
      <c r="B284" s="119"/>
      <c r="C284" s="120"/>
    </row>
    <row r="285" spans="1:3">
      <c r="A285" s="5" t="s">
        <v>38</v>
      </c>
      <c r="B285" s="119"/>
      <c r="C285" s="120"/>
    </row>
    <row r="286" spans="1:3">
      <c r="A286" s="5" t="s">
        <v>38</v>
      </c>
      <c r="B286" s="119"/>
      <c r="C286" s="120"/>
    </row>
    <row r="287" spans="1:3">
      <c r="A287" s="5" t="s">
        <v>38</v>
      </c>
      <c r="B287" s="119"/>
      <c r="C287" s="120"/>
    </row>
    <row r="288" spans="1:3">
      <c r="A288" s="5" t="s">
        <v>38</v>
      </c>
      <c r="B288" s="119"/>
      <c r="C288" s="120"/>
    </row>
    <row r="289" spans="1:3">
      <c r="A289" s="5" t="s">
        <v>38</v>
      </c>
      <c r="B289" s="119"/>
      <c r="C289" s="120"/>
    </row>
    <row r="290" spans="1:3">
      <c r="A290" s="5" t="s">
        <v>38</v>
      </c>
      <c r="B290" s="119"/>
      <c r="C290" s="120"/>
    </row>
    <row r="291" spans="1:3">
      <c r="A291" s="5" t="s">
        <v>38</v>
      </c>
      <c r="B291" s="119"/>
      <c r="C291" s="120"/>
    </row>
    <row r="292" spans="1:3">
      <c r="A292" s="5" t="s">
        <v>38</v>
      </c>
      <c r="B292" s="119"/>
      <c r="C292" s="120"/>
    </row>
    <row r="293" spans="1:3">
      <c r="A293" s="5" t="s">
        <v>38</v>
      </c>
      <c r="B293" s="119"/>
      <c r="C293" s="120"/>
    </row>
    <row r="294" spans="1:3">
      <c r="A294" s="5" t="s">
        <v>38</v>
      </c>
      <c r="B294" s="119"/>
      <c r="C294" s="120"/>
    </row>
    <row r="295" spans="1:3">
      <c r="A295" s="5" t="s">
        <v>38</v>
      </c>
      <c r="B295" s="119"/>
      <c r="C295" s="120"/>
    </row>
    <row r="296" spans="1:3">
      <c r="A296" s="5" t="s">
        <v>38</v>
      </c>
      <c r="B296" s="119"/>
      <c r="C296" s="120"/>
    </row>
    <row r="297" spans="1:3">
      <c r="A297" s="5" t="s">
        <v>38</v>
      </c>
      <c r="B297" s="119"/>
      <c r="C297" s="120"/>
    </row>
    <row r="298" spans="1:3">
      <c r="A298" s="5" t="s">
        <v>38</v>
      </c>
      <c r="B298" s="119"/>
      <c r="C298" s="120"/>
    </row>
    <row r="299" spans="1:3">
      <c r="A299" s="5" t="s">
        <v>38</v>
      </c>
      <c r="B299" s="119"/>
      <c r="C299" s="120"/>
    </row>
    <row r="300" spans="1:3">
      <c r="A300" s="5" t="s">
        <v>38</v>
      </c>
      <c r="B300" s="119"/>
      <c r="C300" s="120"/>
    </row>
    <row r="301" spans="1:3">
      <c r="A301" s="5" t="s">
        <v>38</v>
      </c>
      <c r="B301" s="119"/>
      <c r="C301" s="120"/>
    </row>
    <row r="302" spans="1:3">
      <c r="A302" s="5" t="s">
        <v>38</v>
      </c>
      <c r="B302" s="119"/>
      <c r="C302" s="120"/>
    </row>
    <row r="303" spans="1:3">
      <c r="A303" s="5" t="s">
        <v>38</v>
      </c>
      <c r="B303" s="119"/>
      <c r="C303" s="120"/>
    </row>
    <row r="304" spans="1:3">
      <c r="A304" s="5" t="s">
        <v>38</v>
      </c>
      <c r="B304" s="119"/>
      <c r="C304" s="120"/>
    </row>
    <row r="305" spans="1:3">
      <c r="A305" s="5" t="s">
        <v>38</v>
      </c>
      <c r="B305" s="119"/>
      <c r="C305" s="120"/>
    </row>
    <row r="306" spans="1:3">
      <c r="A306" s="5" t="s">
        <v>38</v>
      </c>
      <c r="B306" s="119"/>
      <c r="C306" s="120"/>
    </row>
    <row r="307" spans="1:3">
      <c r="A307" s="5" t="s">
        <v>38</v>
      </c>
      <c r="B307" s="119"/>
      <c r="C307" s="120"/>
    </row>
    <row r="308" spans="1:3">
      <c r="A308" s="5" t="s">
        <v>38</v>
      </c>
      <c r="B308" s="119"/>
      <c r="C308" s="120"/>
    </row>
    <row r="309" spans="1:3">
      <c r="A309" s="5" t="s">
        <v>38</v>
      </c>
      <c r="B309" s="119"/>
      <c r="C309" s="120"/>
    </row>
    <row r="310" spans="1:3">
      <c r="A310" s="5" t="s">
        <v>38</v>
      </c>
      <c r="B310" s="119"/>
      <c r="C310" s="120"/>
    </row>
    <row r="311" spans="1:3">
      <c r="A311" s="5" t="s">
        <v>38</v>
      </c>
      <c r="B311" s="119"/>
      <c r="C311" s="120"/>
    </row>
    <row r="312" spans="1:3">
      <c r="A312" s="5" t="s">
        <v>39</v>
      </c>
      <c r="B312" s="119"/>
      <c r="C312" s="120"/>
    </row>
    <row r="313" spans="1:3">
      <c r="A313" s="5" t="s">
        <v>39</v>
      </c>
      <c r="B313" s="119"/>
      <c r="C313" s="120"/>
    </row>
    <row r="314" spans="1:3">
      <c r="A314" s="5" t="s">
        <v>39</v>
      </c>
      <c r="B314" s="119"/>
      <c r="C314" s="120"/>
    </row>
    <row r="315" spans="1:3">
      <c r="A315" s="5" t="s">
        <v>39</v>
      </c>
      <c r="B315" s="119"/>
      <c r="C315" s="120"/>
    </row>
    <row r="316" spans="1:3">
      <c r="A316" s="5" t="s">
        <v>39</v>
      </c>
      <c r="B316" s="119"/>
      <c r="C316" s="120"/>
    </row>
    <row r="317" spans="1:3">
      <c r="A317" s="5" t="s">
        <v>39</v>
      </c>
      <c r="B317" s="119"/>
      <c r="C317" s="120"/>
    </row>
    <row r="318" spans="1:3">
      <c r="A318" s="5" t="s">
        <v>39</v>
      </c>
      <c r="B318" s="119"/>
      <c r="C318" s="120"/>
    </row>
    <row r="319" spans="1:3">
      <c r="A319" s="5" t="s">
        <v>39</v>
      </c>
      <c r="B319" s="119"/>
      <c r="C319" s="120"/>
    </row>
    <row r="320" spans="1:3">
      <c r="A320" s="5" t="s">
        <v>39</v>
      </c>
      <c r="B320" s="119"/>
      <c r="C320" s="120"/>
    </row>
    <row r="321" spans="1:3">
      <c r="A321" s="5" t="s">
        <v>39</v>
      </c>
      <c r="B321" s="119"/>
      <c r="C321" s="120"/>
    </row>
    <row r="322" spans="1:3">
      <c r="A322" s="5" t="s">
        <v>39</v>
      </c>
      <c r="B322" s="119"/>
      <c r="C322" s="120"/>
    </row>
    <row r="323" spans="1:3">
      <c r="A323" s="5" t="s">
        <v>39</v>
      </c>
      <c r="B323" s="119"/>
      <c r="C323" s="120"/>
    </row>
    <row r="324" spans="1:3">
      <c r="A324" s="5" t="s">
        <v>39</v>
      </c>
      <c r="B324" s="119"/>
      <c r="C324" s="120"/>
    </row>
    <row r="325" spans="1:3">
      <c r="A325" s="5" t="s">
        <v>39</v>
      </c>
      <c r="B325" s="119"/>
      <c r="C325" s="120"/>
    </row>
    <row r="326" spans="1:3">
      <c r="A326" s="5" t="s">
        <v>39</v>
      </c>
      <c r="B326" s="119"/>
      <c r="C326" s="120"/>
    </row>
    <row r="327" spans="1:3">
      <c r="A327" s="5" t="s">
        <v>39</v>
      </c>
      <c r="B327" s="119"/>
      <c r="C327" s="120"/>
    </row>
    <row r="328" spans="1:3">
      <c r="A328" s="5" t="s">
        <v>39</v>
      </c>
      <c r="B328" s="119"/>
      <c r="C328" s="120"/>
    </row>
    <row r="329" spans="1:3">
      <c r="A329" s="5" t="s">
        <v>39</v>
      </c>
      <c r="B329" s="119"/>
      <c r="C329" s="120"/>
    </row>
    <row r="330" spans="1:3">
      <c r="A330" s="5" t="s">
        <v>39</v>
      </c>
      <c r="B330" s="119"/>
      <c r="C330" s="120"/>
    </row>
    <row r="331" spans="1:3">
      <c r="A331" s="5" t="s">
        <v>39</v>
      </c>
      <c r="B331" s="119"/>
      <c r="C331" s="120"/>
    </row>
    <row r="332" spans="1:3">
      <c r="A332" s="5" t="s">
        <v>39</v>
      </c>
      <c r="B332" s="119"/>
      <c r="C332" s="120"/>
    </row>
    <row r="333" spans="1:3">
      <c r="A333" s="5" t="s">
        <v>39</v>
      </c>
      <c r="B333" s="119"/>
      <c r="C333" s="120"/>
    </row>
    <row r="334" spans="1:3">
      <c r="A334" s="5" t="s">
        <v>39</v>
      </c>
      <c r="B334" s="119"/>
      <c r="C334" s="120"/>
    </row>
    <row r="335" spans="1:3">
      <c r="A335" s="5" t="s">
        <v>39</v>
      </c>
      <c r="B335" s="119"/>
      <c r="C335" s="120"/>
    </row>
    <row r="336" spans="1:3">
      <c r="A336" s="5" t="s">
        <v>39</v>
      </c>
      <c r="B336" s="119"/>
      <c r="C336" s="120"/>
    </row>
    <row r="337" spans="1:3">
      <c r="A337" s="5" t="s">
        <v>39</v>
      </c>
      <c r="B337" s="119"/>
      <c r="C337" s="120"/>
    </row>
    <row r="338" spans="1:3">
      <c r="A338" s="5" t="s">
        <v>39</v>
      </c>
      <c r="B338" s="119"/>
      <c r="C338" s="120"/>
    </row>
    <row r="339" spans="1:3">
      <c r="A339" s="5" t="s">
        <v>39</v>
      </c>
      <c r="B339" s="119"/>
      <c r="C339" s="120"/>
    </row>
    <row r="340" spans="1:3">
      <c r="A340" s="5" t="s">
        <v>39</v>
      </c>
      <c r="B340" s="119"/>
      <c r="C340" s="120"/>
    </row>
    <row r="341" spans="1:3">
      <c r="A341" s="5" t="s">
        <v>39</v>
      </c>
      <c r="B341" s="119"/>
      <c r="C341" s="120"/>
    </row>
    <row r="342" spans="1:3">
      <c r="A342" s="5" t="s">
        <v>39</v>
      </c>
      <c r="B342" s="119"/>
      <c r="C342" s="120"/>
    </row>
    <row r="343" spans="1:3">
      <c r="A343" s="5" t="s">
        <v>40</v>
      </c>
      <c r="B343" s="119"/>
      <c r="C343" s="120"/>
    </row>
    <row r="344" spans="1:3">
      <c r="A344" s="5" t="s">
        <v>40</v>
      </c>
      <c r="B344" s="119"/>
      <c r="C344" s="120"/>
    </row>
    <row r="345" spans="1:3">
      <c r="A345" s="5" t="s">
        <v>40</v>
      </c>
      <c r="B345" s="119"/>
      <c r="C345" s="120"/>
    </row>
    <row r="346" spans="1:3">
      <c r="A346" s="5" t="s">
        <v>40</v>
      </c>
      <c r="B346" s="119"/>
      <c r="C346" s="120"/>
    </row>
    <row r="347" spans="1:3">
      <c r="A347" s="5" t="s">
        <v>40</v>
      </c>
      <c r="B347" s="119"/>
      <c r="C347" s="120"/>
    </row>
    <row r="348" spans="1:3">
      <c r="A348" s="5" t="s">
        <v>40</v>
      </c>
      <c r="B348" s="119"/>
      <c r="C348" s="120"/>
    </row>
    <row r="349" spans="1:3">
      <c r="A349" s="5" t="s">
        <v>40</v>
      </c>
      <c r="B349" s="119"/>
      <c r="C349" s="120"/>
    </row>
    <row r="350" spans="1:3">
      <c r="A350" s="5" t="s">
        <v>40</v>
      </c>
      <c r="B350" s="119"/>
      <c r="C350" s="120"/>
    </row>
    <row r="351" spans="1:3">
      <c r="A351" s="5" t="s">
        <v>40</v>
      </c>
      <c r="B351" s="119"/>
      <c r="C351" s="120"/>
    </row>
    <row r="352" spans="1:3">
      <c r="A352" s="5" t="s">
        <v>40</v>
      </c>
      <c r="B352" s="119"/>
      <c r="C352" s="120"/>
    </row>
    <row r="353" spans="1:3">
      <c r="A353" s="5" t="s">
        <v>40</v>
      </c>
      <c r="B353" s="119"/>
      <c r="C353" s="120"/>
    </row>
    <row r="354" spans="1:3">
      <c r="A354" s="5" t="s">
        <v>40</v>
      </c>
      <c r="B354" s="119"/>
      <c r="C354" s="120"/>
    </row>
    <row r="355" spans="1:3">
      <c r="A355" s="5" t="s">
        <v>40</v>
      </c>
      <c r="B355" s="119"/>
      <c r="C355" s="120"/>
    </row>
    <row r="356" spans="1:3">
      <c r="A356" s="5" t="s">
        <v>40</v>
      </c>
      <c r="B356" s="119"/>
      <c r="C356" s="120"/>
    </row>
    <row r="357" spans="1:3">
      <c r="A357" s="5" t="s">
        <v>40</v>
      </c>
      <c r="B357" s="119"/>
      <c r="C357" s="120"/>
    </row>
    <row r="358" spans="1:3">
      <c r="A358" s="5" t="s">
        <v>40</v>
      </c>
      <c r="B358" s="119"/>
      <c r="C358" s="120"/>
    </row>
    <row r="359" spans="1:3">
      <c r="A359" s="5" t="s">
        <v>40</v>
      </c>
      <c r="B359" s="119"/>
      <c r="C359" s="120"/>
    </row>
    <row r="360" spans="1:3">
      <c r="A360" s="5" t="s">
        <v>40</v>
      </c>
      <c r="B360" s="119"/>
      <c r="C360" s="120"/>
    </row>
    <row r="361" spans="1:3">
      <c r="A361" s="5" t="s">
        <v>40</v>
      </c>
      <c r="B361" s="119"/>
      <c r="C361" s="120"/>
    </row>
    <row r="362" spans="1:3">
      <c r="A362" s="5" t="s">
        <v>40</v>
      </c>
      <c r="B362" s="119"/>
      <c r="C362" s="120"/>
    </row>
    <row r="363" spans="1:3">
      <c r="A363" s="5" t="s">
        <v>40</v>
      </c>
      <c r="B363" s="119"/>
      <c r="C363" s="120"/>
    </row>
    <row r="364" spans="1:3">
      <c r="A364" s="5" t="s">
        <v>40</v>
      </c>
      <c r="B364" s="119"/>
      <c r="C364" s="120"/>
    </row>
    <row r="365" spans="1:3">
      <c r="A365" s="5" t="s">
        <v>40</v>
      </c>
      <c r="B365" s="119"/>
      <c r="C365" s="120"/>
    </row>
    <row r="366" spans="1:3">
      <c r="A366" s="5" t="s">
        <v>40</v>
      </c>
      <c r="B366" s="119"/>
      <c r="C366" s="120"/>
    </row>
    <row r="367" spans="1:3">
      <c r="A367" s="5" t="s">
        <v>40</v>
      </c>
      <c r="B367" s="119"/>
      <c r="C367" s="120"/>
    </row>
    <row r="368" spans="1:3">
      <c r="A368" s="5" t="s">
        <v>40</v>
      </c>
      <c r="B368" s="119"/>
      <c r="C368" s="120"/>
    </row>
    <row r="369" spans="1:3">
      <c r="A369" s="5" t="s">
        <v>40</v>
      </c>
      <c r="B369" s="119"/>
      <c r="C369" s="120"/>
    </row>
    <row r="370" spans="1:3">
      <c r="A370" s="5" t="s">
        <v>40</v>
      </c>
      <c r="B370" s="119"/>
      <c r="C370" s="120"/>
    </row>
    <row r="371" spans="1:3">
      <c r="A371" s="5" t="s">
        <v>40</v>
      </c>
      <c r="B371" s="119"/>
      <c r="C371" s="120"/>
    </row>
    <row r="372" spans="1:3">
      <c r="A372" s="5" t="s">
        <v>40</v>
      </c>
      <c r="B372" s="119"/>
      <c r="C372" s="120"/>
    </row>
    <row r="373" spans="1:3">
      <c r="A373" s="5" t="s">
        <v>40</v>
      </c>
      <c r="B373" s="119"/>
      <c r="C373" s="120"/>
    </row>
    <row r="374" spans="1:3">
      <c r="A374" s="5" t="s">
        <v>41</v>
      </c>
      <c r="B374" s="119"/>
      <c r="C374" s="120"/>
    </row>
    <row r="375" spans="1:3">
      <c r="A375" s="5" t="s">
        <v>41</v>
      </c>
      <c r="B375" s="119"/>
      <c r="C375" s="120"/>
    </row>
    <row r="376" spans="1:3">
      <c r="A376" s="5" t="s">
        <v>41</v>
      </c>
      <c r="B376" s="119"/>
      <c r="C376" s="120"/>
    </row>
    <row r="377" spans="1:3">
      <c r="A377" s="5" t="s">
        <v>41</v>
      </c>
      <c r="B377" s="119"/>
      <c r="C377" s="120"/>
    </row>
    <row r="378" spans="1:3">
      <c r="A378" s="5" t="s">
        <v>41</v>
      </c>
      <c r="B378" s="119"/>
      <c r="C378" s="120"/>
    </row>
    <row r="379" spans="1:3">
      <c r="A379" s="5" t="s">
        <v>41</v>
      </c>
      <c r="B379" s="119"/>
      <c r="C379" s="120"/>
    </row>
    <row r="380" spans="1:3">
      <c r="A380" s="5" t="s">
        <v>41</v>
      </c>
      <c r="B380" s="119"/>
      <c r="C380" s="120"/>
    </row>
    <row r="381" spans="1:3">
      <c r="A381" s="5" t="s">
        <v>41</v>
      </c>
      <c r="B381" s="119"/>
      <c r="C381" s="120"/>
    </row>
    <row r="382" spans="1:3">
      <c r="A382" s="5" t="s">
        <v>41</v>
      </c>
      <c r="B382" s="119"/>
      <c r="C382" s="120"/>
    </row>
    <row r="383" spans="1:3">
      <c r="A383" s="5" t="s">
        <v>41</v>
      </c>
      <c r="B383" s="119"/>
      <c r="C383" s="120"/>
    </row>
    <row r="384" spans="1:3">
      <c r="A384" s="5" t="s">
        <v>41</v>
      </c>
      <c r="B384" s="119"/>
      <c r="C384" s="120"/>
    </row>
    <row r="385" spans="1:3">
      <c r="A385" s="5" t="s">
        <v>41</v>
      </c>
      <c r="B385" s="119"/>
      <c r="C385" s="120"/>
    </row>
    <row r="386" spans="1:3">
      <c r="A386" s="5" t="s">
        <v>41</v>
      </c>
      <c r="B386" s="119"/>
      <c r="C386" s="120"/>
    </row>
    <row r="387" spans="1:3">
      <c r="A387" s="5" t="s">
        <v>41</v>
      </c>
      <c r="B387" s="119"/>
      <c r="C387" s="120"/>
    </row>
    <row r="388" spans="1:3">
      <c r="A388" s="5" t="s">
        <v>41</v>
      </c>
      <c r="B388" s="119"/>
      <c r="C388" s="120"/>
    </row>
    <row r="389" spans="1:3">
      <c r="A389" s="5" t="s">
        <v>41</v>
      </c>
      <c r="B389" s="119"/>
      <c r="C389" s="120"/>
    </row>
    <row r="390" spans="1:3">
      <c r="A390" s="5" t="s">
        <v>41</v>
      </c>
      <c r="B390" s="119"/>
      <c r="C390" s="120"/>
    </row>
    <row r="391" spans="1:3">
      <c r="A391" s="5" t="s">
        <v>41</v>
      </c>
      <c r="B391" s="119"/>
      <c r="C391" s="120"/>
    </row>
    <row r="392" spans="1:3">
      <c r="A392" s="5" t="s">
        <v>41</v>
      </c>
      <c r="B392" s="119"/>
      <c r="C392" s="120"/>
    </row>
    <row r="393" spans="1:3">
      <c r="A393" s="5" t="s">
        <v>41</v>
      </c>
      <c r="B393" s="119"/>
      <c r="C393" s="120"/>
    </row>
    <row r="394" spans="1:3">
      <c r="A394" s="5" t="s">
        <v>41</v>
      </c>
      <c r="B394" s="119"/>
      <c r="C394" s="120"/>
    </row>
    <row r="395" spans="1:3">
      <c r="A395" s="5" t="s">
        <v>41</v>
      </c>
      <c r="B395" s="119"/>
      <c r="C395" s="120"/>
    </row>
    <row r="396" spans="1:3">
      <c r="A396" s="5" t="s">
        <v>41</v>
      </c>
      <c r="B396" s="119"/>
      <c r="C396" s="120"/>
    </row>
    <row r="397" spans="1:3">
      <c r="A397" s="5" t="s">
        <v>41</v>
      </c>
      <c r="B397" s="119"/>
      <c r="C397" s="120"/>
    </row>
    <row r="398" spans="1:3">
      <c r="A398" s="5" t="s">
        <v>41</v>
      </c>
      <c r="B398" s="119"/>
      <c r="C398" s="120"/>
    </row>
    <row r="399" spans="1:3">
      <c r="A399" s="5" t="s">
        <v>41</v>
      </c>
      <c r="B399" s="119"/>
      <c r="C399" s="120"/>
    </row>
    <row r="400" spans="1:3">
      <c r="A400" s="5" t="s">
        <v>41</v>
      </c>
      <c r="B400" s="119"/>
      <c r="C400" s="120"/>
    </row>
    <row r="401" spans="1:3">
      <c r="A401" s="5" t="s">
        <v>41</v>
      </c>
      <c r="B401" s="119"/>
      <c r="C401" s="120"/>
    </row>
    <row r="402" spans="1:3">
      <c r="A402" s="5" t="s">
        <v>41</v>
      </c>
      <c r="B402" s="119"/>
      <c r="C402" s="120"/>
    </row>
    <row r="403" spans="1:3">
      <c r="A403" s="5" t="s">
        <v>41</v>
      </c>
      <c r="B403" s="119"/>
      <c r="C403" s="120"/>
    </row>
    <row r="404" spans="1:3">
      <c r="A404" s="5" t="s">
        <v>41</v>
      </c>
      <c r="B404" s="119"/>
      <c r="C404" s="120"/>
    </row>
    <row r="405" spans="1:3">
      <c r="A405" s="5" t="s">
        <v>43</v>
      </c>
      <c r="B405" s="119"/>
      <c r="C405" s="120"/>
    </row>
    <row r="406" spans="1:3">
      <c r="A406" s="5" t="s">
        <v>43</v>
      </c>
      <c r="B406" s="119"/>
      <c r="C406" s="120"/>
    </row>
    <row r="407" spans="1:3">
      <c r="A407" s="5" t="s">
        <v>43</v>
      </c>
      <c r="B407" s="119"/>
      <c r="C407" s="120"/>
    </row>
    <row r="408" spans="1:3">
      <c r="A408" s="5" t="s">
        <v>43</v>
      </c>
      <c r="B408" s="119"/>
      <c r="C408" s="120"/>
    </row>
    <row r="409" spans="1:3">
      <c r="A409" s="5" t="s">
        <v>43</v>
      </c>
      <c r="B409" s="119"/>
      <c r="C409" s="120"/>
    </row>
    <row r="410" spans="1:3">
      <c r="A410" s="5" t="s">
        <v>43</v>
      </c>
      <c r="B410" s="119"/>
      <c r="C410" s="120"/>
    </row>
    <row r="411" spans="1:3">
      <c r="A411" s="5" t="s">
        <v>43</v>
      </c>
      <c r="B411" s="119"/>
      <c r="C411" s="120"/>
    </row>
    <row r="412" spans="1:3">
      <c r="A412" s="5" t="s">
        <v>43</v>
      </c>
      <c r="B412" s="119"/>
      <c r="C412" s="120"/>
    </row>
    <row r="413" spans="1:3">
      <c r="A413" s="5" t="s">
        <v>43</v>
      </c>
      <c r="B413" s="119"/>
      <c r="C413" s="120"/>
    </row>
    <row r="414" spans="1:3">
      <c r="A414" s="5" t="s">
        <v>43</v>
      </c>
      <c r="B414" s="119"/>
      <c r="C414" s="120"/>
    </row>
    <row r="415" spans="1:3">
      <c r="A415" s="5" t="s">
        <v>43</v>
      </c>
      <c r="B415" s="119"/>
      <c r="C415" s="120"/>
    </row>
    <row r="416" spans="1:3">
      <c r="A416" s="5" t="s">
        <v>43</v>
      </c>
      <c r="B416" s="119"/>
      <c r="C416" s="120"/>
    </row>
    <row r="417" spans="1:3">
      <c r="A417" s="5" t="s">
        <v>43</v>
      </c>
      <c r="B417" s="119"/>
      <c r="C417" s="120"/>
    </row>
    <row r="418" spans="1:3">
      <c r="A418" s="5" t="s">
        <v>43</v>
      </c>
      <c r="B418" s="119"/>
      <c r="C418" s="120"/>
    </row>
    <row r="419" spans="1:3">
      <c r="A419" s="5" t="s">
        <v>43</v>
      </c>
      <c r="B419" s="119"/>
      <c r="C419" s="120"/>
    </row>
    <row r="420" spans="1:3">
      <c r="A420" s="5" t="s">
        <v>43</v>
      </c>
      <c r="B420" s="119"/>
      <c r="C420" s="120"/>
    </row>
    <row r="421" spans="1:3">
      <c r="A421" s="5" t="s">
        <v>43</v>
      </c>
      <c r="B421" s="119"/>
      <c r="C421" s="120"/>
    </row>
    <row r="422" spans="1:3">
      <c r="A422" s="5" t="s">
        <v>43</v>
      </c>
      <c r="B422" s="119"/>
      <c r="C422" s="120"/>
    </row>
    <row r="423" spans="1:3">
      <c r="A423" s="5" t="s">
        <v>43</v>
      </c>
      <c r="B423" s="119"/>
      <c r="C423" s="120"/>
    </row>
    <row r="424" spans="1:3">
      <c r="A424" s="5" t="s">
        <v>43</v>
      </c>
      <c r="B424" s="119"/>
      <c r="C424" s="120"/>
    </row>
    <row r="425" spans="1:3">
      <c r="A425" s="5" t="s">
        <v>43</v>
      </c>
      <c r="B425" s="119"/>
      <c r="C425" s="120"/>
    </row>
    <row r="426" spans="1:3">
      <c r="A426" s="5" t="s">
        <v>43</v>
      </c>
      <c r="B426" s="119"/>
      <c r="C426" s="120"/>
    </row>
    <row r="427" spans="1:3">
      <c r="A427" s="5" t="s">
        <v>43</v>
      </c>
      <c r="B427" s="119"/>
      <c r="C427" s="120"/>
    </row>
    <row r="428" spans="1:3">
      <c r="A428" s="5" t="s">
        <v>43</v>
      </c>
      <c r="B428" s="119"/>
      <c r="C428" s="120"/>
    </row>
    <row r="429" spans="1:3">
      <c r="A429" s="5" t="s">
        <v>43</v>
      </c>
      <c r="B429" s="119"/>
      <c r="C429" s="120"/>
    </row>
    <row r="430" spans="1:3">
      <c r="A430" s="5" t="s">
        <v>43</v>
      </c>
      <c r="B430" s="119"/>
      <c r="C430" s="120"/>
    </row>
    <row r="431" spans="1:3">
      <c r="A431" s="5" t="s">
        <v>43</v>
      </c>
      <c r="B431" s="119"/>
      <c r="C431" s="120"/>
    </row>
    <row r="432" spans="1:3">
      <c r="A432" s="5" t="s">
        <v>43</v>
      </c>
      <c r="B432" s="119"/>
      <c r="C432" s="120"/>
    </row>
    <row r="433" spans="1:3">
      <c r="A433" s="5" t="s">
        <v>43</v>
      </c>
      <c r="B433" s="119"/>
      <c r="C433" s="120"/>
    </row>
    <row r="434" spans="1:3">
      <c r="A434" s="5" t="s">
        <v>43</v>
      </c>
      <c r="B434" s="119"/>
      <c r="C434" s="120"/>
    </row>
    <row r="435" spans="1:3">
      <c r="A435" s="5" t="s">
        <v>43</v>
      </c>
      <c r="B435" s="119"/>
      <c r="C435" s="120"/>
    </row>
    <row r="436" spans="1:3">
      <c r="A436" s="5" t="s">
        <v>45</v>
      </c>
      <c r="B436" s="119"/>
      <c r="C436" s="120"/>
    </row>
    <row r="437" spans="1:3">
      <c r="A437" s="5" t="s">
        <v>45</v>
      </c>
      <c r="B437" s="119"/>
      <c r="C437" s="120"/>
    </row>
    <row r="438" spans="1:3">
      <c r="A438" s="5" t="s">
        <v>45</v>
      </c>
      <c r="B438" s="119"/>
      <c r="C438" s="120"/>
    </row>
    <row r="439" spans="1:3">
      <c r="A439" s="5" t="s">
        <v>45</v>
      </c>
      <c r="B439" s="119"/>
      <c r="C439" s="120"/>
    </row>
    <row r="440" spans="1:3">
      <c r="A440" s="5" t="s">
        <v>45</v>
      </c>
      <c r="B440" s="119"/>
      <c r="C440" s="120"/>
    </row>
    <row r="441" spans="1:3">
      <c r="A441" s="5" t="s">
        <v>45</v>
      </c>
      <c r="B441" s="119"/>
      <c r="C441" s="120"/>
    </row>
    <row r="442" spans="1:3">
      <c r="A442" s="5" t="s">
        <v>45</v>
      </c>
      <c r="B442" s="119"/>
      <c r="C442" s="120"/>
    </row>
    <row r="443" spans="1:3">
      <c r="A443" s="5" t="s">
        <v>45</v>
      </c>
      <c r="B443" s="119"/>
      <c r="C443" s="120"/>
    </row>
    <row r="444" spans="1:3">
      <c r="A444" s="5" t="s">
        <v>45</v>
      </c>
      <c r="B444" s="119"/>
      <c r="C444" s="120"/>
    </row>
    <row r="445" spans="1:3">
      <c r="A445" s="5" t="s">
        <v>45</v>
      </c>
      <c r="B445" s="119"/>
      <c r="C445" s="120"/>
    </row>
    <row r="446" spans="1:3">
      <c r="A446" s="5" t="s">
        <v>45</v>
      </c>
      <c r="B446" s="119"/>
      <c r="C446" s="120"/>
    </row>
    <row r="447" spans="1:3">
      <c r="A447" s="5" t="s">
        <v>45</v>
      </c>
      <c r="B447" s="119"/>
      <c r="C447" s="120"/>
    </row>
    <row r="448" spans="1:3">
      <c r="A448" s="5" t="s">
        <v>45</v>
      </c>
      <c r="B448" s="119"/>
      <c r="C448" s="120"/>
    </row>
    <row r="449" spans="1:3">
      <c r="A449" s="5" t="s">
        <v>45</v>
      </c>
      <c r="B449" s="119"/>
      <c r="C449" s="120"/>
    </row>
    <row r="450" spans="1:3">
      <c r="A450" s="5" t="s">
        <v>45</v>
      </c>
      <c r="B450" s="119"/>
      <c r="C450" s="120"/>
    </row>
    <row r="451" spans="1:3">
      <c r="A451" s="5" t="s">
        <v>45</v>
      </c>
      <c r="B451" s="119"/>
      <c r="C451" s="120"/>
    </row>
    <row r="452" spans="1:3">
      <c r="A452" s="5" t="s">
        <v>45</v>
      </c>
      <c r="B452" s="119"/>
      <c r="C452" s="120"/>
    </row>
    <row r="453" spans="1:3">
      <c r="A453" s="5" t="s">
        <v>45</v>
      </c>
      <c r="B453" s="119"/>
      <c r="C453" s="120"/>
    </row>
    <row r="454" spans="1:3">
      <c r="A454" s="5" t="s">
        <v>45</v>
      </c>
      <c r="B454" s="119"/>
      <c r="C454" s="120"/>
    </row>
    <row r="455" spans="1:3">
      <c r="A455" s="5" t="s">
        <v>45</v>
      </c>
      <c r="B455" s="119"/>
      <c r="C455" s="120"/>
    </row>
    <row r="456" spans="1:3">
      <c r="A456" s="5" t="s">
        <v>45</v>
      </c>
      <c r="B456" s="119"/>
      <c r="C456" s="120"/>
    </row>
    <row r="457" spans="1:3">
      <c r="A457" s="5" t="s">
        <v>45</v>
      </c>
      <c r="B457" s="119"/>
      <c r="C457" s="120"/>
    </row>
    <row r="458" spans="1:3">
      <c r="A458" s="5" t="s">
        <v>45</v>
      </c>
      <c r="B458" s="119"/>
      <c r="C458" s="120"/>
    </row>
    <row r="459" spans="1:3">
      <c r="A459" s="5" t="s">
        <v>45</v>
      </c>
      <c r="B459" s="119"/>
      <c r="C459" s="120"/>
    </row>
    <row r="460" spans="1:3">
      <c r="A460" s="5" t="s">
        <v>45</v>
      </c>
      <c r="B460" s="119"/>
      <c r="C460" s="120"/>
    </row>
    <row r="461" spans="1:3">
      <c r="A461" s="5" t="s">
        <v>45</v>
      </c>
      <c r="B461" s="119"/>
      <c r="C461" s="120"/>
    </row>
    <row r="462" spans="1:3">
      <c r="A462" s="5" t="s">
        <v>45</v>
      </c>
      <c r="B462" s="119"/>
      <c r="C462" s="120"/>
    </row>
    <row r="463" spans="1:3">
      <c r="A463" s="5" t="s">
        <v>45</v>
      </c>
      <c r="B463" s="119"/>
      <c r="C463" s="120"/>
    </row>
    <row r="464" spans="1:3">
      <c r="A464" s="5" t="s">
        <v>45</v>
      </c>
      <c r="B464" s="119"/>
      <c r="C464" s="120"/>
    </row>
    <row r="465" spans="1:3">
      <c r="A465" s="5" t="s">
        <v>45</v>
      </c>
      <c r="B465" s="119"/>
      <c r="C465" s="120"/>
    </row>
    <row r="466" spans="1:3">
      <c r="A466" s="5" t="s">
        <v>45</v>
      </c>
      <c r="B466" s="119"/>
      <c r="C466" s="120"/>
    </row>
    <row r="467" spans="1:3">
      <c r="A467" s="5" t="s">
        <v>54</v>
      </c>
      <c r="B467" s="119"/>
      <c r="C467" s="120"/>
    </row>
    <row r="468" spans="1:3">
      <c r="A468" s="5" t="s">
        <v>54</v>
      </c>
      <c r="B468" s="119"/>
      <c r="C468" s="120"/>
    </row>
    <row r="469" spans="1:3">
      <c r="A469" s="5" t="s">
        <v>54</v>
      </c>
      <c r="B469" s="119"/>
      <c r="C469" s="120"/>
    </row>
    <row r="470" spans="1:3">
      <c r="A470" s="5" t="s">
        <v>54</v>
      </c>
      <c r="B470" s="119"/>
      <c r="C470" s="120"/>
    </row>
    <row r="471" spans="1:3">
      <c r="A471" s="5" t="s">
        <v>54</v>
      </c>
      <c r="B471" s="119"/>
      <c r="C471" s="120"/>
    </row>
    <row r="472" spans="1:3">
      <c r="A472" s="5" t="s">
        <v>54</v>
      </c>
      <c r="B472" s="119"/>
      <c r="C472" s="120"/>
    </row>
    <row r="473" spans="1:3">
      <c r="A473" s="5" t="s">
        <v>54</v>
      </c>
      <c r="B473" s="119"/>
      <c r="C473" s="120"/>
    </row>
    <row r="474" spans="1:3">
      <c r="A474" s="5" t="s">
        <v>54</v>
      </c>
      <c r="B474" s="119"/>
      <c r="C474" s="120"/>
    </row>
    <row r="475" spans="1:3">
      <c r="A475" s="5" t="s">
        <v>54</v>
      </c>
      <c r="B475" s="119"/>
      <c r="C475" s="120"/>
    </row>
    <row r="476" spans="1:3">
      <c r="A476" s="5" t="s">
        <v>54</v>
      </c>
      <c r="B476" s="119"/>
      <c r="C476" s="120"/>
    </row>
    <row r="477" spans="1:3">
      <c r="A477" s="5" t="s">
        <v>54</v>
      </c>
      <c r="B477" s="119"/>
      <c r="C477" s="120"/>
    </row>
    <row r="478" spans="1:3">
      <c r="A478" s="5" t="s">
        <v>54</v>
      </c>
      <c r="B478" s="119"/>
      <c r="C478" s="120"/>
    </row>
    <row r="479" spans="1:3">
      <c r="A479" s="5" t="s">
        <v>54</v>
      </c>
      <c r="B479" s="119"/>
      <c r="C479" s="120"/>
    </row>
    <row r="480" spans="1:3">
      <c r="A480" s="5" t="s">
        <v>54</v>
      </c>
      <c r="B480" s="119"/>
      <c r="C480" s="120"/>
    </row>
    <row r="481" spans="1:3">
      <c r="A481" s="5" t="s">
        <v>54</v>
      </c>
      <c r="B481" s="119"/>
      <c r="C481" s="120"/>
    </row>
    <row r="482" spans="1:3">
      <c r="A482" s="5" t="s">
        <v>54</v>
      </c>
      <c r="B482" s="119"/>
      <c r="C482" s="120"/>
    </row>
    <row r="483" spans="1:3">
      <c r="A483" s="5" t="s">
        <v>54</v>
      </c>
      <c r="B483" s="119"/>
      <c r="C483" s="120"/>
    </row>
    <row r="484" spans="1:3">
      <c r="A484" s="5" t="s">
        <v>54</v>
      </c>
      <c r="B484" s="119"/>
      <c r="C484" s="120"/>
    </row>
    <row r="485" spans="1:3">
      <c r="A485" s="5" t="s">
        <v>54</v>
      </c>
      <c r="B485" s="119"/>
      <c r="C485" s="120"/>
    </row>
    <row r="486" spans="1:3">
      <c r="A486" s="5" t="s">
        <v>54</v>
      </c>
      <c r="B486" s="119"/>
      <c r="C486" s="120"/>
    </row>
    <row r="487" spans="1:3">
      <c r="A487" s="5" t="s">
        <v>54</v>
      </c>
      <c r="B487" s="119"/>
      <c r="C487" s="120"/>
    </row>
    <row r="488" spans="1:3">
      <c r="A488" s="5" t="s">
        <v>54</v>
      </c>
      <c r="B488" s="119"/>
      <c r="C488" s="120"/>
    </row>
    <row r="489" spans="1:3">
      <c r="A489" s="5" t="s">
        <v>54</v>
      </c>
      <c r="B489" s="119"/>
      <c r="C489" s="120"/>
    </row>
    <row r="490" spans="1:3">
      <c r="A490" s="5" t="s">
        <v>54</v>
      </c>
      <c r="B490" s="119"/>
      <c r="C490" s="120"/>
    </row>
    <row r="491" spans="1:3">
      <c r="A491" s="5" t="s">
        <v>54</v>
      </c>
      <c r="B491" s="119"/>
      <c r="C491" s="120"/>
    </row>
    <row r="492" spans="1:3">
      <c r="A492" s="5" t="s">
        <v>54</v>
      </c>
      <c r="B492" s="119"/>
      <c r="C492" s="120"/>
    </row>
    <row r="493" spans="1:3">
      <c r="A493" s="5" t="s">
        <v>54</v>
      </c>
      <c r="B493" s="119"/>
      <c r="C493" s="120"/>
    </row>
    <row r="494" spans="1:3">
      <c r="A494" s="5" t="s">
        <v>54</v>
      </c>
      <c r="B494" s="119"/>
      <c r="C494" s="120"/>
    </row>
    <row r="495" spans="1:3">
      <c r="A495" s="5" t="s">
        <v>54</v>
      </c>
      <c r="B495" s="119"/>
      <c r="C495" s="120"/>
    </row>
    <row r="496" spans="1:3">
      <c r="A496" s="5" t="s">
        <v>54</v>
      </c>
      <c r="B496" s="119"/>
      <c r="C496" s="120"/>
    </row>
    <row r="497" spans="1:3">
      <c r="A497" s="5" t="s">
        <v>54</v>
      </c>
      <c r="B497" s="119"/>
      <c r="C497" s="120"/>
    </row>
    <row r="498" spans="1:3">
      <c r="A498" s="5" t="s">
        <v>49</v>
      </c>
      <c r="B498" s="119"/>
      <c r="C498" s="120"/>
    </row>
    <row r="499" spans="1:3">
      <c r="A499" s="5" t="s">
        <v>49</v>
      </c>
      <c r="B499" s="119"/>
      <c r="C499" s="120"/>
    </row>
    <row r="500" spans="1:3">
      <c r="A500" s="5" t="s">
        <v>49</v>
      </c>
      <c r="B500" s="119"/>
      <c r="C500" s="120"/>
    </row>
    <row r="501" spans="1:3">
      <c r="A501" s="5" t="s">
        <v>49</v>
      </c>
      <c r="B501" s="119"/>
      <c r="C501" s="120"/>
    </row>
    <row r="502" spans="1:3">
      <c r="A502" s="5" t="s">
        <v>49</v>
      </c>
      <c r="B502" s="119"/>
      <c r="C502" s="120"/>
    </row>
    <row r="503" spans="1:3">
      <c r="A503" s="5" t="s">
        <v>49</v>
      </c>
      <c r="B503" s="119"/>
      <c r="C503" s="120"/>
    </row>
    <row r="504" spans="1:3">
      <c r="A504" s="5" t="s">
        <v>49</v>
      </c>
      <c r="B504" s="119"/>
      <c r="C504" s="120"/>
    </row>
    <row r="505" spans="1:3">
      <c r="A505" s="5" t="s">
        <v>49</v>
      </c>
      <c r="B505" s="119"/>
      <c r="C505" s="120"/>
    </row>
    <row r="506" spans="1:3">
      <c r="A506" s="5" t="s">
        <v>49</v>
      </c>
      <c r="B506" s="119"/>
      <c r="C506" s="120"/>
    </row>
    <row r="507" spans="1:3">
      <c r="A507" s="5" t="s">
        <v>49</v>
      </c>
      <c r="B507" s="119"/>
      <c r="C507" s="120"/>
    </row>
    <row r="508" spans="1:3">
      <c r="A508" s="5" t="s">
        <v>49</v>
      </c>
      <c r="B508" s="119"/>
      <c r="C508" s="120"/>
    </row>
    <row r="509" spans="1:3">
      <c r="A509" s="5" t="s">
        <v>49</v>
      </c>
      <c r="B509" s="119"/>
      <c r="C509" s="120"/>
    </row>
    <row r="510" spans="1:3">
      <c r="A510" s="5" t="s">
        <v>49</v>
      </c>
      <c r="B510" s="119"/>
      <c r="C510" s="120"/>
    </row>
    <row r="511" spans="1:3">
      <c r="A511" s="5" t="s">
        <v>49</v>
      </c>
      <c r="B511" s="119"/>
      <c r="C511" s="120"/>
    </row>
    <row r="512" spans="1:3">
      <c r="A512" s="5" t="s">
        <v>49</v>
      </c>
      <c r="B512" s="119"/>
      <c r="C512" s="120"/>
    </row>
    <row r="513" spans="1:3">
      <c r="A513" s="5" t="s">
        <v>49</v>
      </c>
      <c r="B513" s="119"/>
      <c r="C513" s="120"/>
    </row>
    <row r="514" spans="1:3">
      <c r="A514" s="5" t="s">
        <v>49</v>
      </c>
      <c r="B514" s="119"/>
      <c r="C514" s="120"/>
    </row>
    <row r="515" spans="1:3">
      <c r="A515" s="5" t="s">
        <v>49</v>
      </c>
      <c r="B515" s="119"/>
      <c r="C515" s="120"/>
    </row>
    <row r="516" spans="1:3">
      <c r="A516" s="5" t="s">
        <v>49</v>
      </c>
      <c r="B516" s="119"/>
      <c r="C516" s="120"/>
    </row>
    <row r="517" spans="1:3">
      <c r="A517" s="5" t="s">
        <v>49</v>
      </c>
      <c r="B517" s="119"/>
      <c r="C517" s="120"/>
    </row>
    <row r="518" spans="1:3">
      <c r="A518" s="5" t="s">
        <v>49</v>
      </c>
      <c r="B518" s="119"/>
      <c r="C518" s="120"/>
    </row>
    <row r="519" spans="1:3">
      <c r="A519" s="5" t="s">
        <v>49</v>
      </c>
      <c r="B519" s="119"/>
      <c r="C519" s="120"/>
    </row>
    <row r="520" spans="1:3">
      <c r="A520" s="5" t="s">
        <v>49</v>
      </c>
      <c r="B520" s="119"/>
      <c r="C520" s="120"/>
    </row>
    <row r="521" spans="1:3">
      <c r="A521" s="5" t="s">
        <v>49</v>
      </c>
      <c r="B521" s="119"/>
      <c r="C521" s="120"/>
    </row>
    <row r="522" spans="1:3">
      <c r="A522" s="5" t="s">
        <v>49</v>
      </c>
      <c r="B522" s="119"/>
      <c r="C522" s="120"/>
    </row>
    <row r="523" spans="1:3">
      <c r="A523" s="5" t="s">
        <v>49</v>
      </c>
      <c r="B523" s="119"/>
      <c r="C523" s="120"/>
    </row>
    <row r="524" spans="1:3">
      <c r="A524" s="5" t="s">
        <v>49</v>
      </c>
      <c r="B524" s="119"/>
      <c r="C524" s="120"/>
    </row>
    <row r="525" spans="1:3">
      <c r="A525" s="5" t="s">
        <v>49</v>
      </c>
      <c r="B525" s="119"/>
      <c r="C525" s="120"/>
    </row>
    <row r="526" spans="1:3">
      <c r="A526" s="5" t="s">
        <v>49</v>
      </c>
      <c r="B526" s="119"/>
      <c r="C526" s="120"/>
    </row>
    <row r="527" spans="1:3">
      <c r="A527" s="5" t="s">
        <v>49</v>
      </c>
      <c r="B527" s="119"/>
      <c r="C527" s="120"/>
    </row>
    <row r="528" spans="1:3">
      <c r="A528" s="5" t="s">
        <v>49</v>
      </c>
      <c r="B528" s="119"/>
      <c r="C528" s="120"/>
    </row>
  </sheetData>
  <sheetProtection sheet="1" objects="1" scenarios="1"/>
  <protectedRanges>
    <protectedRange sqref="A219:A466 A1:C1 A3:A156 B3:C528 A2:AG2" name="Range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A3843435C98448DDDBB617AEABBB0" ma:contentTypeVersion="14" ma:contentTypeDescription="Create a new document." ma:contentTypeScope="" ma:versionID="8fa7374002ef148184fcd254132e9339">
  <xsd:schema xmlns:xsd="http://www.w3.org/2001/XMLSchema" xmlns:xs="http://www.w3.org/2001/XMLSchema" xmlns:p="http://schemas.microsoft.com/office/2006/metadata/properties" xmlns:ns2="3f5a69d0-e1ac-4b3f-83fc-166928e16781" xmlns:ns3="e8c3ca2b-5fce-4a9b-a347-41567bd26e83" targetNamespace="http://schemas.microsoft.com/office/2006/metadata/properties" ma:root="true" ma:fieldsID="f7375f114d7a313394bd15f2f175ab41" ns2:_="" ns3:_="">
    <xsd:import namespace="3f5a69d0-e1ac-4b3f-83fc-166928e16781"/>
    <xsd:import namespace="e8c3ca2b-5fce-4a9b-a347-41567bd26e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a69d0-e1ac-4b3f-83fc-166928e16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3ca2b-5fce-4a9b-a347-41567bd26e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07b69f-5ba5-43e0-9f94-2a93b7af0a3b}" ma:internalName="TaxCatchAll" ma:showField="CatchAllData" ma:web="e8c3ca2b-5fce-4a9b-a347-41567bd26e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8c3ca2b-5fce-4a9b-a347-41567bd26e83">
      <UserInfo>
        <DisplayName>Essam, Hala</DisplayName>
        <AccountId>40</AccountId>
        <AccountType/>
      </UserInfo>
      <UserInfo>
        <DisplayName>Aly, Mo</DisplayName>
        <AccountId>22</AccountId>
        <AccountType/>
      </UserInfo>
      <UserInfo>
        <DisplayName>Abdallah, Samya</DisplayName>
        <AccountId>52</AccountId>
        <AccountType/>
      </UserInfo>
    </SharedWithUsers>
    <TaxCatchAll xmlns="e8c3ca2b-5fce-4a9b-a347-41567bd26e83" xsi:nil="true"/>
    <lcf76f155ced4ddcb4097134ff3c332f xmlns="3f5a69d0-e1ac-4b3f-83fc-166928e167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AADED1-1DD8-4574-A422-682DF4979AAE}"/>
</file>

<file path=customXml/itemProps2.xml><?xml version="1.0" encoding="utf-8"?>
<ds:datastoreItem xmlns:ds="http://schemas.openxmlformats.org/officeDocument/2006/customXml" ds:itemID="{B8E0CAF8-C60A-4241-9612-63D1D6C59F8A}"/>
</file>

<file path=customXml/itemProps3.xml><?xml version="1.0" encoding="utf-8"?>
<ds:datastoreItem xmlns:ds="http://schemas.openxmlformats.org/officeDocument/2006/customXml" ds:itemID="{30D8C567-550B-4FC5-AC29-54514D51F46D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Shehata, Eslam</dc:creator>
  <cp:keywords/>
  <dc:description/>
  <cp:lastModifiedBy>Shehata, Eslam</cp:lastModifiedBy>
  <cp:revision/>
  <dcterms:created xsi:type="dcterms:W3CDTF">2015-06-05T18:17:20Z</dcterms:created>
  <dcterms:modified xsi:type="dcterms:W3CDTF">2026-10-14T10:42:22Z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0x010100259A3843435C98448DDDBB617AEABBB0</vt:lpwstr>
  </property>
  <property fmtid="{D5CDD505-2E9C-101B-9397-08002B2CF9AE}" pid="3" name="MediaServiceImageTags">
    <vt:lpwstr/>
  </property>
</Properties>
</file>