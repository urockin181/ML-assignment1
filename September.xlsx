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C:\Users\eshehata\Downloads\"/>
    </mc:Choice>
  </mc:AlternateContent>
  <xr:revisionPtr revIDLastSave="3024" documentId="13_ncr:1_{884F2191-77B7-491E-9251-537E4ECAC6B0}" xr6:coauthVersionLast="47" xr6:coauthVersionMax="47" xr10:uidLastSave="{D4CD4E2C-1BCE-44C7-87ED-517629380A7F}"/>
  <bookViews>
    <workbookView xWindow="-110" yWindow="-110" windowWidth="19420" windowHeight="11500" xr2:uid="{00000000-000D-0000-FFFF-FFFF00000000}"/>
  </bookViews>
  <sheets>
    <sheet name="Daily Check" sheetId="1" r:id="rId1"/>
    <sheet name="Monthly Summary" sheetId="2" r:id="rId2"/>
    <sheet name="Testing Logic" sheetId="3" state="hidden" r:id="rId3"/>
    <sheet name="Lists" sheetId="4" state="hidden" r:id="rId4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E11" i="3"/>
  <c r="F11" i="3" s="1"/>
  <c r="H11" i="3" s="1"/>
  <c r="I11" i="3" s="1"/>
  <c r="E10" i="3"/>
  <c r="F10" i="3" s="1"/>
  <c r="H10" i="3" s="1"/>
  <c r="I10" i="3" s="1"/>
  <c r="E9" i="3"/>
  <c r="F9" i="3" s="1"/>
  <c r="H9" i="3" s="1"/>
  <c r="I9" i="3" s="1"/>
  <c r="E8" i="3"/>
  <c r="F8" i="3" s="1"/>
  <c r="H8" i="3" s="1"/>
  <c r="I8" i="3" s="1"/>
  <c r="E7" i="3"/>
  <c r="F7" i="3" s="1"/>
  <c r="H7" i="3" s="1"/>
  <c r="I7" i="3" s="1"/>
  <c r="E6" i="3"/>
  <c r="F6" i="3" s="1"/>
  <c r="H6" i="3" s="1"/>
  <c r="I6" i="3" s="1"/>
  <c r="E5" i="3"/>
  <c r="F5" i="3" s="1"/>
  <c r="H5" i="3" s="1"/>
  <c r="I5" i="3" s="1"/>
</calcChain>
</file>

<file path=xl/sharedStrings.xml><?xml version="1.0" encoding="utf-8"?>
<sst xmlns="http://schemas.openxmlformats.org/spreadsheetml/2006/main" count="2583" uniqueCount="82">
  <si>
    <t>Date</t>
  </si>
  <si>
    <t>Employee Name</t>
  </si>
  <si>
    <t>Team</t>
  </si>
  <si>
    <t>Title</t>
  </si>
  <si>
    <t>GGID</t>
  </si>
  <si>
    <t>Required On-Site</t>
  </si>
  <si>
    <t>Manager Review</t>
  </si>
  <si>
    <t>Exception?</t>
  </si>
  <si>
    <t>Shift / Status</t>
  </si>
  <si>
    <t>Notes</t>
  </si>
  <si>
    <t>Alert</t>
  </si>
  <si>
    <t>Mohamed Abdellatif</t>
  </si>
  <si>
    <t>Back Office</t>
  </si>
  <si>
    <t>Knowledge Manager</t>
  </si>
  <si>
    <t>No</t>
  </si>
  <si>
    <t>Annual</t>
  </si>
  <si>
    <t>Yes</t>
  </si>
  <si>
    <t>OFF</t>
  </si>
  <si>
    <t>On-Site</t>
  </si>
  <si>
    <t>Remote</t>
  </si>
  <si>
    <t>Omar Khodir</t>
  </si>
  <si>
    <t>Team Manager</t>
  </si>
  <si>
    <t>Reham Baghdady</t>
  </si>
  <si>
    <t>Incident Manager</t>
  </si>
  <si>
    <t>Wessam Ahmed</t>
  </si>
  <si>
    <t>Incident Coordinator</t>
  </si>
  <si>
    <t>Sick</t>
  </si>
  <si>
    <t>Compensation</t>
  </si>
  <si>
    <t>Ahmed Habil</t>
  </si>
  <si>
    <t>Level 1 Support Analyst</t>
  </si>
  <si>
    <t>L1</t>
  </si>
  <si>
    <t>Amr Abdelwahab</t>
  </si>
  <si>
    <t>Habiba Sebak</t>
  </si>
  <si>
    <t>Maha Dahshan</t>
  </si>
  <si>
    <t>Mohamed Halim</t>
  </si>
  <si>
    <t>Mohannad Ali</t>
  </si>
  <si>
    <t>Sarah Elmaasrawy</t>
  </si>
  <si>
    <t>Sherine Khaled</t>
  </si>
  <si>
    <t>Amr Elsherbiny</t>
  </si>
  <si>
    <t>Level 2 Support Analyst</t>
  </si>
  <si>
    <t>L2</t>
  </si>
  <si>
    <t>Fady Farid</t>
  </si>
  <si>
    <t>Mohamed Aly</t>
  </si>
  <si>
    <t>Mohamed Elezaby</t>
  </si>
  <si>
    <t>Employee</t>
  </si>
  <si>
    <t>Required Office Days</t>
  </si>
  <si>
    <t>Actual Office Days</t>
  </si>
  <si>
    <t>Approved Exceptions</t>
  </si>
  <si>
    <t>Counted Required Days</t>
  </si>
  <si>
    <t>Compliance %</t>
  </si>
  <si>
    <t>KPI Award</t>
  </si>
  <si>
    <t>Thresholds</t>
  </si>
  <si>
    <t>Weight</t>
  </si>
  <si>
    <t>Compliance &gt;= 90%</t>
  </si>
  <si>
    <t>30%</t>
  </si>
  <si>
    <t>Compliance &gt;= 80% and &lt; 90%</t>
  </si>
  <si>
    <t>15%</t>
  </si>
  <si>
    <t>Compliance &gt;= 70% and &lt; 80%</t>
  </si>
  <si>
    <t>10%</t>
  </si>
  <si>
    <t>Compliance &lt; 70%</t>
  </si>
  <si>
    <t>0%</t>
  </si>
  <si>
    <t>Testing Logic - KPI Validation</t>
  </si>
  <si>
    <t>Test Case</t>
  </si>
  <si>
    <t>Expected KPI</t>
  </si>
  <si>
    <t>Calculated KPI</t>
  </si>
  <si>
    <t>Result</t>
  </si>
  <si>
    <t>Full compliance</t>
  </si>
  <si>
    <t>One approved exception</t>
  </si>
  <si>
    <t>Partial compliance</t>
  </si>
  <si>
    <t>Low compliance</t>
  </si>
  <si>
    <t>Borderline 90%</t>
  </si>
  <si>
    <t>Borderline 80%</t>
  </si>
  <si>
    <t>Borderline 70%</t>
  </si>
  <si>
    <t>YesNo</t>
  </si>
  <si>
    <t>Actual Status</t>
  </si>
  <si>
    <t>Exception</t>
  </si>
  <si>
    <t>N/A</t>
  </si>
  <si>
    <t>Public Holiday</t>
  </si>
  <si>
    <t>Training</t>
  </si>
  <si>
    <t>Leave</t>
  </si>
  <si>
    <t>Client Site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</si>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</sst>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09]d\-mmm;@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2F2F2"/>
      </patternFill>
    </fill>
    <fill>
      <patternFill patternType="solid">
        <fgColor rgb="FFE4DFEC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/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164" fontId="0" fillId="4" borderId="2" xfId="0" applyNumberFormat="1" applyFill="1" applyBorder="1" applyAlignment="1">
      <alignment vertical="top"/>
    </xf>
    <xf numFmtId="9" fontId="0" fillId="4" borderId="2" xfId="0" applyNumberFormat="1" applyFill="1" applyBorder="1" applyAlignment="1">
      <alignment vertical="top"/>
    </xf>
    <xf numFmtId="0" fontId="0" fillId="5" borderId="0" xfId="0" applyFill="1"/>
    <xf numFmtId="9" fontId="0" fillId="3" borderId="2" xfId="0" applyNumberForma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9" fontId="0" fillId="0" borderId="0" xfId="0" applyNumberFormat="1"/>
    <xf numFmtId="16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0" fontId="0" fillId="7" borderId="0" xfId="0" applyNumberFormat="1" applyFill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35"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numFmt numFmtId="13" formatCode="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D9EAD3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5" formatCode="[$-409]d\-mmm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theme="8" tint="0.39997558519241921"/>
        </patternFill>
      </fill>
    </dxf>
    <dxf>
      <font>
        <color theme="0"/>
      </font>
      <fill>
        <patternFill patternType="solid">
          <bgColor theme="3" tint="0.59999389629810485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theme="0"/>
      </font>
      <fill>
        <patternFill patternType="solid"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Check" displayName="DailyCheck" ref="A1:K481" headerRowDxfId="25" dataDxfId="24" totalsRowDxfId="23">
  <autoFilter ref="A1:K481" xr:uid="{00000000-000C-0000-FFFF-FFFF00000000}">
    <filterColumn colId="1">
      <filters>
        <filter val="Wessam Ahmed"/>
      </filters>
    </filterColumn>
  </autoFilter>
  <tableColumns count="11">
    <tableColumn id="1" xr3:uid="{00000000-0010-0000-0000-000001000000}" name="Date" dataDxfId="22">
      <calculatedColumnFormula>IF(B2="", "", DATE(2026, 9, COUNTIFS($B$2:$B2, B2)))</calculatedColumnFormula>
    </tableColumn>
    <tableColumn id="2" xr3:uid="{00000000-0010-0000-0000-000002000000}" name="Employee Name" dataDxfId="21"/>
    <tableColumn id="3" xr3:uid="{00000000-0010-0000-0000-000003000000}" name="Team" dataDxfId="20"/>
    <tableColumn id="4" xr3:uid="{00000000-0010-0000-0000-000004000000}" name="Title" dataDxfId="19"/>
    <tableColumn id="5" xr3:uid="{00000000-0010-0000-0000-000005000000}" name="GGID" dataDxfId="18"/>
    <tableColumn id="6" xr3:uid="{00000000-0010-0000-0000-000006000000}" name="Required On-Site" dataDxfId="17"/>
    <tableColumn id="7" xr3:uid="{00000000-0010-0000-0000-000007000000}" name="Manager Review" dataDxfId="16"/>
    <tableColumn id="8" xr3:uid="{00000000-0010-0000-0000-000008000000}" name="Exception?" dataDxfId="15"/>
    <tableColumn id="10" xr3:uid="{00000000-0010-0000-0000-00000A000000}" name="Shift / Status" dataDxfId="14"/>
    <tableColumn id="11" xr3:uid="{00000000-0010-0000-0000-00000B000000}" name="Notes" dataDxfId="13"/>
    <tableColumn id="12" xr3:uid="{AEFFF998-FC8B-491B-8120-999059863AC1}" name="Alert" dataDxfId="11" totalsRowDxfId="12">
      <calculatedColumnFormula>IF(AND(DailyCheck[[#This Row],[Required On-Site]]="Yes",DailyCheck[[#This Row],[Manager Review]]="Remote"),"Compliance Issue","")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nthlySummary" displayName="MonthlySummary" ref="A1:H18">
  <tableColumns count="8">
    <tableColumn id="1" xr3:uid="{00000000-0010-0000-0100-000001000000}" name="Employee"/>
    <tableColumn id="2" xr3:uid="{00000000-0010-0000-0100-000002000000}" name="Team"/>
    <tableColumn id="3" xr3:uid="{00000000-0010-0000-0100-000003000000}" name="Required Office Days" dataDxfId="7">
      <calculatedColumnFormula>COUNTIFS(
    DailyCheck[Employee Name], A2,
    DailyCheck[Team], B2,
    DailyCheck[Required On-Site], "Yes",
    DailyCheck[Date], "&lt;=" &amp; TODAY()
)</calculatedColumnFormula>
    </tableColumn>
    <tableColumn id="4" xr3:uid="{00000000-0010-0000-0100-000004000000}" name="Actual Office Days" dataDxfId="6">
      <calculatedColumnFormula>COUNTIFS(DailyCheck[Employee Name],A2,DailyCheck[Team],B2,DailyCheck[Required On-Site],"Yes",DailyCheck[Manager Review],"On-Site",DailyCheck[Exception?],"&lt;&gt;Yes")</calculatedColumnFormula>
    </tableColumn>
    <tableColumn id="5" xr3:uid="{00000000-0010-0000-0100-000005000000}" name="Approved Exceptions" dataDxfId="5">
      <calculatedColumnFormula>COUNTIFS(DailyCheck[Employee Name],A2,DailyCheck[Team],B2,DailyCheck[Required On-Site],"Yes",DailyCheck[Exception?],"Yes")</calculatedColumnFormula>
    </tableColumn>
    <tableColumn id="6" xr3:uid="{00000000-0010-0000-0100-000006000000}" name="Counted Required Days" dataDxfId="4">
      <calculatedColumnFormula>MAX(C2-E2,0)</calculatedColumnFormula>
    </tableColumn>
    <tableColumn id="7" xr3:uid="{00000000-0010-0000-0100-000007000000}" name="Compliance %" dataDxfId="3">
      <calculatedColumnFormula>IF(F2=0,"",MIN(D2/F2,1))</calculatedColumnFormula>
    </tableColumn>
    <tableColumn id="8" xr3:uid="{00000000-0010-0000-0100-000008000000}" name="KPI Award" dataDxfId="2">
      <calculatedColumnFormula>IF(G2="","",IF(G2&gt;=90%,30%,IF(G2&gt;=80%,15%,IF(G2&gt;=70%,10%,0%))))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estingLogic" displayName="TestingLogic" ref="A4:I11">
  <autoFilter ref="A4:I11" xr:uid="{00000000-0009-0000-0100-000003000000}"/>
  <tableColumns count="9">
    <tableColumn id="1" xr3:uid="{00000000-0010-0000-0200-000001000000}" name="Test Case"/>
    <tableColumn id="2" xr3:uid="{00000000-0010-0000-0200-000002000000}" name="Required Office Days"/>
    <tableColumn id="3" xr3:uid="{00000000-0010-0000-0200-000003000000}" name="Actual Office Days"/>
    <tableColumn id="4" xr3:uid="{00000000-0010-0000-0200-000004000000}" name="Approved Exceptions"/>
    <tableColumn id="5" xr3:uid="{00000000-0010-0000-0200-000005000000}" name="Counted Required Days"/>
    <tableColumn id="6" xr3:uid="{00000000-0010-0000-0200-000006000000}" name="Compliance %"/>
    <tableColumn id="7" xr3:uid="{00000000-0010-0000-0200-000007000000}" name="Expected KPI"/>
    <tableColumn id="8" xr3:uid="{00000000-0010-0000-0200-000008000000}" name="Calculated KPI"/>
    <tableColumn id="9" xr3:uid="{00000000-0010-0000-0200-000009000000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showGridLines="0" tabSelected="1" zoomScale="70" zoomScaleNormal="70" workbookViewId="0">
      <pane ySplit="1" topLeftCell="A32" activePane="bottomLeft" state="frozen"/>
      <selection pane="bottomLeft" activeCell="G481" sqref="G481"/>
    </sheetView>
  </sheetViews>
  <sheetFormatPr defaultColWidth="8.7109375" defaultRowHeight="15"/>
  <cols>
    <col min="1" max="1" width="7.7109375" style="18" bestFit="1" customWidth="1"/>
    <col min="2" max="2" width="19.42578125" style="15" bestFit="1" customWidth="1"/>
    <col min="3" max="3" width="22" style="15" bestFit="1" customWidth="1"/>
    <col min="4" max="4" width="19.7109375" style="15" bestFit="1" customWidth="1"/>
    <col min="5" max="5" width="9.85546875" style="15" bestFit="1" customWidth="1"/>
    <col min="6" max="6" width="18.7109375" style="15" bestFit="1" customWidth="1"/>
    <col min="7" max="7" width="15.140625" style="15" bestFit="1" customWidth="1"/>
    <col min="8" max="8" width="13.140625" style="15" bestFit="1" customWidth="1"/>
    <col min="9" max="9" width="15" style="15" hidden="1" customWidth="1"/>
    <col min="10" max="10" width="21.28515625" style="15" bestFit="1" customWidth="1"/>
    <col min="11" max="11" width="16.42578125" bestFit="1" customWidth="1"/>
  </cols>
  <sheetData>
    <row r="1" spans="1:11">
      <c r="A1" s="11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2" t="s">
        <v>5</v>
      </c>
      <c r="G1" s="14" t="s">
        <v>6</v>
      </c>
      <c r="H1" s="14" t="s">
        <v>7</v>
      </c>
      <c r="I1" s="12" t="s">
        <v>8</v>
      </c>
      <c r="J1" s="14" t="s">
        <v>9</v>
      </c>
      <c r="K1" s="15" t="s">
        <v>10</v>
      </c>
    </row>
    <row r="2" spans="1:11" hidden="1">
      <c r="A2" s="16">
        <f>IF(B2="", "", DATE(2026, 9, COUNTIFS($B$2:$B2, B2)))</f>
        <v>46266</v>
      </c>
      <c r="B2" s="17" t="s">
        <v>11</v>
      </c>
      <c r="C2" s="17" t="s">
        <v>12</v>
      </c>
      <c r="D2" s="17" t="s">
        <v>13</v>
      </c>
      <c r="E2" s="17">
        <v>30001801</v>
      </c>
      <c r="F2" s="17" t="s">
        <v>14</v>
      </c>
      <c r="G2" s="20" t="s">
        <v>15</v>
      </c>
      <c r="H2" s="17" t="s">
        <v>16</v>
      </c>
      <c r="I2" s="17"/>
      <c r="J2" s="17"/>
      <c r="K2" s="17" t="str">
        <f>IF(AND(DailyCheck[[#This Row],[Required On-Site]]="Yes",DailyCheck[[#This Row],[Manager Review]]="Remote"),"Compliance Issue","")</f>
        <v/>
      </c>
    </row>
    <row r="3" spans="1:11" hidden="1">
      <c r="A3" s="16">
        <f>IF(B3="", "", DATE(2026, 9, COUNTIFS($B$2:$B3, B3)))</f>
        <v>46267</v>
      </c>
      <c r="B3" s="17" t="s">
        <v>11</v>
      </c>
      <c r="C3" s="17" t="s">
        <v>12</v>
      </c>
      <c r="D3" s="17" t="s">
        <v>13</v>
      </c>
      <c r="E3" s="17">
        <v>30001801</v>
      </c>
      <c r="F3" s="17" t="s">
        <v>14</v>
      </c>
      <c r="G3" s="20" t="s">
        <v>15</v>
      </c>
      <c r="H3" s="17" t="s">
        <v>16</v>
      </c>
      <c r="I3" s="17"/>
      <c r="J3" s="17"/>
      <c r="K3" s="17" t="str">
        <f>IF(AND(DailyCheck[[#This Row],[Required On-Site]]="Yes",DailyCheck[[#This Row],[Manager Review]]="Remote"),"Compliance Issue","")</f>
        <v/>
      </c>
    </row>
    <row r="4" spans="1:11" hidden="1">
      <c r="A4" s="16">
        <f>IF(B4="", "", DATE(2026, 9, COUNTIFS($B$2:$B4, B4)))</f>
        <v>46268</v>
      </c>
      <c r="B4" s="17" t="s">
        <v>11</v>
      </c>
      <c r="C4" s="17" t="s">
        <v>12</v>
      </c>
      <c r="D4" s="17" t="s">
        <v>13</v>
      </c>
      <c r="E4" s="17">
        <v>30001801</v>
      </c>
      <c r="F4" s="17" t="s">
        <v>16</v>
      </c>
      <c r="G4" s="17" t="s">
        <v>15</v>
      </c>
      <c r="H4" s="17" t="s">
        <v>16</v>
      </c>
      <c r="I4" s="17"/>
      <c r="J4" s="17"/>
      <c r="K4" s="17" t="str">
        <f>IF(AND(DailyCheck[[#This Row],[Required On-Site]]="Yes",DailyCheck[[#This Row],[Manager Review]]="Remote"),"Compliance Issue","")</f>
        <v/>
      </c>
    </row>
    <row r="5" spans="1:11" hidden="1">
      <c r="A5" s="16">
        <f>IF(B5="", "", DATE(2026, 9, COUNTIFS($B$2:$B5, B5)))</f>
        <v>46269</v>
      </c>
      <c r="B5" s="17" t="s">
        <v>11</v>
      </c>
      <c r="C5" s="17" t="s">
        <v>12</v>
      </c>
      <c r="D5" s="17" t="s">
        <v>13</v>
      </c>
      <c r="E5" s="17">
        <v>30001801</v>
      </c>
      <c r="F5" s="17" t="s">
        <v>14</v>
      </c>
      <c r="G5" s="17" t="s">
        <v>15</v>
      </c>
      <c r="H5" s="17" t="s">
        <v>16</v>
      </c>
      <c r="I5" s="17"/>
      <c r="J5" s="17"/>
      <c r="K5" s="17" t="str">
        <f>IF(AND(DailyCheck[[#This Row],[Required On-Site]]="Yes",DailyCheck[[#This Row],[Manager Review]]="Remote"),"Compliance Issue","")</f>
        <v/>
      </c>
    </row>
    <row r="6" spans="1:11" hidden="1">
      <c r="A6" s="16">
        <f>IF(B6="", "", DATE(2026, 9, COUNTIFS($B$2:$B6, B6)))</f>
        <v>46270</v>
      </c>
      <c r="B6" s="17" t="s">
        <v>11</v>
      </c>
      <c r="C6" s="17" t="s">
        <v>12</v>
      </c>
      <c r="D6" s="17" t="s">
        <v>13</v>
      </c>
      <c r="E6" s="17">
        <v>30001801</v>
      </c>
      <c r="F6" s="17" t="s">
        <v>14</v>
      </c>
      <c r="G6" s="17" t="s">
        <v>17</v>
      </c>
      <c r="H6" s="17"/>
      <c r="I6" s="17"/>
      <c r="J6" s="17"/>
      <c r="K6" s="17" t="str">
        <f>IF(AND(DailyCheck[[#This Row],[Required On-Site]]="Yes",DailyCheck[[#This Row],[Manager Review]]="Remote"),"Compliance Issue","")</f>
        <v/>
      </c>
    </row>
    <row r="7" spans="1:11" hidden="1">
      <c r="A7" s="16">
        <f>IF(B7="", "", DATE(2026, 9, COUNTIFS($B$2:$B7, B7)))</f>
        <v>46271</v>
      </c>
      <c r="B7" s="17" t="s">
        <v>11</v>
      </c>
      <c r="C7" s="17" t="s">
        <v>12</v>
      </c>
      <c r="D7" s="17" t="s">
        <v>13</v>
      </c>
      <c r="E7" s="17">
        <v>30001801</v>
      </c>
      <c r="F7" s="17" t="s">
        <v>14</v>
      </c>
      <c r="G7" s="17" t="s">
        <v>17</v>
      </c>
      <c r="H7" s="17"/>
      <c r="I7" s="17"/>
      <c r="J7" s="17"/>
      <c r="K7" s="17" t="str">
        <f>IF(AND(DailyCheck[[#This Row],[Required On-Site]]="Yes",DailyCheck[[#This Row],[Manager Review]]="Remote"),"Compliance Issue","")</f>
        <v/>
      </c>
    </row>
    <row r="8" spans="1:11" hidden="1">
      <c r="A8" s="16">
        <f>IF(B8="", "", DATE(2026, 9, COUNTIFS($B$2:$B8, B8)))</f>
        <v>46272</v>
      </c>
      <c r="B8" s="17" t="s">
        <v>11</v>
      </c>
      <c r="C8" s="17" t="s">
        <v>12</v>
      </c>
      <c r="D8" s="17" t="s">
        <v>13</v>
      </c>
      <c r="E8" s="17">
        <v>30001801</v>
      </c>
      <c r="F8" s="17" t="s">
        <v>16</v>
      </c>
      <c r="G8" s="17" t="s">
        <v>18</v>
      </c>
      <c r="H8" s="17"/>
      <c r="I8" s="17"/>
      <c r="J8" s="17"/>
      <c r="K8" s="17" t="str">
        <f>IF(AND(DailyCheck[[#This Row],[Required On-Site]]="Yes",DailyCheck[[#This Row],[Manager Review]]="Remote"),"Compliance Issue","")</f>
        <v/>
      </c>
    </row>
    <row r="9" spans="1:11" hidden="1">
      <c r="A9" s="16">
        <f>IF(B9="", "", DATE(2026, 9, COUNTIFS($B$2:$B9, B9)))</f>
        <v>46273</v>
      </c>
      <c r="B9" s="17" t="s">
        <v>11</v>
      </c>
      <c r="C9" s="17" t="s">
        <v>12</v>
      </c>
      <c r="D9" s="17" t="s">
        <v>13</v>
      </c>
      <c r="E9" s="17">
        <v>30001801</v>
      </c>
      <c r="F9" s="17" t="s">
        <v>14</v>
      </c>
      <c r="G9" s="20" t="s">
        <v>19</v>
      </c>
      <c r="H9" s="17"/>
      <c r="I9" s="17"/>
      <c r="J9" s="17"/>
      <c r="K9" s="17" t="str">
        <f>IF(AND(DailyCheck[[#This Row],[Required On-Site]]="Yes",DailyCheck[[#This Row],[Manager Review]]="Remote"),"Compliance Issue","")</f>
        <v/>
      </c>
    </row>
    <row r="10" spans="1:11" hidden="1">
      <c r="A10" s="16">
        <f>IF(B10="", "", DATE(2026, 9, COUNTIFS($B$2:$B10, B10)))</f>
        <v>46274</v>
      </c>
      <c r="B10" s="17" t="s">
        <v>11</v>
      </c>
      <c r="C10" s="17" t="s">
        <v>12</v>
      </c>
      <c r="D10" s="17" t="s">
        <v>13</v>
      </c>
      <c r="E10" s="17">
        <v>30001801</v>
      </c>
      <c r="F10" s="17" t="s">
        <v>14</v>
      </c>
      <c r="G10" s="20" t="s">
        <v>19</v>
      </c>
      <c r="H10" s="17"/>
      <c r="I10" s="17"/>
      <c r="J10" s="17"/>
      <c r="K10" s="17" t="str">
        <f>IF(AND(DailyCheck[[#This Row],[Required On-Site]]="Yes",DailyCheck[[#This Row],[Manager Review]]="Remote"),"Compliance Issue","")</f>
        <v/>
      </c>
    </row>
    <row r="11" spans="1:11" hidden="1">
      <c r="A11" s="16">
        <f>IF(B11="", "", DATE(2026, 9, COUNTIFS($B$2:$B11, B11)))</f>
        <v>46275</v>
      </c>
      <c r="B11" s="17" t="s">
        <v>11</v>
      </c>
      <c r="C11" s="17" t="s">
        <v>12</v>
      </c>
      <c r="D11" s="17" t="s">
        <v>13</v>
      </c>
      <c r="E11" s="17">
        <v>30001801</v>
      </c>
      <c r="F11" s="17" t="s">
        <v>16</v>
      </c>
      <c r="G11" s="17" t="s">
        <v>18</v>
      </c>
      <c r="H11" s="17"/>
      <c r="I11" s="17"/>
      <c r="J11" s="17"/>
      <c r="K11" s="17" t="str">
        <f>IF(AND(DailyCheck[[#This Row],[Required On-Site]]="Yes",DailyCheck[[#This Row],[Manager Review]]="Remote"),"Compliance Issue","")</f>
        <v/>
      </c>
    </row>
    <row r="12" spans="1:11" hidden="1">
      <c r="A12" s="16">
        <f>IF(B12="", "", DATE(2026, 9, COUNTIFS($B$2:$B12, B12)))</f>
        <v>46276</v>
      </c>
      <c r="B12" s="17" t="s">
        <v>11</v>
      </c>
      <c r="C12" s="17" t="s">
        <v>12</v>
      </c>
      <c r="D12" s="17" t="s">
        <v>13</v>
      </c>
      <c r="E12" s="17">
        <v>30001801</v>
      </c>
      <c r="F12" s="17" t="s">
        <v>16</v>
      </c>
      <c r="G12" s="17" t="s">
        <v>19</v>
      </c>
      <c r="H12" s="17" t="s">
        <v>16</v>
      </c>
      <c r="I12" s="17"/>
      <c r="J12" s="17"/>
      <c r="K12" s="17" t="str">
        <f>IF(AND(DailyCheck[[#This Row],[Required On-Site]]="Yes",DailyCheck[[#This Row],[Manager Review]]="Remote"),"Compliance Issue","")</f>
        <v>Compliance Issue</v>
      </c>
    </row>
    <row r="13" spans="1:11" hidden="1">
      <c r="A13" s="16">
        <f>IF(B13="", "", DATE(2026, 9, COUNTIFS($B$2:$B13, B13)))</f>
        <v>46277</v>
      </c>
      <c r="B13" s="17" t="s">
        <v>11</v>
      </c>
      <c r="C13" s="17" t="s">
        <v>12</v>
      </c>
      <c r="D13" s="17" t="s">
        <v>13</v>
      </c>
      <c r="E13" s="17">
        <v>30001801</v>
      </c>
      <c r="F13" s="17" t="s">
        <v>14</v>
      </c>
      <c r="G13" s="17" t="s">
        <v>17</v>
      </c>
      <c r="H13" s="17"/>
      <c r="I13" s="17"/>
      <c r="J13" s="17"/>
      <c r="K13" s="17" t="str">
        <f>IF(AND(DailyCheck[[#This Row],[Required On-Site]]="Yes",DailyCheck[[#This Row],[Manager Review]]="Remote"),"Compliance Issue","")</f>
        <v/>
      </c>
    </row>
    <row r="14" spans="1:11" hidden="1">
      <c r="A14" s="16">
        <f>IF(B14="", "", DATE(2026, 9, COUNTIFS($B$2:$B14, B14)))</f>
        <v>46278</v>
      </c>
      <c r="B14" s="17" t="s">
        <v>11</v>
      </c>
      <c r="C14" s="17" t="s">
        <v>12</v>
      </c>
      <c r="D14" s="17" t="s">
        <v>13</v>
      </c>
      <c r="E14" s="17">
        <v>30001801</v>
      </c>
      <c r="F14" s="17" t="s">
        <v>14</v>
      </c>
      <c r="G14" s="17" t="s">
        <v>17</v>
      </c>
      <c r="H14" s="17"/>
      <c r="I14" s="17"/>
      <c r="J14" s="17"/>
      <c r="K14" s="17" t="str">
        <f>IF(AND(DailyCheck[[#This Row],[Required On-Site]]="Yes",DailyCheck[[#This Row],[Manager Review]]="Remote"),"Compliance Issue","")</f>
        <v/>
      </c>
    </row>
    <row r="15" spans="1:11" hidden="1">
      <c r="A15" s="16">
        <f>IF(B15="", "", DATE(2026, 9, COUNTIFS($B$2:$B15, B15)))</f>
        <v>46279</v>
      </c>
      <c r="B15" s="17" t="s">
        <v>11</v>
      </c>
      <c r="C15" s="17" t="s">
        <v>12</v>
      </c>
      <c r="D15" s="17" t="s">
        <v>13</v>
      </c>
      <c r="E15" s="17">
        <v>30001801</v>
      </c>
      <c r="F15" s="17" t="s">
        <v>16</v>
      </c>
      <c r="G15" s="17" t="s">
        <v>18</v>
      </c>
      <c r="H15" s="17"/>
      <c r="I15" s="17"/>
      <c r="J15" s="17"/>
      <c r="K15" s="17" t="str">
        <f>IF(AND(DailyCheck[[#This Row],[Required On-Site]]="Yes",DailyCheck[[#This Row],[Manager Review]]="Remote"),"Compliance Issue","")</f>
        <v/>
      </c>
    </row>
    <row r="16" spans="1:11" hidden="1">
      <c r="A16" s="16">
        <f>IF(B16="", "", DATE(2026, 9, COUNTIFS($B$2:$B16, B16)))</f>
        <v>46280</v>
      </c>
      <c r="B16" s="17" t="s">
        <v>11</v>
      </c>
      <c r="C16" s="17" t="s">
        <v>12</v>
      </c>
      <c r="D16" s="17" t="s">
        <v>13</v>
      </c>
      <c r="E16" s="17">
        <v>30001801</v>
      </c>
      <c r="F16" s="17" t="s">
        <v>14</v>
      </c>
      <c r="G16" s="20" t="s">
        <v>19</v>
      </c>
      <c r="H16" s="17"/>
      <c r="I16" s="17"/>
      <c r="J16" s="17"/>
      <c r="K16" s="17" t="str">
        <f>IF(AND(DailyCheck[[#This Row],[Required On-Site]]="Yes",DailyCheck[[#This Row],[Manager Review]]="Remote"),"Compliance Issue","")</f>
        <v/>
      </c>
    </row>
    <row r="17" spans="1:11" hidden="1">
      <c r="A17" s="16">
        <f>IF(B17="", "", DATE(2026, 9, COUNTIFS($B$2:$B17, B17)))</f>
        <v>46281</v>
      </c>
      <c r="B17" s="17" t="s">
        <v>11</v>
      </c>
      <c r="C17" s="17" t="s">
        <v>12</v>
      </c>
      <c r="D17" s="17" t="s">
        <v>13</v>
      </c>
      <c r="E17" s="17">
        <v>30001801</v>
      </c>
      <c r="F17" s="17" t="s">
        <v>14</v>
      </c>
      <c r="G17" s="20" t="s">
        <v>19</v>
      </c>
      <c r="H17" s="17"/>
      <c r="I17" s="17"/>
      <c r="J17" s="17"/>
      <c r="K17" s="17" t="str">
        <f>IF(AND(DailyCheck[[#This Row],[Required On-Site]]="Yes",DailyCheck[[#This Row],[Manager Review]]="Remote"),"Compliance Issue","")</f>
        <v/>
      </c>
    </row>
    <row r="18" spans="1:11" hidden="1">
      <c r="A18" s="16">
        <f>IF(B18="", "", DATE(2026, 9, COUNTIFS($B$2:$B18, B18)))</f>
        <v>46282</v>
      </c>
      <c r="B18" s="17" t="s">
        <v>11</v>
      </c>
      <c r="C18" s="17" t="s">
        <v>12</v>
      </c>
      <c r="D18" s="17" t="s">
        <v>13</v>
      </c>
      <c r="E18" s="17">
        <v>30001801</v>
      </c>
      <c r="F18" s="17" t="s">
        <v>16</v>
      </c>
      <c r="G18" s="17" t="s">
        <v>18</v>
      </c>
      <c r="H18" s="17"/>
      <c r="I18" s="17"/>
      <c r="J18" s="17"/>
      <c r="K18" s="17" t="str">
        <f>IF(AND(DailyCheck[[#This Row],[Required On-Site]]="Yes",DailyCheck[[#This Row],[Manager Review]]="Remote"),"Compliance Issue","")</f>
        <v/>
      </c>
    </row>
    <row r="19" spans="1:11" hidden="1">
      <c r="A19" s="16">
        <f>IF(B19="", "", DATE(2026, 9, COUNTIFS($B$2:$B19, B19)))</f>
        <v>46283</v>
      </c>
      <c r="B19" s="17" t="s">
        <v>11</v>
      </c>
      <c r="C19" s="17" t="s">
        <v>12</v>
      </c>
      <c r="D19" s="17" t="s">
        <v>13</v>
      </c>
      <c r="E19" s="17">
        <v>30001801</v>
      </c>
      <c r="F19" s="17" t="s">
        <v>16</v>
      </c>
      <c r="G19" s="17" t="s">
        <v>19</v>
      </c>
      <c r="H19" s="17" t="s">
        <v>16</v>
      </c>
      <c r="I19" s="17"/>
      <c r="J19" s="17"/>
      <c r="K19" s="17" t="str">
        <f>IF(AND(DailyCheck[[#This Row],[Required On-Site]]="Yes",DailyCheck[[#This Row],[Manager Review]]="Remote"),"Compliance Issue","")</f>
        <v>Compliance Issue</v>
      </c>
    </row>
    <row r="20" spans="1:11" hidden="1">
      <c r="A20" s="16">
        <f>IF(B20="", "", DATE(2026, 9, COUNTIFS($B$2:$B20, B20)))</f>
        <v>46284</v>
      </c>
      <c r="B20" s="17" t="s">
        <v>11</v>
      </c>
      <c r="C20" s="17" t="s">
        <v>12</v>
      </c>
      <c r="D20" s="17" t="s">
        <v>13</v>
      </c>
      <c r="E20" s="17">
        <v>30001801</v>
      </c>
      <c r="F20" s="17" t="s">
        <v>14</v>
      </c>
      <c r="G20" s="17" t="s">
        <v>17</v>
      </c>
      <c r="H20" s="17"/>
      <c r="I20" s="17"/>
      <c r="J20" s="17"/>
      <c r="K20" s="17" t="str">
        <f>IF(AND(DailyCheck[[#This Row],[Required On-Site]]="Yes",DailyCheck[[#This Row],[Manager Review]]="Remote"),"Compliance Issue","")</f>
        <v/>
      </c>
    </row>
    <row r="21" spans="1:11" hidden="1">
      <c r="A21" s="16">
        <f>IF(B21="", "", DATE(2026, 9, COUNTIFS($B$2:$B21, B21)))</f>
        <v>46285</v>
      </c>
      <c r="B21" s="17" t="s">
        <v>11</v>
      </c>
      <c r="C21" s="17" t="s">
        <v>12</v>
      </c>
      <c r="D21" s="17" t="s">
        <v>13</v>
      </c>
      <c r="E21" s="17">
        <v>30001801</v>
      </c>
      <c r="F21" s="17" t="s">
        <v>14</v>
      </c>
      <c r="G21" s="17" t="s">
        <v>17</v>
      </c>
      <c r="H21" s="17"/>
      <c r="I21" s="17"/>
      <c r="J21" s="17"/>
      <c r="K21" s="17" t="str">
        <f>IF(AND(DailyCheck[[#This Row],[Required On-Site]]="Yes",DailyCheck[[#This Row],[Manager Review]]="Remote"),"Compliance Issue","")</f>
        <v/>
      </c>
    </row>
    <row r="22" spans="1:11" hidden="1">
      <c r="A22" s="16">
        <f>IF(B22="", "", DATE(2026, 9, COUNTIFS($B$2:$B22, B22)))</f>
        <v>46286</v>
      </c>
      <c r="B22" s="17" t="s">
        <v>11</v>
      </c>
      <c r="C22" s="17" t="s">
        <v>12</v>
      </c>
      <c r="D22" s="17" t="s">
        <v>13</v>
      </c>
      <c r="E22" s="17">
        <v>30001801</v>
      </c>
      <c r="F22" s="17" t="s">
        <v>16</v>
      </c>
      <c r="G22" s="17" t="s">
        <v>18</v>
      </c>
      <c r="H22" s="17"/>
      <c r="I22" s="17"/>
      <c r="J22" s="17"/>
      <c r="K22" s="17" t="str">
        <f>IF(AND(DailyCheck[[#This Row],[Required On-Site]]="Yes",DailyCheck[[#This Row],[Manager Review]]="Remote"),"Compliance Issue","")</f>
        <v/>
      </c>
    </row>
    <row r="23" spans="1:11" hidden="1">
      <c r="A23" s="16">
        <f>IF(B23="", "", DATE(2026, 9, COUNTIFS($B$2:$B23, B23)))</f>
        <v>46287</v>
      </c>
      <c r="B23" s="17" t="s">
        <v>11</v>
      </c>
      <c r="C23" s="17" t="s">
        <v>12</v>
      </c>
      <c r="D23" s="17" t="s">
        <v>13</v>
      </c>
      <c r="E23" s="17">
        <v>30001801</v>
      </c>
      <c r="F23" s="17" t="s">
        <v>14</v>
      </c>
      <c r="G23" s="20" t="s">
        <v>19</v>
      </c>
      <c r="H23" s="17"/>
      <c r="I23" s="17"/>
      <c r="J23" s="17"/>
      <c r="K23" s="17" t="str">
        <f>IF(AND(DailyCheck[[#This Row],[Required On-Site]]="Yes",DailyCheck[[#This Row],[Manager Review]]="Remote"),"Compliance Issue","")</f>
        <v/>
      </c>
    </row>
    <row r="24" spans="1:11" hidden="1">
      <c r="A24" s="16">
        <f>IF(B24="", "", DATE(2026, 9, COUNTIFS($B$2:$B24, B24)))</f>
        <v>46288</v>
      </c>
      <c r="B24" s="17" t="s">
        <v>11</v>
      </c>
      <c r="C24" s="17" t="s">
        <v>12</v>
      </c>
      <c r="D24" s="17" t="s">
        <v>13</v>
      </c>
      <c r="E24" s="17">
        <v>30001801</v>
      </c>
      <c r="F24" s="17" t="s">
        <v>14</v>
      </c>
      <c r="G24" s="20" t="s">
        <v>19</v>
      </c>
      <c r="H24" s="17"/>
      <c r="I24" s="17"/>
      <c r="J24" s="17"/>
      <c r="K24" s="17" t="str">
        <f>IF(AND(DailyCheck[[#This Row],[Required On-Site]]="Yes",DailyCheck[[#This Row],[Manager Review]]="Remote"),"Compliance Issue","")</f>
        <v/>
      </c>
    </row>
    <row r="25" spans="1:11" hidden="1">
      <c r="A25" s="16">
        <f>IF(B25="", "", DATE(2026, 9, COUNTIFS($B$2:$B25, B25)))</f>
        <v>46289</v>
      </c>
      <c r="B25" s="17" t="s">
        <v>11</v>
      </c>
      <c r="C25" s="17" t="s">
        <v>12</v>
      </c>
      <c r="D25" s="17" t="s">
        <v>13</v>
      </c>
      <c r="E25" s="17">
        <v>30001801</v>
      </c>
      <c r="F25" s="17" t="s">
        <v>16</v>
      </c>
      <c r="G25" s="17" t="s">
        <v>18</v>
      </c>
      <c r="H25" s="17"/>
      <c r="I25" s="17"/>
      <c r="J25" s="17"/>
      <c r="K25" s="17" t="str">
        <f>IF(AND(DailyCheck[[#This Row],[Required On-Site]]="Yes",DailyCheck[[#This Row],[Manager Review]]="Remote"),"Compliance Issue","")</f>
        <v/>
      </c>
    </row>
    <row r="26" spans="1:11" hidden="1">
      <c r="A26" s="16">
        <f>IF(B26="", "", DATE(2026, 9, COUNTIFS($B$2:$B26, B26)))</f>
        <v>46290</v>
      </c>
      <c r="B26" s="17" t="s">
        <v>11</v>
      </c>
      <c r="C26" s="17" t="s">
        <v>12</v>
      </c>
      <c r="D26" s="17" t="s">
        <v>13</v>
      </c>
      <c r="E26" s="17">
        <v>30001801</v>
      </c>
      <c r="F26" s="17" t="s">
        <v>16</v>
      </c>
      <c r="G26" s="17" t="s">
        <v>19</v>
      </c>
      <c r="H26" s="17" t="s">
        <v>16</v>
      </c>
      <c r="I26" s="17"/>
      <c r="J26" s="17"/>
      <c r="K26" s="17" t="str">
        <f>IF(AND(DailyCheck[[#This Row],[Required On-Site]]="Yes",DailyCheck[[#This Row],[Manager Review]]="Remote"),"Compliance Issue","")</f>
        <v>Compliance Issue</v>
      </c>
    </row>
    <row r="27" spans="1:11" hidden="1">
      <c r="A27" s="16">
        <f>IF(B27="", "", DATE(2026, 9, COUNTIFS($B$2:$B27, B27)))</f>
        <v>46291</v>
      </c>
      <c r="B27" s="17" t="s">
        <v>11</v>
      </c>
      <c r="C27" s="17" t="s">
        <v>12</v>
      </c>
      <c r="D27" s="17" t="s">
        <v>13</v>
      </c>
      <c r="E27" s="17">
        <v>30001801</v>
      </c>
      <c r="F27" s="17" t="s">
        <v>14</v>
      </c>
      <c r="G27" s="17" t="s">
        <v>17</v>
      </c>
      <c r="H27" s="17"/>
      <c r="I27" s="17"/>
      <c r="J27" s="17"/>
      <c r="K27" s="17" t="str">
        <f>IF(AND(DailyCheck[[#This Row],[Required On-Site]]="Yes",DailyCheck[[#This Row],[Manager Review]]="Remote"),"Compliance Issue","")</f>
        <v/>
      </c>
    </row>
    <row r="28" spans="1:11" hidden="1">
      <c r="A28" s="16">
        <f>IF(B28="", "", DATE(2026, 9, COUNTIFS($B$2:$B28, B28)))</f>
        <v>46292</v>
      </c>
      <c r="B28" s="17" t="s">
        <v>11</v>
      </c>
      <c r="C28" s="17" t="s">
        <v>12</v>
      </c>
      <c r="D28" s="17" t="s">
        <v>13</v>
      </c>
      <c r="E28" s="17">
        <v>30001801</v>
      </c>
      <c r="F28" s="17" t="s">
        <v>14</v>
      </c>
      <c r="G28" s="17" t="s">
        <v>17</v>
      </c>
      <c r="H28" s="17"/>
      <c r="I28" s="17"/>
      <c r="J28" s="17"/>
      <c r="K28" s="17" t="str">
        <f>IF(AND(DailyCheck[[#This Row],[Required On-Site]]="Yes",DailyCheck[[#This Row],[Manager Review]]="Remote"),"Compliance Issue","")</f>
        <v/>
      </c>
    </row>
    <row r="29" spans="1:11" hidden="1">
      <c r="A29" s="16">
        <f>IF(B29="", "", DATE(2026, 9, COUNTIFS($B$2:$B29, B29)))</f>
        <v>46293</v>
      </c>
      <c r="B29" s="17" t="s">
        <v>11</v>
      </c>
      <c r="C29" s="17" t="s">
        <v>12</v>
      </c>
      <c r="D29" s="17" t="s">
        <v>13</v>
      </c>
      <c r="E29" s="17">
        <v>30001801</v>
      </c>
      <c r="F29" s="17" t="s">
        <v>16</v>
      </c>
      <c r="G29" s="17" t="s">
        <v>18</v>
      </c>
      <c r="H29" s="17"/>
      <c r="I29" s="17"/>
      <c r="J29" s="17"/>
      <c r="K29" s="17" t="str">
        <f>IF(AND(DailyCheck[[#This Row],[Required On-Site]]="Yes",DailyCheck[[#This Row],[Manager Review]]="Remote"),"Compliance Issue","")</f>
        <v/>
      </c>
    </row>
    <row r="30" spans="1:11" hidden="1">
      <c r="A30" s="16">
        <f>IF(B30="", "", DATE(2026, 9, COUNTIFS($B$2:$B30, B30)))</f>
        <v>46294</v>
      </c>
      <c r="B30" s="17" t="s">
        <v>11</v>
      </c>
      <c r="C30" s="17" t="s">
        <v>12</v>
      </c>
      <c r="D30" s="17" t="s">
        <v>13</v>
      </c>
      <c r="E30" s="17">
        <v>30001801</v>
      </c>
      <c r="F30" s="17" t="s">
        <v>14</v>
      </c>
      <c r="G30" s="20" t="s">
        <v>19</v>
      </c>
      <c r="H30" s="17"/>
      <c r="I30" s="17"/>
      <c r="J30" s="17"/>
      <c r="K30" s="17" t="str">
        <f>IF(AND(DailyCheck[[#This Row],[Required On-Site]]="Yes",DailyCheck[[#This Row],[Manager Review]]="Remote"),"Compliance Issue","")</f>
        <v/>
      </c>
    </row>
    <row r="31" spans="1:11" hidden="1">
      <c r="A31" s="16">
        <f>IF(B31="", "", DATE(2026, 9, COUNTIFS($B$2:$B31, B31)))</f>
        <v>46295</v>
      </c>
      <c r="B31" s="17" t="s">
        <v>11</v>
      </c>
      <c r="C31" s="17" t="s">
        <v>12</v>
      </c>
      <c r="D31" s="17" t="s">
        <v>13</v>
      </c>
      <c r="E31" s="17">
        <v>30001801</v>
      </c>
      <c r="F31" s="17" t="s">
        <v>14</v>
      </c>
      <c r="G31" s="20" t="s">
        <v>19</v>
      </c>
      <c r="H31" s="17"/>
      <c r="I31" s="17"/>
      <c r="J31" s="17"/>
      <c r="K31" s="17" t="str">
        <f>IF(AND(DailyCheck[[#This Row],[Required On-Site]]="Yes",DailyCheck[[#This Row],[Manager Review]]="Remote"),"Compliance Issue","")</f>
        <v/>
      </c>
    </row>
    <row r="32" spans="1:11" hidden="1">
      <c r="A32" s="16">
        <f>IF(B32="", "", DATE(2026, 9, COUNTIFS($B$2:$B32, B32)))</f>
        <v>46266</v>
      </c>
      <c r="B32" s="17" t="s">
        <v>20</v>
      </c>
      <c r="C32" s="17" t="s">
        <v>12</v>
      </c>
      <c r="D32" s="17" t="s">
        <v>21</v>
      </c>
      <c r="E32" s="17">
        <v>30001994</v>
      </c>
      <c r="F32" s="17" t="s">
        <v>16</v>
      </c>
      <c r="G32" s="20" t="s">
        <v>18</v>
      </c>
      <c r="H32" s="17"/>
      <c r="I32" s="17"/>
      <c r="J32" s="17"/>
      <c r="K32" s="17" t="str">
        <f>IF(AND(DailyCheck[[#This Row],[Required On-Site]]="Yes",DailyCheck[[#This Row],[Manager Review]]="Remote"),"Compliance Issue","")</f>
        <v/>
      </c>
    </row>
    <row r="33" spans="1:11" hidden="1">
      <c r="A33" s="16">
        <f>IF(B33="", "", DATE(2026, 9, COUNTIFS($B$2:$B33, B33)))</f>
        <v>46267</v>
      </c>
      <c r="B33" s="17" t="s">
        <v>20</v>
      </c>
      <c r="C33" s="17" t="s">
        <v>12</v>
      </c>
      <c r="D33" s="17" t="s">
        <v>21</v>
      </c>
      <c r="E33" s="17">
        <v>30001994</v>
      </c>
      <c r="F33" s="17" t="s">
        <v>16</v>
      </c>
      <c r="G33" s="20" t="s">
        <v>18</v>
      </c>
      <c r="H33" s="17"/>
      <c r="I33" s="17"/>
      <c r="J33" s="17"/>
      <c r="K33" s="17" t="str">
        <f>IF(AND(DailyCheck[[#This Row],[Required On-Site]]="Yes",DailyCheck[[#This Row],[Manager Review]]="Remote"),"Compliance Issue","")</f>
        <v/>
      </c>
    </row>
    <row r="34" spans="1:11" hidden="1">
      <c r="A34" s="16">
        <f>IF(B34="", "", DATE(2026, 9, COUNTIFS($B$2:$B34, B34)))</f>
        <v>46268</v>
      </c>
      <c r="B34" s="17" t="s">
        <v>20</v>
      </c>
      <c r="C34" s="17" t="s">
        <v>12</v>
      </c>
      <c r="D34" s="17" t="s">
        <v>21</v>
      </c>
      <c r="E34" s="17">
        <v>30001994</v>
      </c>
      <c r="F34" s="17" t="s">
        <v>14</v>
      </c>
      <c r="G34" s="17" t="s">
        <v>19</v>
      </c>
      <c r="H34" s="17"/>
      <c r="I34" s="17"/>
      <c r="J34" s="17"/>
      <c r="K34" s="17" t="str">
        <f>IF(AND(DailyCheck[[#This Row],[Required On-Site]]="Yes",DailyCheck[[#This Row],[Manager Review]]="Remote"),"Compliance Issue","")</f>
        <v/>
      </c>
    </row>
    <row r="35" spans="1:11" hidden="1">
      <c r="A35" s="16">
        <f>IF(B35="", "", DATE(2026, 9, COUNTIFS($B$2:$B35, B35)))</f>
        <v>46269</v>
      </c>
      <c r="B35" s="17" t="s">
        <v>20</v>
      </c>
      <c r="C35" s="17" t="s">
        <v>12</v>
      </c>
      <c r="D35" s="17" t="s">
        <v>21</v>
      </c>
      <c r="E35" s="17">
        <v>30001994</v>
      </c>
      <c r="F35" s="17" t="s">
        <v>14</v>
      </c>
      <c r="G35" s="17" t="s">
        <v>19</v>
      </c>
      <c r="H35" s="17"/>
      <c r="I35" s="17"/>
      <c r="J35" s="17"/>
      <c r="K35" s="17" t="str">
        <f>IF(AND(DailyCheck[[#This Row],[Required On-Site]]="Yes",DailyCheck[[#This Row],[Manager Review]]="Remote"),"Compliance Issue","")</f>
        <v/>
      </c>
    </row>
    <row r="36" spans="1:11" hidden="1">
      <c r="A36" s="16">
        <f>IF(B36="", "", DATE(2026, 9, COUNTIFS($B$2:$B36, B36)))</f>
        <v>46270</v>
      </c>
      <c r="B36" s="17" t="s">
        <v>20</v>
      </c>
      <c r="C36" s="17" t="s">
        <v>12</v>
      </c>
      <c r="D36" s="17" t="s">
        <v>21</v>
      </c>
      <c r="E36" s="17">
        <v>30001994</v>
      </c>
      <c r="F36" s="17" t="s">
        <v>14</v>
      </c>
      <c r="G36" s="17" t="s">
        <v>17</v>
      </c>
      <c r="H36" s="17"/>
      <c r="I36" s="17"/>
      <c r="J36" s="17"/>
      <c r="K36" s="17" t="str">
        <f>IF(AND(DailyCheck[[#This Row],[Required On-Site]]="Yes",DailyCheck[[#This Row],[Manager Review]]="Remote"),"Compliance Issue","")</f>
        <v/>
      </c>
    </row>
    <row r="37" spans="1:11" hidden="1">
      <c r="A37" s="16">
        <f>IF(B37="", "", DATE(2026, 9, COUNTIFS($B$2:$B37, B37)))</f>
        <v>46271</v>
      </c>
      <c r="B37" s="17" t="s">
        <v>20</v>
      </c>
      <c r="C37" s="17" t="s">
        <v>12</v>
      </c>
      <c r="D37" s="17" t="s">
        <v>21</v>
      </c>
      <c r="E37" s="17">
        <v>30001994</v>
      </c>
      <c r="F37" s="17" t="s">
        <v>14</v>
      </c>
      <c r="G37" s="17" t="s">
        <v>17</v>
      </c>
      <c r="H37" s="17"/>
      <c r="I37" s="17"/>
      <c r="J37" s="17"/>
      <c r="K37" s="17" t="str">
        <f>IF(AND(DailyCheck[[#This Row],[Required On-Site]]="Yes",DailyCheck[[#This Row],[Manager Review]]="Remote"),"Compliance Issue","")</f>
        <v/>
      </c>
    </row>
    <row r="38" spans="1:11" hidden="1">
      <c r="A38" s="16">
        <f>IF(B38="", "", DATE(2026, 9, COUNTIFS($B$2:$B38, B38)))</f>
        <v>46272</v>
      </c>
      <c r="B38" s="17" t="s">
        <v>20</v>
      </c>
      <c r="C38" s="17" t="s">
        <v>12</v>
      </c>
      <c r="D38" s="17" t="s">
        <v>21</v>
      </c>
      <c r="E38" s="17">
        <v>30001994</v>
      </c>
      <c r="F38" s="17" t="s">
        <v>16</v>
      </c>
      <c r="G38" s="17" t="s">
        <v>18</v>
      </c>
      <c r="H38" s="17"/>
      <c r="I38" s="17"/>
      <c r="J38" s="17"/>
      <c r="K38" s="17" t="str">
        <f>IF(AND(DailyCheck[[#This Row],[Required On-Site]]="Yes",DailyCheck[[#This Row],[Manager Review]]="Remote"),"Compliance Issue","")</f>
        <v/>
      </c>
    </row>
    <row r="39" spans="1:11" hidden="1">
      <c r="A39" s="16">
        <f>IF(B39="", "", DATE(2026, 9, COUNTIFS($B$2:$B39, B39)))</f>
        <v>46273</v>
      </c>
      <c r="B39" s="17" t="s">
        <v>20</v>
      </c>
      <c r="C39" s="17" t="s">
        <v>12</v>
      </c>
      <c r="D39" s="17" t="s">
        <v>21</v>
      </c>
      <c r="E39" s="17">
        <v>30001994</v>
      </c>
      <c r="F39" s="17" t="s">
        <v>16</v>
      </c>
      <c r="G39" s="20" t="s">
        <v>18</v>
      </c>
      <c r="H39" s="17"/>
      <c r="I39" s="17"/>
      <c r="J39" s="17"/>
      <c r="K39" s="17" t="str">
        <f>IF(AND(DailyCheck[[#This Row],[Required On-Site]]="Yes",DailyCheck[[#This Row],[Manager Review]]="Remote"),"Compliance Issue","")</f>
        <v/>
      </c>
    </row>
    <row r="40" spans="1:11" hidden="1">
      <c r="A40" s="16">
        <f>IF(B40="", "", DATE(2026, 9, COUNTIFS($B$2:$B40, B40)))</f>
        <v>46274</v>
      </c>
      <c r="B40" s="17" t="s">
        <v>20</v>
      </c>
      <c r="C40" s="17" t="s">
        <v>12</v>
      </c>
      <c r="D40" s="17" t="s">
        <v>21</v>
      </c>
      <c r="E40" s="17">
        <v>30001994</v>
      </c>
      <c r="F40" s="17" t="s">
        <v>16</v>
      </c>
      <c r="G40" s="20" t="s">
        <v>18</v>
      </c>
      <c r="H40" s="17"/>
      <c r="I40" s="17"/>
      <c r="J40" s="17"/>
      <c r="K40" s="17" t="str">
        <f>IF(AND(DailyCheck[[#This Row],[Required On-Site]]="Yes",DailyCheck[[#This Row],[Manager Review]]="Remote"),"Compliance Issue","")</f>
        <v/>
      </c>
    </row>
    <row r="41" spans="1:11" hidden="1">
      <c r="A41" s="16">
        <f>IF(B41="", "", DATE(2026, 9, COUNTIFS($B$2:$B41, B41)))</f>
        <v>46275</v>
      </c>
      <c r="B41" s="17" t="s">
        <v>20</v>
      </c>
      <c r="C41" s="17" t="s">
        <v>12</v>
      </c>
      <c r="D41" s="17" t="s">
        <v>21</v>
      </c>
      <c r="E41" s="17">
        <v>30001994</v>
      </c>
      <c r="F41" s="17" t="s">
        <v>14</v>
      </c>
      <c r="G41" s="17" t="s">
        <v>19</v>
      </c>
      <c r="H41" s="17"/>
      <c r="I41" s="17"/>
      <c r="J41" s="17"/>
      <c r="K41" s="17" t="str">
        <f>IF(AND(DailyCheck[[#This Row],[Required On-Site]]="Yes",DailyCheck[[#This Row],[Manager Review]]="Remote"),"Compliance Issue","")</f>
        <v/>
      </c>
    </row>
    <row r="42" spans="1:11" hidden="1">
      <c r="A42" s="16">
        <f>IF(B42="", "", DATE(2026, 9, COUNTIFS($B$2:$B42, B42)))</f>
        <v>46276</v>
      </c>
      <c r="B42" s="17" t="s">
        <v>20</v>
      </c>
      <c r="C42" s="17" t="s">
        <v>12</v>
      </c>
      <c r="D42" s="17" t="s">
        <v>21</v>
      </c>
      <c r="E42" s="17">
        <v>30001994</v>
      </c>
      <c r="F42" s="17" t="s">
        <v>14</v>
      </c>
      <c r="G42" s="17" t="s">
        <v>19</v>
      </c>
      <c r="H42" s="17"/>
      <c r="I42" s="17"/>
      <c r="J42" s="17"/>
      <c r="K42" s="17" t="str">
        <f>IF(AND(DailyCheck[[#This Row],[Required On-Site]]="Yes",DailyCheck[[#This Row],[Manager Review]]="Remote"),"Compliance Issue","")</f>
        <v/>
      </c>
    </row>
    <row r="43" spans="1:11" hidden="1">
      <c r="A43" s="16">
        <f>IF(B43="", "", DATE(2026, 9, COUNTIFS($B$2:$B43, B43)))</f>
        <v>46277</v>
      </c>
      <c r="B43" s="17" t="s">
        <v>20</v>
      </c>
      <c r="C43" s="17" t="s">
        <v>12</v>
      </c>
      <c r="D43" s="17" t="s">
        <v>21</v>
      </c>
      <c r="E43" s="17">
        <v>30001994</v>
      </c>
      <c r="F43" s="17" t="s">
        <v>14</v>
      </c>
      <c r="G43" s="17" t="s">
        <v>17</v>
      </c>
      <c r="H43" s="17"/>
      <c r="I43" s="17"/>
      <c r="J43" s="17"/>
      <c r="K43" s="17" t="str">
        <f>IF(AND(DailyCheck[[#This Row],[Required On-Site]]="Yes",DailyCheck[[#This Row],[Manager Review]]="Remote"),"Compliance Issue","")</f>
        <v/>
      </c>
    </row>
    <row r="44" spans="1:11" hidden="1">
      <c r="A44" s="16">
        <f>IF(B44="", "", DATE(2026, 9, COUNTIFS($B$2:$B44, B44)))</f>
        <v>46278</v>
      </c>
      <c r="B44" s="17" t="s">
        <v>20</v>
      </c>
      <c r="C44" s="17" t="s">
        <v>12</v>
      </c>
      <c r="D44" s="17" t="s">
        <v>21</v>
      </c>
      <c r="E44" s="17">
        <v>30001994</v>
      </c>
      <c r="F44" s="17" t="s">
        <v>14</v>
      </c>
      <c r="G44" s="17" t="s">
        <v>17</v>
      </c>
      <c r="H44" s="17"/>
      <c r="I44" s="17"/>
      <c r="J44" s="17"/>
      <c r="K44" s="17" t="str">
        <f>IF(AND(DailyCheck[[#This Row],[Required On-Site]]="Yes",DailyCheck[[#This Row],[Manager Review]]="Remote"),"Compliance Issue","")</f>
        <v/>
      </c>
    </row>
    <row r="45" spans="1:11" hidden="1">
      <c r="A45" s="16">
        <f>IF(B45="", "", DATE(2026, 9, COUNTIFS($B$2:$B45, B45)))</f>
        <v>46279</v>
      </c>
      <c r="B45" s="17" t="s">
        <v>20</v>
      </c>
      <c r="C45" s="17" t="s">
        <v>12</v>
      </c>
      <c r="D45" s="17" t="s">
        <v>21</v>
      </c>
      <c r="E45" s="17">
        <v>30001994</v>
      </c>
      <c r="F45" s="17" t="s">
        <v>16</v>
      </c>
      <c r="G45" s="17" t="s">
        <v>18</v>
      </c>
      <c r="H45" s="17"/>
      <c r="I45" s="17"/>
      <c r="J45" s="17"/>
      <c r="K45" s="17" t="str">
        <f>IF(AND(DailyCheck[[#This Row],[Required On-Site]]="Yes",DailyCheck[[#This Row],[Manager Review]]="Remote"),"Compliance Issue","")</f>
        <v/>
      </c>
    </row>
    <row r="46" spans="1:11" hidden="1">
      <c r="A46" s="16">
        <f>IF(B46="", "", DATE(2026, 9, COUNTIFS($B$2:$B46, B46)))</f>
        <v>46280</v>
      </c>
      <c r="B46" s="17" t="s">
        <v>20</v>
      </c>
      <c r="C46" s="17" t="s">
        <v>12</v>
      </c>
      <c r="D46" s="17" t="s">
        <v>21</v>
      </c>
      <c r="E46" s="17">
        <v>30001994</v>
      </c>
      <c r="F46" s="17" t="s">
        <v>16</v>
      </c>
      <c r="G46" s="20" t="s">
        <v>18</v>
      </c>
      <c r="H46" s="17"/>
      <c r="I46" s="17"/>
      <c r="J46" s="17"/>
      <c r="K46" s="17" t="str">
        <f>IF(AND(DailyCheck[[#This Row],[Required On-Site]]="Yes",DailyCheck[[#This Row],[Manager Review]]="Remote"),"Compliance Issue","")</f>
        <v/>
      </c>
    </row>
    <row r="47" spans="1:11" hidden="1">
      <c r="A47" s="16">
        <f>IF(B47="", "", DATE(2026, 9, COUNTIFS($B$2:$B47, B47)))</f>
        <v>46281</v>
      </c>
      <c r="B47" s="17" t="s">
        <v>20</v>
      </c>
      <c r="C47" s="17" t="s">
        <v>12</v>
      </c>
      <c r="D47" s="17" t="s">
        <v>21</v>
      </c>
      <c r="E47" s="17">
        <v>30001994</v>
      </c>
      <c r="F47" s="17" t="s">
        <v>16</v>
      </c>
      <c r="G47" s="20" t="s">
        <v>18</v>
      </c>
      <c r="H47" s="17"/>
      <c r="I47" s="17"/>
      <c r="J47" s="17"/>
      <c r="K47" s="17" t="str">
        <f>IF(AND(DailyCheck[[#This Row],[Required On-Site]]="Yes",DailyCheck[[#This Row],[Manager Review]]="Remote"),"Compliance Issue","")</f>
        <v/>
      </c>
    </row>
    <row r="48" spans="1:11" hidden="1">
      <c r="A48" s="16">
        <f>IF(B48="", "", DATE(2026, 9, COUNTIFS($B$2:$B48, B48)))</f>
        <v>46282</v>
      </c>
      <c r="B48" s="17" t="s">
        <v>20</v>
      </c>
      <c r="C48" s="17" t="s">
        <v>12</v>
      </c>
      <c r="D48" s="17" t="s">
        <v>21</v>
      </c>
      <c r="E48" s="17">
        <v>30001994</v>
      </c>
      <c r="F48" s="17" t="s">
        <v>14</v>
      </c>
      <c r="G48" s="17" t="s">
        <v>19</v>
      </c>
      <c r="H48" s="17"/>
      <c r="I48" s="17"/>
      <c r="J48" s="17"/>
      <c r="K48" s="17" t="str">
        <f>IF(AND(DailyCheck[[#This Row],[Required On-Site]]="Yes",DailyCheck[[#This Row],[Manager Review]]="Remote"),"Compliance Issue","")</f>
        <v/>
      </c>
    </row>
    <row r="49" spans="1:11" hidden="1">
      <c r="A49" s="16">
        <f>IF(B49="", "", DATE(2026, 9, COUNTIFS($B$2:$B49, B49)))</f>
        <v>46283</v>
      </c>
      <c r="B49" s="17" t="s">
        <v>20</v>
      </c>
      <c r="C49" s="17" t="s">
        <v>12</v>
      </c>
      <c r="D49" s="17" t="s">
        <v>21</v>
      </c>
      <c r="E49" s="17">
        <v>30001994</v>
      </c>
      <c r="F49" s="17" t="s">
        <v>14</v>
      </c>
      <c r="G49" s="17" t="s">
        <v>19</v>
      </c>
      <c r="H49" s="17"/>
      <c r="I49" s="17"/>
      <c r="J49" s="17"/>
      <c r="K49" s="17" t="str">
        <f>IF(AND(DailyCheck[[#This Row],[Required On-Site]]="Yes",DailyCheck[[#This Row],[Manager Review]]="Remote"),"Compliance Issue","")</f>
        <v/>
      </c>
    </row>
    <row r="50" spans="1:11" hidden="1">
      <c r="A50" s="16">
        <f>IF(B50="", "", DATE(2026, 9, COUNTIFS($B$2:$B50, B50)))</f>
        <v>46284</v>
      </c>
      <c r="B50" s="17" t="s">
        <v>20</v>
      </c>
      <c r="C50" s="17" t="s">
        <v>12</v>
      </c>
      <c r="D50" s="17" t="s">
        <v>21</v>
      </c>
      <c r="E50" s="17">
        <v>30001994</v>
      </c>
      <c r="F50" s="17" t="s">
        <v>14</v>
      </c>
      <c r="G50" s="17" t="s">
        <v>17</v>
      </c>
      <c r="H50" s="17"/>
      <c r="I50" s="17"/>
      <c r="J50" s="17"/>
      <c r="K50" s="17" t="str">
        <f>IF(AND(DailyCheck[[#This Row],[Required On-Site]]="Yes",DailyCheck[[#This Row],[Manager Review]]="Remote"),"Compliance Issue","")</f>
        <v/>
      </c>
    </row>
    <row r="51" spans="1:11" hidden="1">
      <c r="A51" s="16">
        <f>IF(B51="", "", DATE(2026, 9, COUNTIFS($B$2:$B51, B51)))</f>
        <v>46285</v>
      </c>
      <c r="B51" s="17" t="s">
        <v>20</v>
      </c>
      <c r="C51" s="17" t="s">
        <v>12</v>
      </c>
      <c r="D51" s="17" t="s">
        <v>21</v>
      </c>
      <c r="E51" s="17">
        <v>30001994</v>
      </c>
      <c r="F51" s="17" t="s">
        <v>14</v>
      </c>
      <c r="G51" s="17" t="s">
        <v>17</v>
      </c>
      <c r="H51" s="17"/>
      <c r="I51" s="17"/>
      <c r="J51" s="17"/>
      <c r="K51" s="17" t="str">
        <f>IF(AND(DailyCheck[[#This Row],[Required On-Site]]="Yes",DailyCheck[[#This Row],[Manager Review]]="Remote"),"Compliance Issue","")</f>
        <v/>
      </c>
    </row>
    <row r="52" spans="1:11" hidden="1">
      <c r="A52" s="16">
        <f>IF(B52="", "", DATE(2026, 9, COUNTIFS($B$2:$B52, B52)))</f>
        <v>46286</v>
      </c>
      <c r="B52" s="17" t="s">
        <v>20</v>
      </c>
      <c r="C52" s="17" t="s">
        <v>12</v>
      </c>
      <c r="D52" s="17" t="s">
        <v>21</v>
      </c>
      <c r="E52" s="17">
        <v>30001994</v>
      </c>
      <c r="F52" s="17" t="s">
        <v>16</v>
      </c>
      <c r="G52" s="17" t="s">
        <v>15</v>
      </c>
      <c r="H52" s="17" t="s">
        <v>16</v>
      </c>
      <c r="I52" s="17"/>
      <c r="J52" s="17"/>
      <c r="K52" s="17" t="str">
        <f>IF(AND(DailyCheck[[#This Row],[Required On-Site]]="Yes",DailyCheck[[#This Row],[Manager Review]]="Remote"),"Compliance Issue","")</f>
        <v/>
      </c>
    </row>
    <row r="53" spans="1:11" hidden="1">
      <c r="A53" s="16">
        <f>IF(B53="", "", DATE(2026, 9, COUNTIFS($B$2:$B53, B53)))</f>
        <v>46287</v>
      </c>
      <c r="B53" s="17" t="s">
        <v>20</v>
      </c>
      <c r="C53" s="17" t="s">
        <v>12</v>
      </c>
      <c r="D53" s="17" t="s">
        <v>21</v>
      </c>
      <c r="E53" s="17">
        <v>30001994</v>
      </c>
      <c r="F53" s="17" t="s">
        <v>16</v>
      </c>
      <c r="G53" s="20" t="s">
        <v>15</v>
      </c>
      <c r="H53" s="17" t="s">
        <v>16</v>
      </c>
      <c r="I53" s="17"/>
      <c r="J53" s="17"/>
      <c r="K53" s="17" t="str">
        <f>IF(AND(DailyCheck[[#This Row],[Required On-Site]]="Yes",DailyCheck[[#This Row],[Manager Review]]="Remote"),"Compliance Issue","")</f>
        <v/>
      </c>
    </row>
    <row r="54" spans="1:11" hidden="1">
      <c r="A54" s="16">
        <f>IF(B54="", "", DATE(2026, 9, COUNTIFS($B$2:$B54, B54)))</f>
        <v>46288</v>
      </c>
      <c r="B54" s="17" t="s">
        <v>20</v>
      </c>
      <c r="C54" s="17" t="s">
        <v>12</v>
      </c>
      <c r="D54" s="17" t="s">
        <v>21</v>
      </c>
      <c r="E54" s="17">
        <v>30001994</v>
      </c>
      <c r="F54" s="17" t="s">
        <v>16</v>
      </c>
      <c r="G54" s="20" t="s">
        <v>15</v>
      </c>
      <c r="H54" s="17" t="s">
        <v>16</v>
      </c>
      <c r="I54" s="17"/>
      <c r="J54" s="17"/>
      <c r="K54" s="17" t="str">
        <f>IF(AND(DailyCheck[[#This Row],[Required On-Site]]="Yes",DailyCheck[[#This Row],[Manager Review]]="Remote"),"Compliance Issue","")</f>
        <v/>
      </c>
    </row>
    <row r="55" spans="1:11" hidden="1">
      <c r="A55" s="16">
        <f>IF(B55="", "", DATE(2026, 9, COUNTIFS($B$2:$B55, B55)))</f>
        <v>46289</v>
      </c>
      <c r="B55" s="17" t="s">
        <v>20</v>
      </c>
      <c r="C55" s="17" t="s">
        <v>12</v>
      </c>
      <c r="D55" s="17" t="s">
        <v>21</v>
      </c>
      <c r="E55" s="17">
        <v>30001994</v>
      </c>
      <c r="F55" s="17" t="s">
        <v>14</v>
      </c>
      <c r="G55" s="17" t="s">
        <v>15</v>
      </c>
      <c r="H55" s="17" t="s">
        <v>16</v>
      </c>
      <c r="I55" s="17"/>
      <c r="J55" s="17"/>
      <c r="K55" s="17" t="str">
        <f>IF(AND(DailyCheck[[#This Row],[Required On-Site]]="Yes",DailyCheck[[#This Row],[Manager Review]]="Remote"),"Compliance Issue","")</f>
        <v/>
      </c>
    </row>
    <row r="56" spans="1:11" hidden="1">
      <c r="A56" s="16">
        <f>IF(B56="", "", DATE(2026, 9, COUNTIFS($B$2:$B56, B56)))</f>
        <v>46290</v>
      </c>
      <c r="B56" s="17" t="s">
        <v>20</v>
      </c>
      <c r="C56" s="17" t="s">
        <v>12</v>
      </c>
      <c r="D56" s="17" t="s">
        <v>21</v>
      </c>
      <c r="E56" s="17">
        <v>30001994</v>
      </c>
      <c r="F56" s="17" t="s">
        <v>14</v>
      </c>
      <c r="G56" s="17" t="s">
        <v>15</v>
      </c>
      <c r="H56" s="17" t="s">
        <v>16</v>
      </c>
      <c r="I56" s="17"/>
      <c r="J56" s="17"/>
      <c r="K56" s="17" t="str">
        <f>IF(AND(DailyCheck[[#This Row],[Required On-Site]]="Yes",DailyCheck[[#This Row],[Manager Review]]="Remote"),"Compliance Issue","")</f>
        <v/>
      </c>
    </row>
    <row r="57" spans="1:11" hidden="1">
      <c r="A57" s="16">
        <f>IF(B57="", "", DATE(2026, 9, COUNTIFS($B$2:$B57, B57)))</f>
        <v>46291</v>
      </c>
      <c r="B57" s="17" t="s">
        <v>20</v>
      </c>
      <c r="C57" s="17" t="s">
        <v>12</v>
      </c>
      <c r="D57" s="17" t="s">
        <v>21</v>
      </c>
      <c r="E57" s="17">
        <v>30001994</v>
      </c>
      <c r="F57" s="17" t="s">
        <v>14</v>
      </c>
      <c r="G57" s="17" t="s">
        <v>17</v>
      </c>
      <c r="H57" s="17"/>
      <c r="I57" s="17"/>
      <c r="J57" s="17"/>
      <c r="K57" s="17" t="str">
        <f>IF(AND(DailyCheck[[#This Row],[Required On-Site]]="Yes",DailyCheck[[#This Row],[Manager Review]]="Remote"),"Compliance Issue","")</f>
        <v/>
      </c>
    </row>
    <row r="58" spans="1:11" hidden="1">
      <c r="A58" s="16">
        <f>IF(B58="", "", DATE(2026, 9, COUNTIFS($B$2:$B58, B58)))</f>
        <v>46292</v>
      </c>
      <c r="B58" s="17" t="s">
        <v>20</v>
      </c>
      <c r="C58" s="17" t="s">
        <v>12</v>
      </c>
      <c r="D58" s="17" t="s">
        <v>21</v>
      </c>
      <c r="E58" s="17">
        <v>30001994</v>
      </c>
      <c r="F58" s="17" t="s">
        <v>14</v>
      </c>
      <c r="G58" s="17" t="s">
        <v>17</v>
      </c>
      <c r="H58" s="17"/>
      <c r="I58" s="17"/>
      <c r="J58" s="17"/>
      <c r="K58" s="17" t="str">
        <f>IF(AND(DailyCheck[[#This Row],[Required On-Site]]="Yes",DailyCheck[[#This Row],[Manager Review]]="Remote"),"Compliance Issue","")</f>
        <v/>
      </c>
    </row>
    <row r="59" spans="1:11" hidden="1">
      <c r="A59" s="16">
        <f>IF(B59="", "", DATE(2026, 9, COUNTIFS($B$2:$B59, B59)))</f>
        <v>46293</v>
      </c>
      <c r="B59" s="17" t="s">
        <v>20</v>
      </c>
      <c r="C59" s="17" t="s">
        <v>12</v>
      </c>
      <c r="D59" s="17" t="s">
        <v>21</v>
      </c>
      <c r="E59" s="17">
        <v>30001994</v>
      </c>
      <c r="F59" s="17" t="s">
        <v>16</v>
      </c>
      <c r="G59" s="17" t="s">
        <v>18</v>
      </c>
      <c r="H59" s="17"/>
      <c r="I59" s="17"/>
      <c r="J59" s="17"/>
      <c r="K59" s="17" t="str">
        <f>IF(AND(DailyCheck[[#This Row],[Required On-Site]]="Yes",DailyCheck[[#This Row],[Manager Review]]="Remote"),"Compliance Issue","")</f>
        <v/>
      </c>
    </row>
    <row r="60" spans="1:11" hidden="1">
      <c r="A60" s="16">
        <f>IF(B60="", "", DATE(2026, 9, COUNTIFS($B$2:$B60, B60)))</f>
        <v>46294</v>
      </c>
      <c r="B60" s="17" t="s">
        <v>20</v>
      </c>
      <c r="C60" s="17" t="s">
        <v>12</v>
      </c>
      <c r="D60" s="17" t="s">
        <v>21</v>
      </c>
      <c r="E60" s="17">
        <v>30001994</v>
      </c>
      <c r="F60" s="17" t="s">
        <v>16</v>
      </c>
      <c r="G60" s="20" t="s">
        <v>18</v>
      </c>
      <c r="H60" s="17"/>
      <c r="I60" s="17"/>
      <c r="J60" s="17"/>
      <c r="K60" s="17" t="str">
        <f>IF(AND(DailyCheck[[#This Row],[Required On-Site]]="Yes",DailyCheck[[#This Row],[Manager Review]]="Remote"),"Compliance Issue","")</f>
        <v/>
      </c>
    </row>
    <row r="61" spans="1:11" hidden="1">
      <c r="A61" s="16">
        <f>IF(B61="", "", DATE(2026, 9, COUNTIFS($B$2:$B61, B61)))</f>
        <v>46295</v>
      </c>
      <c r="B61" s="17" t="s">
        <v>20</v>
      </c>
      <c r="C61" s="17" t="s">
        <v>12</v>
      </c>
      <c r="D61" s="17" t="s">
        <v>21</v>
      </c>
      <c r="E61" s="17">
        <v>30001994</v>
      </c>
      <c r="F61" s="17" t="s">
        <v>16</v>
      </c>
      <c r="G61" s="20" t="s">
        <v>18</v>
      </c>
      <c r="H61" s="17"/>
      <c r="I61" s="17"/>
      <c r="J61" s="17"/>
      <c r="K61" s="17" t="str">
        <f>IF(AND(DailyCheck[[#This Row],[Required On-Site]]="Yes",DailyCheck[[#This Row],[Manager Review]]="Remote"),"Compliance Issue","")</f>
        <v/>
      </c>
    </row>
    <row r="62" spans="1:11" hidden="1">
      <c r="A62" s="16">
        <f>IF(B62="", "", DATE(2026, 9, COUNTIFS($B$2:$B62, B62)))</f>
        <v>46266</v>
      </c>
      <c r="B62" s="17" t="s">
        <v>22</v>
      </c>
      <c r="C62" s="17" t="s">
        <v>12</v>
      </c>
      <c r="D62" s="17" t="s">
        <v>23</v>
      </c>
      <c r="E62" s="17">
        <v>1842172</v>
      </c>
      <c r="F62" s="17" t="s">
        <v>16</v>
      </c>
      <c r="G62" s="20" t="s">
        <v>18</v>
      </c>
      <c r="H62" s="17"/>
      <c r="I62" s="17"/>
      <c r="J62" s="17"/>
      <c r="K62" s="17" t="str">
        <f>IF(AND(DailyCheck[[#This Row],[Required On-Site]]="Yes",DailyCheck[[#This Row],[Manager Review]]="Remote"),"Compliance Issue","")</f>
        <v/>
      </c>
    </row>
    <row r="63" spans="1:11" hidden="1">
      <c r="A63" s="16">
        <f>IF(B63="", "", DATE(2026, 9, COUNTIFS($B$2:$B63, B63)))</f>
        <v>46267</v>
      </c>
      <c r="B63" s="17" t="s">
        <v>22</v>
      </c>
      <c r="C63" s="17" t="s">
        <v>12</v>
      </c>
      <c r="D63" s="17" t="s">
        <v>23</v>
      </c>
      <c r="E63" s="17">
        <v>1842172</v>
      </c>
      <c r="F63" s="17" t="s">
        <v>16</v>
      </c>
      <c r="G63" s="20" t="s">
        <v>18</v>
      </c>
      <c r="H63" s="17"/>
      <c r="I63" s="17"/>
      <c r="J63" s="17"/>
      <c r="K63" s="17" t="str">
        <f>IF(AND(DailyCheck[[#This Row],[Required On-Site]]="Yes",DailyCheck[[#This Row],[Manager Review]]="Remote"),"Compliance Issue","")</f>
        <v/>
      </c>
    </row>
    <row r="64" spans="1:11" hidden="1">
      <c r="A64" s="16">
        <f>IF(B64="", "", DATE(2026, 9, COUNTIFS($B$2:$B64, B64)))</f>
        <v>46268</v>
      </c>
      <c r="B64" s="17" t="s">
        <v>22</v>
      </c>
      <c r="C64" s="17" t="s">
        <v>12</v>
      </c>
      <c r="D64" s="17" t="s">
        <v>23</v>
      </c>
      <c r="E64" s="17">
        <v>1842172</v>
      </c>
      <c r="F64" s="17" t="s">
        <v>16</v>
      </c>
      <c r="G64" s="17" t="s">
        <v>18</v>
      </c>
      <c r="H64" s="17"/>
      <c r="I64" s="17"/>
      <c r="J64" s="17"/>
      <c r="K64" s="17" t="str">
        <f>IF(AND(DailyCheck[[#This Row],[Required On-Site]]="Yes",DailyCheck[[#This Row],[Manager Review]]="Remote"),"Compliance Issue","")</f>
        <v/>
      </c>
    </row>
    <row r="65" spans="1:11" hidden="1">
      <c r="A65" s="16">
        <f>IF(B65="", "", DATE(2026, 9, COUNTIFS($B$2:$B65, B65)))</f>
        <v>46269</v>
      </c>
      <c r="B65" s="17" t="s">
        <v>22</v>
      </c>
      <c r="C65" s="17" t="s">
        <v>12</v>
      </c>
      <c r="D65" s="17" t="s">
        <v>23</v>
      </c>
      <c r="E65" s="17">
        <v>1842172</v>
      </c>
      <c r="F65" s="17" t="s">
        <v>14</v>
      </c>
      <c r="G65" s="17" t="s">
        <v>19</v>
      </c>
      <c r="H65" s="17"/>
      <c r="I65" s="17"/>
      <c r="J65" s="17"/>
      <c r="K65" s="17" t="str">
        <f>IF(AND(DailyCheck[[#This Row],[Required On-Site]]="Yes",DailyCheck[[#This Row],[Manager Review]]="Remote"),"Compliance Issue","")</f>
        <v/>
      </c>
    </row>
    <row r="66" spans="1:11" hidden="1">
      <c r="A66" s="16">
        <f>IF(B66="", "", DATE(2026, 9, COUNTIFS($B$2:$B66, B66)))</f>
        <v>46270</v>
      </c>
      <c r="B66" s="17" t="s">
        <v>22</v>
      </c>
      <c r="C66" s="17" t="s">
        <v>12</v>
      </c>
      <c r="D66" s="17" t="s">
        <v>23</v>
      </c>
      <c r="E66" s="17">
        <v>1842172</v>
      </c>
      <c r="F66" s="17" t="s">
        <v>14</v>
      </c>
      <c r="G66" s="17" t="s">
        <v>17</v>
      </c>
      <c r="H66" s="17"/>
      <c r="I66" s="17"/>
      <c r="J66" s="17"/>
      <c r="K66" s="17" t="str">
        <f>IF(AND(DailyCheck[[#This Row],[Required On-Site]]="Yes",DailyCheck[[#This Row],[Manager Review]]="Remote"),"Compliance Issue","")</f>
        <v/>
      </c>
    </row>
    <row r="67" spans="1:11" hidden="1">
      <c r="A67" s="16">
        <f>IF(B67="", "", DATE(2026, 9, COUNTIFS($B$2:$B67, B67)))</f>
        <v>46271</v>
      </c>
      <c r="B67" s="17" t="s">
        <v>22</v>
      </c>
      <c r="C67" s="17" t="s">
        <v>12</v>
      </c>
      <c r="D67" s="17" t="s">
        <v>23</v>
      </c>
      <c r="E67" s="17">
        <v>1842172</v>
      </c>
      <c r="F67" s="17" t="s">
        <v>14</v>
      </c>
      <c r="G67" s="17" t="s">
        <v>17</v>
      </c>
      <c r="H67" s="17"/>
      <c r="I67" s="17"/>
      <c r="J67" s="17"/>
      <c r="K67" s="17" t="str">
        <f>IF(AND(DailyCheck[[#This Row],[Required On-Site]]="Yes",DailyCheck[[#This Row],[Manager Review]]="Remote"),"Compliance Issue","")</f>
        <v/>
      </c>
    </row>
    <row r="68" spans="1:11" hidden="1">
      <c r="A68" s="16">
        <f>IF(B68="", "", DATE(2026, 9, COUNTIFS($B$2:$B68, B68)))</f>
        <v>46272</v>
      </c>
      <c r="B68" s="17" t="s">
        <v>22</v>
      </c>
      <c r="C68" s="17" t="s">
        <v>12</v>
      </c>
      <c r="D68" s="17" t="s">
        <v>23</v>
      </c>
      <c r="E68" s="17">
        <v>1842172</v>
      </c>
      <c r="F68" s="17" t="s">
        <v>14</v>
      </c>
      <c r="G68" s="17" t="s">
        <v>19</v>
      </c>
      <c r="H68" s="17"/>
      <c r="I68" s="17"/>
      <c r="J68" s="17"/>
      <c r="K68" s="17" t="str">
        <f>IF(AND(DailyCheck[[#This Row],[Required On-Site]]="Yes",DailyCheck[[#This Row],[Manager Review]]="Remote"),"Compliance Issue","")</f>
        <v/>
      </c>
    </row>
    <row r="69" spans="1:11" hidden="1">
      <c r="A69" s="16">
        <f>IF(B69="", "", DATE(2026, 9, COUNTIFS($B$2:$B69, B69)))</f>
        <v>46273</v>
      </c>
      <c r="B69" s="17" t="s">
        <v>22</v>
      </c>
      <c r="C69" s="17" t="s">
        <v>12</v>
      </c>
      <c r="D69" s="17" t="s">
        <v>23</v>
      </c>
      <c r="E69" s="17">
        <v>1842172</v>
      </c>
      <c r="F69" s="17" t="s">
        <v>14</v>
      </c>
      <c r="G69" s="20" t="s">
        <v>19</v>
      </c>
      <c r="H69" s="17"/>
      <c r="I69" s="17"/>
      <c r="J69" s="17"/>
      <c r="K69" s="17" t="str">
        <f>IF(AND(DailyCheck[[#This Row],[Required On-Site]]="Yes",DailyCheck[[#This Row],[Manager Review]]="Remote"),"Compliance Issue","")</f>
        <v/>
      </c>
    </row>
    <row r="70" spans="1:11" hidden="1">
      <c r="A70" s="16">
        <f>IF(B70="", "", DATE(2026, 9, COUNTIFS($B$2:$B70, B70)))</f>
        <v>46274</v>
      </c>
      <c r="B70" s="17" t="s">
        <v>22</v>
      </c>
      <c r="C70" s="17" t="s">
        <v>12</v>
      </c>
      <c r="D70" s="17" t="s">
        <v>23</v>
      </c>
      <c r="E70" s="17">
        <v>1842172</v>
      </c>
      <c r="F70" s="17" t="s">
        <v>16</v>
      </c>
      <c r="G70" s="20" t="s">
        <v>18</v>
      </c>
      <c r="H70" s="17"/>
      <c r="I70" s="17"/>
      <c r="J70" s="17"/>
      <c r="K70" s="17" t="str">
        <f>IF(AND(DailyCheck[[#This Row],[Required On-Site]]="Yes",DailyCheck[[#This Row],[Manager Review]]="Remote"),"Compliance Issue","")</f>
        <v/>
      </c>
    </row>
    <row r="71" spans="1:11" hidden="1">
      <c r="A71" s="16">
        <f>IF(B71="", "", DATE(2026, 9, COUNTIFS($B$2:$B71, B71)))</f>
        <v>46275</v>
      </c>
      <c r="B71" s="17" t="s">
        <v>22</v>
      </c>
      <c r="C71" s="17" t="s">
        <v>12</v>
      </c>
      <c r="D71" s="17" t="s">
        <v>23</v>
      </c>
      <c r="E71" s="17">
        <v>1842172</v>
      </c>
      <c r="F71" s="17" t="s">
        <v>14</v>
      </c>
      <c r="G71" s="17" t="s">
        <v>19</v>
      </c>
      <c r="H71" s="17"/>
      <c r="I71" s="17"/>
      <c r="J71" s="17"/>
      <c r="K71" s="17" t="str">
        <f>IF(AND(DailyCheck[[#This Row],[Required On-Site]]="Yes",DailyCheck[[#This Row],[Manager Review]]="Remote"),"Compliance Issue","")</f>
        <v/>
      </c>
    </row>
    <row r="72" spans="1:11" hidden="1">
      <c r="A72" s="16">
        <f>IF(B72="", "", DATE(2026, 9, COUNTIFS($B$2:$B72, B72)))</f>
        <v>46276</v>
      </c>
      <c r="B72" s="17" t="s">
        <v>22</v>
      </c>
      <c r="C72" s="17" t="s">
        <v>12</v>
      </c>
      <c r="D72" s="17" t="s">
        <v>23</v>
      </c>
      <c r="E72" s="17">
        <v>1842172</v>
      </c>
      <c r="F72" s="17" t="s">
        <v>16</v>
      </c>
      <c r="G72" s="17" t="s">
        <v>18</v>
      </c>
      <c r="H72" s="17"/>
      <c r="I72" s="17"/>
      <c r="J72" s="17"/>
      <c r="K72" s="17" t="str">
        <f>IF(AND(DailyCheck[[#This Row],[Required On-Site]]="Yes",DailyCheck[[#This Row],[Manager Review]]="Remote"),"Compliance Issue","")</f>
        <v/>
      </c>
    </row>
    <row r="73" spans="1:11" hidden="1">
      <c r="A73" s="16">
        <f>IF(B73="", "", DATE(2026, 9, COUNTIFS($B$2:$B73, B73)))</f>
        <v>46277</v>
      </c>
      <c r="B73" s="17" t="s">
        <v>22</v>
      </c>
      <c r="C73" s="17" t="s">
        <v>12</v>
      </c>
      <c r="D73" s="17" t="s">
        <v>23</v>
      </c>
      <c r="E73" s="17">
        <v>1842172</v>
      </c>
      <c r="F73" s="17" t="s">
        <v>14</v>
      </c>
      <c r="G73" s="17" t="s">
        <v>17</v>
      </c>
      <c r="H73" s="17"/>
      <c r="I73" s="17"/>
      <c r="J73" s="17"/>
      <c r="K73" s="17" t="str">
        <f>IF(AND(DailyCheck[[#This Row],[Required On-Site]]="Yes",DailyCheck[[#This Row],[Manager Review]]="Remote"),"Compliance Issue","")</f>
        <v/>
      </c>
    </row>
    <row r="74" spans="1:11" hidden="1">
      <c r="A74" s="16">
        <f>IF(B74="", "", DATE(2026, 9, COUNTIFS($B$2:$B74, B74)))</f>
        <v>46278</v>
      </c>
      <c r="B74" s="17" t="s">
        <v>22</v>
      </c>
      <c r="C74" s="17" t="s">
        <v>12</v>
      </c>
      <c r="D74" s="17" t="s">
        <v>23</v>
      </c>
      <c r="E74" s="17">
        <v>1842172</v>
      </c>
      <c r="F74" s="17" t="s">
        <v>14</v>
      </c>
      <c r="G74" s="17" t="s">
        <v>17</v>
      </c>
      <c r="H74" s="17"/>
      <c r="I74" s="17"/>
      <c r="J74" s="17"/>
      <c r="K74" s="17" t="str">
        <f>IF(AND(DailyCheck[[#This Row],[Required On-Site]]="Yes",DailyCheck[[#This Row],[Manager Review]]="Remote"),"Compliance Issue","")</f>
        <v/>
      </c>
    </row>
    <row r="75" spans="1:11" hidden="1">
      <c r="A75" s="16">
        <f>IF(B75="", "", DATE(2026, 9, COUNTIFS($B$2:$B75, B75)))</f>
        <v>46279</v>
      </c>
      <c r="B75" s="17" t="s">
        <v>22</v>
      </c>
      <c r="C75" s="17" t="s">
        <v>12</v>
      </c>
      <c r="D75" s="17" t="s">
        <v>23</v>
      </c>
      <c r="E75" s="17">
        <v>1842172</v>
      </c>
      <c r="F75" s="17" t="s">
        <v>14</v>
      </c>
      <c r="G75" s="17" t="s">
        <v>19</v>
      </c>
      <c r="H75" s="17"/>
      <c r="I75" s="17"/>
      <c r="J75" s="17"/>
      <c r="K75" s="17" t="str">
        <f>IF(AND(DailyCheck[[#This Row],[Required On-Site]]="Yes",DailyCheck[[#This Row],[Manager Review]]="Remote"),"Compliance Issue","")</f>
        <v/>
      </c>
    </row>
    <row r="76" spans="1:11" hidden="1">
      <c r="A76" s="16">
        <f>IF(B76="", "", DATE(2026, 9, COUNTIFS($B$2:$B76, B76)))</f>
        <v>46280</v>
      </c>
      <c r="B76" s="17" t="s">
        <v>22</v>
      </c>
      <c r="C76" s="17" t="s">
        <v>12</v>
      </c>
      <c r="D76" s="17" t="s">
        <v>23</v>
      </c>
      <c r="E76" s="17">
        <v>1842172</v>
      </c>
      <c r="F76" s="17" t="s">
        <v>14</v>
      </c>
      <c r="G76" s="20" t="s">
        <v>19</v>
      </c>
      <c r="H76" s="17"/>
      <c r="I76" s="17"/>
      <c r="J76" s="17"/>
      <c r="K76" s="17" t="str">
        <f>IF(AND(DailyCheck[[#This Row],[Required On-Site]]="Yes",DailyCheck[[#This Row],[Manager Review]]="Remote"),"Compliance Issue","")</f>
        <v/>
      </c>
    </row>
    <row r="77" spans="1:11" hidden="1">
      <c r="A77" s="16">
        <f>IF(B77="", "", DATE(2026, 9, COUNTIFS($B$2:$B77, B77)))</f>
        <v>46281</v>
      </c>
      <c r="B77" s="17" t="s">
        <v>22</v>
      </c>
      <c r="C77" s="17" t="s">
        <v>12</v>
      </c>
      <c r="D77" s="17" t="s">
        <v>23</v>
      </c>
      <c r="E77" s="17">
        <v>1842172</v>
      </c>
      <c r="F77" s="17" t="s">
        <v>16</v>
      </c>
      <c r="G77" s="20" t="s">
        <v>18</v>
      </c>
      <c r="H77" s="17"/>
      <c r="I77" s="17"/>
      <c r="J77" s="17"/>
      <c r="K77" s="17" t="str">
        <f>IF(AND(DailyCheck[[#This Row],[Required On-Site]]="Yes",DailyCheck[[#This Row],[Manager Review]]="Remote"),"Compliance Issue","")</f>
        <v/>
      </c>
    </row>
    <row r="78" spans="1:11" hidden="1">
      <c r="A78" s="16">
        <f>IF(B78="", "", DATE(2026, 9, COUNTIFS($B$2:$B78, B78)))</f>
        <v>46282</v>
      </c>
      <c r="B78" s="17" t="s">
        <v>22</v>
      </c>
      <c r="C78" s="17" t="s">
        <v>12</v>
      </c>
      <c r="D78" s="17" t="s">
        <v>23</v>
      </c>
      <c r="E78" s="17">
        <v>1842172</v>
      </c>
      <c r="F78" s="17" t="s">
        <v>16</v>
      </c>
      <c r="G78" s="17" t="s">
        <v>18</v>
      </c>
      <c r="H78" s="17"/>
      <c r="I78" s="17"/>
      <c r="J78" s="17"/>
      <c r="K78" s="17" t="str">
        <f>IF(AND(DailyCheck[[#This Row],[Required On-Site]]="Yes",DailyCheck[[#This Row],[Manager Review]]="Remote"),"Compliance Issue","")</f>
        <v/>
      </c>
    </row>
    <row r="79" spans="1:11" hidden="1">
      <c r="A79" s="16">
        <f>IF(B79="", "", DATE(2026, 9, COUNTIFS($B$2:$B79, B79)))</f>
        <v>46283</v>
      </c>
      <c r="B79" s="17" t="s">
        <v>22</v>
      </c>
      <c r="C79" s="17" t="s">
        <v>12</v>
      </c>
      <c r="D79" s="17" t="s">
        <v>23</v>
      </c>
      <c r="E79" s="17">
        <v>1842172</v>
      </c>
      <c r="F79" s="17" t="s">
        <v>16</v>
      </c>
      <c r="G79" s="17" t="s">
        <v>18</v>
      </c>
      <c r="H79" s="17"/>
      <c r="I79" s="17"/>
      <c r="J79" s="17"/>
      <c r="K79" s="17" t="str">
        <f>IF(AND(DailyCheck[[#This Row],[Required On-Site]]="Yes",DailyCheck[[#This Row],[Manager Review]]="Remote"),"Compliance Issue","")</f>
        <v/>
      </c>
    </row>
    <row r="80" spans="1:11" hidden="1">
      <c r="A80" s="16">
        <f>IF(B80="", "", DATE(2026, 9, COUNTIFS($B$2:$B80, B80)))</f>
        <v>46284</v>
      </c>
      <c r="B80" s="17" t="s">
        <v>22</v>
      </c>
      <c r="C80" s="17" t="s">
        <v>12</v>
      </c>
      <c r="D80" s="17" t="s">
        <v>23</v>
      </c>
      <c r="E80" s="17">
        <v>1842172</v>
      </c>
      <c r="F80" s="17" t="s">
        <v>14</v>
      </c>
      <c r="G80" s="17" t="s">
        <v>17</v>
      </c>
      <c r="H80" s="17"/>
      <c r="I80" s="17"/>
      <c r="J80" s="17"/>
      <c r="K80" s="17" t="str">
        <f>IF(AND(DailyCheck[[#This Row],[Required On-Site]]="Yes",DailyCheck[[#This Row],[Manager Review]]="Remote"),"Compliance Issue","")</f>
        <v/>
      </c>
    </row>
    <row r="81" spans="1:11" hidden="1">
      <c r="A81" s="16">
        <f>IF(B81="", "", DATE(2026, 9, COUNTIFS($B$2:$B81, B81)))</f>
        <v>46285</v>
      </c>
      <c r="B81" s="17" t="s">
        <v>22</v>
      </c>
      <c r="C81" s="17" t="s">
        <v>12</v>
      </c>
      <c r="D81" s="17" t="s">
        <v>23</v>
      </c>
      <c r="E81" s="17">
        <v>1842172</v>
      </c>
      <c r="F81" s="17" t="s">
        <v>14</v>
      </c>
      <c r="G81" s="17" t="s">
        <v>17</v>
      </c>
      <c r="H81" s="17"/>
      <c r="I81" s="17"/>
      <c r="J81" s="17"/>
      <c r="K81" s="17" t="str">
        <f>IF(AND(DailyCheck[[#This Row],[Required On-Site]]="Yes",DailyCheck[[#This Row],[Manager Review]]="Remote"),"Compliance Issue","")</f>
        <v/>
      </c>
    </row>
    <row r="82" spans="1:11" hidden="1">
      <c r="A82" s="16">
        <f>IF(B82="", "", DATE(2026, 9, COUNTIFS($B$2:$B82, B82)))</f>
        <v>46286</v>
      </c>
      <c r="B82" s="17" t="s">
        <v>22</v>
      </c>
      <c r="C82" s="17" t="s">
        <v>12</v>
      </c>
      <c r="D82" s="17" t="s">
        <v>23</v>
      </c>
      <c r="E82" s="17">
        <v>1842172</v>
      </c>
      <c r="F82" s="17" t="s">
        <v>16</v>
      </c>
      <c r="G82" s="17" t="s">
        <v>18</v>
      </c>
      <c r="H82" s="17"/>
      <c r="I82" s="17"/>
      <c r="J82" s="17"/>
      <c r="K82" s="17" t="str">
        <f>IF(AND(DailyCheck[[#This Row],[Required On-Site]]="Yes",DailyCheck[[#This Row],[Manager Review]]="Remote"),"Compliance Issue","")</f>
        <v/>
      </c>
    </row>
    <row r="83" spans="1:11" hidden="1">
      <c r="A83" s="16">
        <f>IF(B83="", "", DATE(2026, 9, COUNTIFS($B$2:$B83, B83)))</f>
        <v>46287</v>
      </c>
      <c r="B83" s="17" t="s">
        <v>22</v>
      </c>
      <c r="C83" s="17" t="s">
        <v>12</v>
      </c>
      <c r="D83" s="17" t="s">
        <v>23</v>
      </c>
      <c r="E83" s="17">
        <v>1842172</v>
      </c>
      <c r="F83" s="17" t="s">
        <v>16</v>
      </c>
      <c r="G83" s="20" t="s">
        <v>18</v>
      </c>
      <c r="H83" s="17"/>
      <c r="I83" s="17"/>
      <c r="J83" s="17"/>
      <c r="K83" s="17" t="str">
        <f>IF(AND(DailyCheck[[#This Row],[Required On-Site]]="Yes",DailyCheck[[#This Row],[Manager Review]]="Remote"),"Compliance Issue","")</f>
        <v/>
      </c>
    </row>
    <row r="84" spans="1:11" hidden="1">
      <c r="A84" s="16">
        <f>IF(B84="", "", DATE(2026, 9, COUNTIFS($B$2:$B84, B84)))</f>
        <v>46288</v>
      </c>
      <c r="B84" s="17" t="s">
        <v>22</v>
      </c>
      <c r="C84" s="17" t="s">
        <v>12</v>
      </c>
      <c r="D84" s="17" t="s">
        <v>23</v>
      </c>
      <c r="E84" s="17">
        <v>1842172</v>
      </c>
      <c r="F84" s="17" t="s">
        <v>16</v>
      </c>
      <c r="G84" s="20" t="s">
        <v>18</v>
      </c>
      <c r="H84" s="17"/>
      <c r="I84" s="17"/>
      <c r="J84" s="17"/>
      <c r="K84" s="17" t="str">
        <f>IF(AND(DailyCheck[[#This Row],[Required On-Site]]="Yes",DailyCheck[[#This Row],[Manager Review]]="Remote"),"Compliance Issue","")</f>
        <v/>
      </c>
    </row>
    <row r="85" spans="1:11" hidden="1">
      <c r="A85" s="16">
        <f>IF(B85="", "", DATE(2026, 9, COUNTIFS($B$2:$B85, B85)))</f>
        <v>46289</v>
      </c>
      <c r="B85" s="17" t="s">
        <v>22</v>
      </c>
      <c r="C85" s="17" t="s">
        <v>12</v>
      </c>
      <c r="D85" s="17" t="s">
        <v>23</v>
      </c>
      <c r="E85" s="17">
        <v>1842172</v>
      </c>
      <c r="F85" s="17" t="s">
        <v>14</v>
      </c>
      <c r="G85" s="17" t="s">
        <v>19</v>
      </c>
      <c r="H85" s="17"/>
      <c r="I85" s="17"/>
      <c r="J85" s="17"/>
      <c r="K85" s="17" t="str">
        <f>IF(AND(DailyCheck[[#This Row],[Required On-Site]]="Yes",DailyCheck[[#This Row],[Manager Review]]="Remote"),"Compliance Issue","")</f>
        <v/>
      </c>
    </row>
    <row r="86" spans="1:11" hidden="1">
      <c r="A86" s="16">
        <f>IF(B86="", "", DATE(2026, 9, COUNTIFS($B$2:$B86, B86)))</f>
        <v>46290</v>
      </c>
      <c r="B86" s="17" t="s">
        <v>22</v>
      </c>
      <c r="C86" s="17" t="s">
        <v>12</v>
      </c>
      <c r="D86" s="17" t="s">
        <v>23</v>
      </c>
      <c r="E86" s="17">
        <v>1842172</v>
      </c>
      <c r="F86" s="17" t="s">
        <v>14</v>
      </c>
      <c r="G86" s="17" t="s">
        <v>19</v>
      </c>
      <c r="H86" s="17"/>
      <c r="I86" s="17"/>
      <c r="J86" s="17"/>
      <c r="K86" s="17" t="str">
        <f>IF(AND(DailyCheck[[#This Row],[Required On-Site]]="Yes",DailyCheck[[#This Row],[Manager Review]]="Remote"),"Compliance Issue","")</f>
        <v/>
      </c>
    </row>
    <row r="87" spans="1:11" hidden="1">
      <c r="A87" s="16">
        <f>IF(B87="", "", DATE(2026, 9, COUNTIFS($B$2:$B87, B87)))</f>
        <v>46291</v>
      </c>
      <c r="B87" s="17" t="s">
        <v>22</v>
      </c>
      <c r="C87" s="17" t="s">
        <v>12</v>
      </c>
      <c r="D87" s="17" t="s">
        <v>23</v>
      </c>
      <c r="E87" s="17">
        <v>1842172</v>
      </c>
      <c r="F87" s="17" t="s">
        <v>14</v>
      </c>
      <c r="G87" s="17" t="s">
        <v>17</v>
      </c>
      <c r="H87" s="17"/>
      <c r="I87" s="17"/>
      <c r="J87" s="17"/>
      <c r="K87" s="17" t="str">
        <f>IF(AND(DailyCheck[[#This Row],[Required On-Site]]="Yes",DailyCheck[[#This Row],[Manager Review]]="Remote"),"Compliance Issue","")</f>
        <v/>
      </c>
    </row>
    <row r="88" spans="1:11" hidden="1">
      <c r="A88" s="16">
        <f>IF(B88="", "", DATE(2026, 9, COUNTIFS($B$2:$B88, B88)))</f>
        <v>46292</v>
      </c>
      <c r="B88" s="17" t="s">
        <v>22</v>
      </c>
      <c r="C88" s="17" t="s">
        <v>12</v>
      </c>
      <c r="D88" s="17" t="s">
        <v>23</v>
      </c>
      <c r="E88" s="17">
        <v>1842172</v>
      </c>
      <c r="F88" s="17" t="s">
        <v>14</v>
      </c>
      <c r="G88" s="17" t="s">
        <v>17</v>
      </c>
      <c r="H88" s="17"/>
      <c r="I88" s="17"/>
      <c r="J88" s="17"/>
      <c r="K88" s="17" t="str">
        <f>IF(AND(DailyCheck[[#This Row],[Required On-Site]]="Yes",DailyCheck[[#This Row],[Manager Review]]="Remote"),"Compliance Issue","")</f>
        <v/>
      </c>
    </row>
    <row r="89" spans="1:11" hidden="1">
      <c r="A89" s="16">
        <f>IF(B89="", "", DATE(2026, 9, COUNTIFS($B$2:$B89, B89)))</f>
        <v>46293</v>
      </c>
      <c r="B89" s="17" t="s">
        <v>22</v>
      </c>
      <c r="C89" s="17" t="s">
        <v>12</v>
      </c>
      <c r="D89" s="17" t="s">
        <v>23</v>
      </c>
      <c r="E89" s="17">
        <v>1842172</v>
      </c>
      <c r="F89" s="17" t="s">
        <v>16</v>
      </c>
      <c r="G89" s="17" t="s">
        <v>19</v>
      </c>
      <c r="H89" s="17" t="s">
        <v>16</v>
      </c>
      <c r="I89" s="17"/>
      <c r="J89" s="17"/>
      <c r="K89" s="17" t="str">
        <f>IF(AND(DailyCheck[[#This Row],[Required On-Site]]="Yes",DailyCheck[[#This Row],[Manager Review]]="Remote"),"Compliance Issue","")</f>
        <v>Compliance Issue</v>
      </c>
    </row>
    <row r="90" spans="1:11" hidden="1">
      <c r="A90" s="16">
        <f>IF(B90="", "", DATE(2026, 9, COUNTIFS($B$2:$B90, B90)))</f>
        <v>46294</v>
      </c>
      <c r="B90" s="17" t="s">
        <v>22</v>
      </c>
      <c r="C90" s="17" t="s">
        <v>12</v>
      </c>
      <c r="D90" s="17" t="s">
        <v>23</v>
      </c>
      <c r="E90" s="17">
        <v>1842172</v>
      </c>
      <c r="F90" s="17" t="s">
        <v>14</v>
      </c>
      <c r="G90" s="20" t="s">
        <v>19</v>
      </c>
      <c r="H90" s="17"/>
      <c r="I90" s="17"/>
      <c r="J90" s="17"/>
      <c r="K90" s="17" t="str">
        <f>IF(AND(DailyCheck[[#This Row],[Required On-Site]]="Yes",DailyCheck[[#This Row],[Manager Review]]="Remote"),"Compliance Issue","")</f>
        <v/>
      </c>
    </row>
    <row r="91" spans="1:11" hidden="1">
      <c r="A91" s="16">
        <f>IF(B91="", "", DATE(2026, 9, COUNTIFS($B$2:$B91, B91)))</f>
        <v>46295</v>
      </c>
      <c r="B91" s="17" t="s">
        <v>22</v>
      </c>
      <c r="C91" s="17" t="s">
        <v>12</v>
      </c>
      <c r="D91" s="17" t="s">
        <v>23</v>
      </c>
      <c r="E91" s="17">
        <v>1842172</v>
      </c>
      <c r="F91" s="17" t="s">
        <v>14</v>
      </c>
      <c r="G91" s="20" t="s">
        <v>19</v>
      </c>
      <c r="H91" s="17"/>
      <c r="I91" s="17"/>
      <c r="J91" s="17"/>
      <c r="K91" s="17" t="str">
        <f>IF(AND(DailyCheck[[#This Row],[Required On-Site]]="Yes",DailyCheck[[#This Row],[Manager Review]]="Remote"),"Compliance Issue","")</f>
        <v/>
      </c>
    </row>
    <row r="92" spans="1:11">
      <c r="A92" s="16">
        <f>IF(B92="", "", DATE(2026, 9, COUNTIFS($B$2:$B92, B92)))</f>
        <v>46266</v>
      </c>
      <c r="B92" s="17" t="s">
        <v>24</v>
      </c>
      <c r="C92" s="17" t="s">
        <v>12</v>
      </c>
      <c r="D92" s="17" t="s">
        <v>25</v>
      </c>
      <c r="E92" s="17">
        <v>1847229</v>
      </c>
      <c r="F92" s="17" t="s">
        <v>14</v>
      </c>
      <c r="G92" s="20" t="s">
        <v>19</v>
      </c>
      <c r="H92" s="17"/>
      <c r="I92" s="17"/>
      <c r="J92" s="17"/>
      <c r="K92" s="17" t="str">
        <f>IF(AND(DailyCheck[[#This Row],[Required On-Site]]="Yes",DailyCheck[[#This Row],[Manager Review]]="Remote"),"Compliance Issue","")</f>
        <v/>
      </c>
    </row>
    <row r="93" spans="1:11">
      <c r="A93" s="16">
        <f>IF(B93="", "", DATE(2026, 9, COUNTIFS($B$2:$B93, B93)))</f>
        <v>46267</v>
      </c>
      <c r="B93" s="17" t="s">
        <v>24</v>
      </c>
      <c r="C93" s="17" t="s">
        <v>12</v>
      </c>
      <c r="D93" s="17" t="s">
        <v>25</v>
      </c>
      <c r="E93" s="17">
        <v>1847229</v>
      </c>
      <c r="F93" s="17" t="s">
        <v>16</v>
      </c>
      <c r="G93" s="20" t="s">
        <v>18</v>
      </c>
      <c r="H93" s="17"/>
      <c r="I93" s="17"/>
      <c r="J93" s="17"/>
      <c r="K93" s="17" t="str">
        <f>IF(AND(DailyCheck[[#This Row],[Required On-Site]]="Yes",DailyCheck[[#This Row],[Manager Review]]="Remote"),"Compliance Issue","")</f>
        <v/>
      </c>
    </row>
    <row r="94" spans="1:11">
      <c r="A94" s="16">
        <f>IF(B94="", "", DATE(2026, 9, COUNTIFS($B$2:$B94, B94)))</f>
        <v>46268</v>
      </c>
      <c r="B94" s="17" t="s">
        <v>24</v>
      </c>
      <c r="C94" s="17" t="s">
        <v>12</v>
      </c>
      <c r="D94" s="17" t="s">
        <v>25</v>
      </c>
      <c r="E94" s="17">
        <v>1847229</v>
      </c>
      <c r="F94" s="17" t="s">
        <v>16</v>
      </c>
      <c r="G94" s="17" t="s">
        <v>18</v>
      </c>
      <c r="H94" s="17"/>
      <c r="I94" s="17"/>
      <c r="J94" s="17"/>
      <c r="K94" s="17" t="str">
        <f>IF(AND(DailyCheck[[#This Row],[Required On-Site]]="Yes",DailyCheck[[#This Row],[Manager Review]]="Remote"),"Compliance Issue","")</f>
        <v/>
      </c>
    </row>
    <row r="95" spans="1:11">
      <c r="A95" s="16">
        <f>IF(B95="", "", DATE(2026, 9, COUNTIFS($B$2:$B95, B95)))</f>
        <v>46269</v>
      </c>
      <c r="B95" s="17" t="s">
        <v>24</v>
      </c>
      <c r="C95" s="17" t="s">
        <v>12</v>
      </c>
      <c r="D95" s="17" t="s">
        <v>25</v>
      </c>
      <c r="E95" s="17">
        <v>1847229</v>
      </c>
      <c r="F95" s="17" t="s">
        <v>16</v>
      </c>
      <c r="G95" s="17" t="s">
        <v>18</v>
      </c>
      <c r="H95" s="17"/>
      <c r="I95" s="17"/>
      <c r="J95" s="17"/>
      <c r="K95" s="17" t="str">
        <f>IF(AND(DailyCheck[[#This Row],[Required On-Site]]="Yes",DailyCheck[[#This Row],[Manager Review]]="Remote"),"Compliance Issue","")</f>
        <v/>
      </c>
    </row>
    <row r="96" spans="1:11">
      <c r="A96" s="16">
        <f>IF(B96="", "", DATE(2026, 9, COUNTIFS($B$2:$B96, B96)))</f>
        <v>46270</v>
      </c>
      <c r="B96" s="17" t="s">
        <v>24</v>
      </c>
      <c r="C96" s="17" t="s">
        <v>12</v>
      </c>
      <c r="D96" s="17" t="s">
        <v>25</v>
      </c>
      <c r="E96" s="17">
        <v>1847229</v>
      </c>
      <c r="F96" s="17" t="s">
        <v>14</v>
      </c>
      <c r="G96" s="17" t="s">
        <v>17</v>
      </c>
      <c r="H96" s="17"/>
      <c r="I96" s="17"/>
      <c r="J96" s="17"/>
      <c r="K96" s="17" t="str">
        <f>IF(AND(DailyCheck[[#This Row],[Required On-Site]]="Yes",DailyCheck[[#This Row],[Manager Review]]="Remote"),"Compliance Issue","")</f>
        <v/>
      </c>
    </row>
    <row r="97" spans="1:11">
      <c r="A97" s="16">
        <f>IF(B97="", "", DATE(2026, 9, COUNTIFS($B$2:$B97, B97)))</f>
        <v>46271</v>
      </c>
      <c r="B97" s="17" t="s">
        <v>24</v>
      </c>
      <c r="C97" s="17" t="s">
        <v>12</v>
      </c>
      <c r="D97" s="17" t="s">
        <v>25</v>
      </c>
      <c r="E97" s="17">
        <v>1847229</v>
      </c>
      <c r="F97" s="17" t="s">
        <v>14</v>
      </c>
      <c r="G97" s="17" t="s">
        <v>17</v>
      </c>
      <c r="H97" s="17"/>
      <c r="I97" s="17"/>
      <c r="J97" s="17"/>
      <c r="K97" s="17" t="str">
        <f>IF(AND(DailyCheck[[#This Row],[Required On-Site]]="Yes",DailyCheck[[#This Row],[Manager Review]]="Remote"),"Compliance Issue","")</f>
        <v/>
      </c>
    </row>
    <row r="98" spans="1:11">
      <c r="A98" s="16">
        <f>IF(B98="", "", DATE(2026, 9, COUNTIFS($B$2:$B98, B98)))</f>
        <v>46272</v>
      </c>
      <c r="B98" s="17" t="s">
        <v>24</v>
      </c>
      <c r="C98" s="17" t="s">
        <v>12</v>
      </c>
      <c r="D98" s="17" t="s">
        <v>25</v>
      </c>
      <c r="E98" s="17">
        <v>1847229</v>
      </c>
      <c r="F98" s="17" t="s">
        <v>14</v>
      </c>
      <c r="G98" s="17" t="s">
        <v>19</v>
      </c>
      <c r="H98" s="17"/>
      <c r="I98" s="17"/>
      <c r="J98" s="17"/>
      <c r="K98" s="17" t="str">
        <f>IF(AND(DailyCheck[[#This Row],[Required On-Site]]="Yes",DailyCheck[[#This Row],[Manager Review]]="Remote"),"Compliance Issue","")</f>
        <v/>
      </c>
    </row>
    <row r="99" spans="1:11">
      <c r="A99" s="16">
        <f>IF(B99="", "", DATE(2026, 9, COUNTIFS($B$2:$B99, B99)))</f>
        <v>46273</v>
      </c>
      <c r="B99" s="17" t="s">
        <v>24</v>
      </c>
      <c r="C99" s="17" t="s">
        <v>12</v>
      </c>
      <c r="D99" s="17" t="s">
        <v>25</v>
      </c>
      <c r="E99" s="17">
        <v>1847229</v>
      </c>
      <c r="F99" s="17" t="s">
        <v>14</v>
      </c>
      <c r="G99" s="20" t="s">
        <v>26</v>
      </c>
      <c r="H99" s="17" t="s">
        <v>16</v>
      </c>
      <c r="I99" s="17"/>
      <c r="J99" s="17"/>
      <c r="K99" s="17" t="str">
        <f>IF(AND(DailyCheck[[#This Row],[Required On-Site]]="Yes",DailyCheck[[#This Row],[Manager Review]]="Remote"),"Compliance Issue","")</f>
        <v/>
      </c>
    </row>
    <row r="100" spans="1:11">
      <c r="A100" s="16">
        <f>IF(B100="", "", DATE(2026, 9, COUNTIFS($B$2:$B100, B100)))</f>
        <v>46274</v>
      </c>
      <c r="B100" s="17" t="s">
        <v>24</v>
      </c>
      <c r="C100" s="17" t="s">
        <v>12</v>
      </c>
      <c r="D100" s="17" t="s">
        <v>25</v>
      </c>
      <c r="E100" s="17">
        <v>1847229</v>
      </c>
      <c r="F100" s="17" t="s">
        <v>16</v>
      </c>
      <c r="G100" s="20" t="s">
        <v>26</v>
      </c>
      <c r="H100" s="17" t="s">
        <v>16</v>
      </c>
      <c r="I100" s="17"/>
      <c r="J100" s="17"/>
      <c r="K100" s="17" t="str">
        <f>IF(AND(DailyCheck[[#This Row],[Required On-Site]]="Yes",DailyCheck[[#This Row],[Manager Review]]="Remote"),"Compliance Issue","")</f>
        <v/>
      </c>
    </row>
    <row r="101" spans="1:11">
      <c r="A101" s="16">
        <f>IF(B101="", "", DATE(2026, 9, COUNTIFS($B$2:$B101, B101)))</f>
        <v>46275</v>
      </c>
      <c r="B101" s="17" t="s">
        <v>24</v>
      </c>
      <c r="C101" s="17" t="s">
        <v>12</v>
      </c>
      <c r="D101" s="17" t="s">
        <v>25</v>
      </c>
      <c r="E101" s="17">
        <v>1847229</v>
      </c>
      <c r="F101" s="17" t="s">
        <v>16</v>
      </c>
      <c r="G101" s="17" t="s">
        <v>27</v>
      </c>
      <c r="H101" s="17" t="s">
        <v>16</v>
      </c>
      <c r="I101" s="17"/>
      <c r="J101" s="17"/>
      <c r="K101" s="17" t="str">
        <f>IF(AND(DailyCheck[[#This Row],[Required On-Site]]="Yes",DailyCheck[[#This Row],[Manager Review]]="Remote"),"Compliance Issue","")</f>
        <v/>
      </c>
    </row>
    <row r="102" spans="1:11">
      <c r="A102" s="16">
        <f>IF(B102="", "", DATE(2026, 9, COUNTIFS($B$2:$B102, B102)))</f>
        <v>46276</v>
      </c>
      <c r="B102" s="17" t="s">
        <v>24</v>
      </c>
      <c r="C102" s="17" t="s">
        <v>12</v>
      </c>
      <c r="D102" s="17" t="s">
        <v>25</v>
      </c>
      <c r="E102" s="17">
        <v>1847229</v>
      </c>
      <c r="F102" s="17" t="s">
        <v>16</v>
      </c>
      <c r="G102" s="17" t="s">
        <v>27</v>
      </c>
      <c r="H102" s="17" t="s">
        <v>16</v>
      </c>
      <c r="I102" s="17"/>
      <c r="J102" s="17"/>
      <c r="K102" s="17" t="str">
        <f>IF(AND(DailyCheck[[#This Row],[Required On-Site]]="Yes",DailyCheck[[#This Row],[Manager Review]]="Remote"),"Compliance Issue","")</f>
        <v/>
      </c>
    </row>
    <row r="103" spans="1:11">
      <c r="A103" s="16">
        <f>IF(B103="", "", DATE(2026, 9, COUNTIFS($B$2:$B103, B103)))</f>
        <v>46277</v>
      </c>
      <c r="B103" s="17" t="s">
        <v>24</v>
      </c>
      <c r="C103" s="17" t="s">
        <v>12</v>
      </c>
      <c r="D103" s="17" t="s">
        <v>25</v>
      </c>
      <c r="E103" s="17">
        <v>1847229</v>
      </c>
      <c r="F103" s="17" t="s">
        <v>14</v>
      </c>
      <c r="G103" s="17" t="s">
        <v>17</v>
      </c>
      <c r="H103" s="17"/>
      <c r="I103" s="17"/>
      <c r="J103" s="17"/>
      <c r="K103" s="17" t="str">
        <f>IF(AND(DailyCheck[[#This Row],[Required On-Site]]="Yes",DailyCheck[[#This Row],[Manager Review]]="Remote"),"Compliance Issue","")</f>
        <v/>
      </c>
    </row>
    <row r="104" spans="1:11">
      <c r="A104" s="16">
        <f>IF(B104="", "", DATE(2026, 9, COUNTIFS($B$2:$B104, B104)))</f>
        <v>46278</v>
      </c>
      <c r="B104" s="17" t="s">
        <v>24</v>
      </c>
      <c r="C104" s="17" t="s">
        <v>12</v>
      </c>
      <c r="D104" s="17" t="s">
        <v>25</v>
      </c>
      <c r="E104" s="17">
        <v>1847229</v>
      </c>
      <c r="F104" s="17" t="s">
        <v>14</v>
      </c>
      <c r="G104" s="17" t="s">
        <v>17</v>
      </c>
      <c r="H104" s="17"/>
      <c r="I104" s="17"/>
      <c r="J104" s="17"/>
      <c r="K104" s="17" t="str">
        <f>IF(AND(DailyCheck[[#This Row],[Required On-Site]]="Yes",DailyCheck[[#This Row],[Manager Review]]="Remote"),"Compliance Issue","")</f>
        <v/>
      </c>
    </row>
    <row r="105" spans="1:11">
      <c r="A105" s="16">
        <f>IF(B105="", "", DATE(2026, 9, COUNTIFS($B$2:$B105, B105)))</f>
        <v>46279</v>
      </c>
      <c r="B105" s="17" t="s">
        <v>24</v>
      </c>
      <c r="C105" s="17" t="s">
        <v>12</v>
      </c>
      <c r="D105" s="17" t="s">
        <v>25</v>
      </c>
      <c r="E105" s="17">
        <v>1847229</v>
      </c>
      <c r="F105" s="17" t="s">
        <v>14</v>
      </c>
      <c r="G105" s="17" t="s">
        <v>19</v>
      </c>
      <c r="H105" s="17"/>
      <c r="I105" s="17"/>
      <c r="J105" s="17"/>
      <c r="K105" s="17" t="str">
        <f>IF(AND(DailyCheck[[#This Row],[Required On-Site]]="Yes",DailyCheck[[#This Row],[Manager Review]]="Remote"),"Compliance Issue","")</f>
        <v/>
      </c>
    </row>
    <row r="106" spans="1:11">
      <c r="A106" s="16">
        <f>IF(B106="", "", DATE(2026, 9, COUNTIFS($B$2:$B106, B106)))</f>
        <v>46280</v>
      </c>
      <c r="B106" s="17" t="s">
        <v>24</v>
      </c>
      <c r="C106" s="17" t="s">
        <v>12</v>
      </c>
      <c r="D106" s="17" t="s">
        <v>25</v>
      </c>
      <c r="E106" s="17">
        <v>1847229</v>
      </c>
      <c r="F106" s="17" t="s">
        <v>14</v>
      </c>
      <c r="G106" s="20" t="s">
        <v>19</v>
      </c>
      <c r="H106" s="17"/>
      <c r="I106" s="17"/>
      <c r="J106" s="17"/>
      <c r="K106" s="17" t="str">
        <f>IF(AND(DailyCheck[[#This Row],[Required On-Site]]="Yes",DailyCheck[[#This Row],[Manager Review]]="Remote"),"Compliance Issue","")</f>
        <v/>
      </c>
    </row>
    <row r="107" spans="1:11">
      <c r="A107" s="16">
        <f>IF(B107="", "", DATE(2026, 9, COUNTIFS($B$2:$B107, B107)))</f>
        <v>46281</v>
      </c>
      <c r="B107" s="17" t="s">
        <v>24</v>
      </c>
      <c r="C107" s="17" t="s">
        <v>12</v>
      </c>
      <c r="D107" s="17" t="s">
        <v>25</v>
      </c>
      <c r="E107" s="17">
        <v>1847229</v>
      </c>
      <c r="F107" s="17" t="s">
        <v>16</v>
      </c>
      <c r="G107" s="20" t="s">
        <v>18</v>
      </c>
      <c r="H107" s="17"/>
      <c r="I107" s="17"/>
      <c r="J107" s="17"/>
      <c r="K107" s="17" t="str">
        <f>IF(AND(DailyCheck[[#This Row],[Required On-Site]]="Yes",DailyCheck[[#This Row],[Manager Review]]="Remote"),"Compliance Issue","")</f>
        <v/>
      </c>
    </row>
    <row r="108" spans="1:11">
      <c r="A108" s="16">
        <f>IF(B108="", "", DATE(2026, 9, COUNTIFS($B$2:$B108, B108)))</f>
        <v>46282</v>
      </c>
      <c r="B108" s="17" t="s">
        <v>24</v>
      </c>
      <c r="C108" s="17" t="s">
        <v>12</v>
      </c>
      <c r="D108" s="17" t="s">
        <v>25</v>
      </c>
      <c r="E108" s="17">
        <v>1847229</v>
      </c>
      <c r="F108" s="17" t="s">
        <v>16</v>
      </c>
      <c r="G108" s="17" t="s">
        <v>18</v>
      </c>
      <c r="H108" s="17"/>
      <c r="I108" s="17"/>
      <c r="J108" s="17"/>
      <c r="K108" s="17" t="str">
        <f>IF(AND(DailyCheck[[#This Row],[Required On-Site]]="Yes",DailyCheck[[#This Row],[Manager Review]]="Remote"),"Compliance Issue","")</f>
        <v/>
      </c>
    </row>
    <row r="109" spans="1:11">
      <c r="A109" s="16">
        <f>IF(B109="", "", DATE(2026, 9, COUNTIFS($B$2:$B109, B109)))</f>
        <v>46283</v>
      </c>
      <c r="B109" s="17" t="s">
        <v>24</v>
      </c>
      <c r="C109" s="17" t="s">
        <v>12</v>
      </c>
      <c r="D109" s="17" t="s">
        <v>25</v>
      </c>
      <c r="E109" s="17">
        <v>1847229</v>
      </c>
      <c r="F109" s="17" t="s">
        <v>16</v>
      </c>
      <c r="G109" s="17" t="s">
        <v>18</v>
      </c>
      <c r="H109" s="17"/>
      <c r="I109" s="17"/>
      <c r="J109" s="17"/>
      <c r="K109" s="17" t="str">
        <f>IF(AND(DailyCheck[[#This Row],[Required On-Site]]="Yes",DailyCheck[[#This Row],[Manager Review]]="Remote"),"Compliance Issue","")</f>
        <v/>
      </c>
    </row>
    <row r="110" spans="1:11">
      <c r="A110" s="16">
        <f>IF(B110="", "", DATE(2026, 9, COUNTIFS($B$2:$B110, B110)))</f>
        <v>46284</v>
      </c>
      <c r="B110" s="17" t="s">
        <v>24</v>
      </c>
      <c r="C110" s="17" t="s">
        <v>12</v>
      </c>
      <c r="D110" s="17" t="s">
        <v>25</v>
      </c>
      <c r="E110" s="17">
        <v>1847229</v>
      </c>
      <c r="F110" s="17" t="s">
        <v>14</v>
      </c>
      <c r="G110" s="17" t="s">
        <v>17</v>
      </c>
      <c r="H110" s="17"/>
      <c r="I110" s="17"/>
      <c r="J110" s="17"/>
      <c r="K110" s="17" t="str">
        <f>IF(AND(DailyCheck[[#This Row],[Required On-Site]]="Yes",DailyCheck[[#This Row],[Manager Review]]="Remote"),"Compliance Issue","")</f>
        <v/>
      </c>
    </row>
    <row r="111" spans="1:11">
      <c r="A111" s="16">
        <f>IF(B111="", "", DATE(2026, 9, COUNTIFS($B$2:$B111, B111)))</f>
        <v>46285</v>
      </c>
      <c r="B111" s="17" t="s">
        <v>24</v>
      </c>
      <c r="C111" s="17" t="s">
        <v>12</v>
      </c>
      <c r="D111" s="17" t="s">
        <v>25</v>
      </c>
      <c r="E111" s="17">
        <v>1847229</v>
      </c>
      <c r="F111" s="17" t="s">
        <v>14</v>
      </c>
      <c r="G111" s="17" t="s">
        <v>17</v>
      </c>
      <c r="H111" s="17"/>
      <c r="I111" s="17"/>
      <c r="J111" s="17"/>
      <c r="K111" s="17" t="str">
        <f>IF(AND(DailyCheck[[#This Row],[Required On-Site]]="Yes",DailyCheck[[#This Row],[Manager Review]]="Remote"),"Compliance Issue","")</f>
        <v/>
      </c>
    </row>
    <row r="112" spans="1:11">
      <c r="A112" s="16">
        <f>IF(B112="", "", DATE(2026, 9, COUNTIFS($B$2:$B112, B112)))</f>
        <v>46286</v>
      </c>
      <c r="B112" s="17" t="s">
        <v>24</v>
      </c>
      <c r="C112" s="17" t="s">
        <v>12</v>
      </c>
      <c r="D112" s="17" t="s">
        <v>25</v>
      </c>
      <c r="E112" s="17">
        <v>1847229</v>
      </c>
      <c r="F112" s="17" t="s">
        <v>14</v>
      </c>
      <c r="G112" s="17" t="s">
        <v>19</v>
      </c>
      <c r="H112" s="17"/>
      <c r="I112" s="17"/>
      <c r="J112" s="17"/>
      <c r="K112" s="17" t="str">
        <f>IF(AND(DailyCheck[[#This Row],[Required On-Site]]="Yes",DailyCheck[[#This Row],[Manager Review]]="Remote"),"Compliance Issue","")</f>
        <v/>
      </c>
    </row>
    <row r="113" spans="1:11">
      <c r="A113" s="16">
        <f>IF(B113="", "", DATE(2026, 9, COUNTIFS($B$2:$B113, B113)))</f>
        <v>46287</v>
      </c>
      <c r="B113" s="17" t="s">
        <v>24</v>
      </c>
      <c r="C113" s="17" t="s">
        <v>12</v>
      </c>
      <c r="D113" s="17" t="s">
        <v>25</v>
      </c>
      <c r="E113" s="17">
        <v>1847229</v>
      </c>
      <c r="F113" s="17" t="s">
        <v>14</v>
      </c>
      <c r="G113" s="20" t="s">
        <v>19</v>
      </c>
      <c r="H113" s="17"/>
      <c r="I113" s="17"/>
      <c r="J113" s="17"/>
      <c r="K113" s="17" t="str">
        <f>IF(AND(DailyCheck[[#This Row],[Required On-Site]]="Yes",DailyCheck[[#This Row],[Manager Review]]="Remote"),"Compliance Issue","")</f>
        <v/>
      </c>
    </row>
    <row r="114" spans="1:11">
      <c r="A114" s="16">
        <f>IF(B114="", "", DATE(2026, 9, COUNTIFS($B$2:$B114, B114)))</f>
        <v>46288</v>
      </c>
      <c r="B114" s="17" t="s">
        <v>24</v>
      </c>
      <c r="C114" s="17" t="s">
        <v>12</v>
      </c>
      <c r="D114" s="17" t="s">
        <v>25</v>
      </c>
      <c r="E114" s="17">
        <v>1847229</v>
      </c>
      <c r="F114" s="17" t="s">
        <v>16</v>
      </c>
      <c r="G114" s="20" t="s">
        <v>18</v>
      </c>
      <c r="H114" s="17"/>
      <c r="I114" s="17"/>
      <c r="J114" s="17"/>
      <c r="K114" s="17" t="str">
        <f>IF(AND(DailyCheck[[#This Row],[Required On-Site]]="Yes",DailyCheck[[#This Row],[Manager Review]]="Remote"),"Compliance Issue","")</f>
        <v/>
      </c>
    </row>
    <row r="115" spans="1:11">
      <c r="A115" s="16">
        <f>IF(B115="", "", DATE(2026, 9, COUNTIFS($B$2:$B115, B115)))</f>
        <v>46289</v>
      </c>
      <c r="B115" s="17" t="s">
        <v>24</v>
      </c>
      <c r="C115" s="17" t="s">
        <v>12</v>
      </c>
      <c r="D115" s="17" t="s">
        <v>25</v>
      </c>
      <c r="E115" s="17">
        <v>1847229</v>
      </c>
      <c r="F115" s="17" t="s">
        <v>16</v>
      </c>
      <c r="G115" s="17" t="s">
        <v>18</v>
      </c>
      <c r="H115" s="17"/>
      <c r="I115" s="17"/>
      <c r="J115" s="17"/>
      <c r="K115" s="17" t="str">
        <f>IF(AND(DailyCheck[[#This Row],[Required On-Site]]="Yes",DailyCheck[[#This Row],[Manager Review]]="Remote"),"Compliance Issue","")</f>
        <v/>
      </c>
    </row>
    <row r="116" spans="1:11">
      <c r="A116" s="16">
        <f>IF(B116="", "", DATE(2026, 9, COUNTIFS($B$2:$B116, B116)))</f>
        <v>46290</v>
      </c>
      <c r="B116" s="17" t="s">
        <v>24</v>
      </c>
      <c r="C116" s="17" t="s">
        <v>12</v>
      </c>
      <c r="D116" s="17" t="s">
        <v>25</v>
      </c>
      <c r="E116" s="17">
        <v>1847229</v>
      </c>
      <c r="F116" s="17" t="s">
        <v>16</v>
      </c>
      <c r="G116" s="17" t="s">
        <v>18</v>
      </c>
      <c r="H116" s="17"/>
      <c r="I116" s="17"/>
      <c r="J116" s="17"/>
      <c r="K116" s="17" t="str">
        <f>IF(AND(DailyCheck[[#This Row],[Required On-Site]]="Yes",DailyCheck[[#This Row],[Manager Review]]="Remote"),"Compliance Issue","")</f>
        <v/>
      </c>
    </row>
    <row r="117" spans="1:11">
      <c r="A117" s="16">
        <f>IF(B117="", "", DATE(2026, 9, COUNTIFS($B$2:$B117, B117)))</f>
        <v>46291</v>
      </c>
      <c r="B117" s="17" t="s">
        <v>24</v>
      </c>
      <c r="C117" s="17" t="s">
        <v>12</v>
      </c>
      <c r="D117" s="17" t="s">
        <v>25</v>
      </c>
      <c r="E117" s="17">
        <v>1847229</v>
      </c>
      <c r="F117" s="17" t="s">
        <v>14</v>
      </c>
      <c r="G117" s="17" t="s">
        <v>17</v>
      </c>
      <c r="H117" s="17"/>
      <c r="I117" s="17"/>
      <c r="J117" s="17"/>
      <c r="K117" s="17" t="str">
        <f>IF(AND(DailyCheck[[#This Row],[Required On-Site]]="Yes",DailyCheck[[#This Row],[Manager Review]]="Remote"),"Compliance Issue","")</f>
        <v/>
      </c>
    </row>
    <row r="118" spans="1:11">
      <c r="A118" s="16">
        <f>IF(B118="", "", DATE(2026, 9, COUNTIFS($B$2:$B118, B118)))</f>
        <v>46292</v>
      </c>
      <c r="B118" s="17" t="s">
        <v>24</v>
      </c>
      <c r="C118" s="17" t="s">
        <v>12</v>
      </c>
      <c r="D118" s="17" t="s">
        <v>25</v>
      </c>
      <c r="E118" s="17">
        <v>1847229</v>
      </c>
      <c r="F118" s="17" t="s">
        <v>14</v>
      </c>
      <c r="G118" s="17" t="s">
        <v>17</v>
      </c>
      <c r="H118" s="17"/>
      <c r="I118" s="17"/>
      <c r="J118" s="17"/>
      <c r="K118" s="17" t="str">
        <f>IF(AND(DailyCheck[[#This Row],[Required On-Site]]="Yes",DailyCheck[[#This Row],[Manager Review]]="Remote"),"Compliance Issue","")</f>
        <v/>
      </c>
    </row>
    <row r="119" spans="1:11">
      <c r="A119" s="16">
        <f>IF(B119="", "", DATE(2026, 9, COUNTIFS($B$2:$B119, B119)))</f>
        <v>46293</v>
      </c>
      <c r="B119" s="17" t="s">
        <v>24</v>
      </c>
      <c r="C119" s="17" t="s">
        <v>12</v>
      </c>
      <c r="D119" s="17" t="s">
        <v>25</v>
      </c>
      <c r="E119" s="17">
        <v>1847229</v>
      </c>
      <c r="F119" s="17" t="s">
        <v>14</v>
      </c>
      <c r="G119" s="17" t="s">
        <v>19</v>
      </c>
      <c r="H119" s="17"/>
      <c r="I119" s="17"/>
      <c r="J119" s="17"/>
      <c r="K119" s="17" t="str">
        <f>IF(AND(DailyCheck[[#This Row],[Required On-Site]]="Yes",DailyCheck[[#This Row],[Manager Review]]="Remote"),"Compliance Issue","")</f>
        <v/>
      </c>
    </row>
    <row r="120" spans="1:11">
      <c r="A120" s="16">
        <f>IF(B120="", "", DATE(2026, 9, COUNTIFS($B$2:$B120, B120)))</f>
        <v>46294</v>
      </c>
      <c r="B120" s="17" t="s">
        <v>24</v>
      </c>
      <c r="C120" s="17" t="s">
        <v>12</v>
      </c>
      <c r="D120" s="17" t="s">
        <v>25</v>
      </c>
      <c r="E120" s="17">
        <v>1847229</v>
      </c>
      <c r="F120" s="17" t="s">
        <v>14</v>
      </c>
      <c r="G120" s="20" t="s">
        <v>19</v>
      </c>
      <c r="H120" s="17"/>
      <c r="I120" s="17"/>
      <c r="J120" s="17"/>
      <c r="K120" s="17" t="str">
        <f>IF(AND(DailyCheck[[#This Row],[Required On-Site]]="Yes",DailyCheck[[#This Row],[Manager Review]]="Remote"),"Compliance Issue","")</f>
        <v/>
      </c>
    </row>
    <row r="121" spans="1:11">
      <c r="A121" s="16">
        <f>IF(B121="", "", DATE(2026, 9, COUNTIFS($B$2:$B121, B121)))</f>
        <v>46295</v>
      </c>
      <c r="B121" s="17" t="s">
        <v>24</v>
      </c>
      <c r="C121" s="17" t="s">
        <v>12</v>
      </c>
      <c r="D121" s="17" t="s">
        <v>25</v>
      </c>
      <c r="E121" s="17">
        <v>1847229</v>
      </c>
      <c r="F121" s="17" t="s">
        <v>16</v>
      </c>
      <c r="G121" s="20" t="s">
        <v>18</v>
      </c>
      <c r="H121" s="17"/>
      <c r="I121" s="17"/>
      <c r="J121" s="17"/>
      <c r="K121" s="17" t="str">
        <f>IF(AND(DailyCheck[[#This Row],[Required On-Site]]="Yes",DailyCheck[[#This Row],[Manager Review]]="Remote"),"Compliance Issue","")</f>
        <v/>
      </c>
    </row>
    <row r="122" spans="1:11" hidden="1">
      <c r="A122" s="16">
        <f>IF(B122="", "", DATE(2026, 9, COUNTIFS($B$2:$B122, B122)))</f>
        <v>46266</v>
      </c>
      <c r="B122" s="17" t="s">
        <v>28</v>
      </c>
      <c r="C122" s="17" t="s">
        <v>29</v>
      </c>
      <c r="D122" s="17" t="s">
        <v>30</v>
      </c>
      <c r="E122" s="17">
        <v>30000369</v>
      </c>
      <c r="F122" s="17" t="s">
        <v>16</v>
      </c>
      <c r="G122" s="20" t="s">
        <v>18</v>
      </c>
      <c r="H122" s="17"/>
      <c r="I122" s="17"/>
      <c r="J122" s="17"/>
      <c r="K122" s="17" t="str">
        <f>IF(AND(DailyCheck[[#This Row],[Required On-Site]]="Yes",DailyCheck[[#This Row],[Manager Review]]="Remote"),"Compliance Issue","")</f>
        <v/>
      </c>
    </row>
    <row r="123" spans="1:11" hidden="1">
      <c r="A123" s="16">
        <f>IF(B123="", "", DATE(2026, 9, COUNTIFS($B$2:$B123, B123)))</f>
        <v>46267</v>
      </c>
      <c r="B123" s="17" t="s">
        <v>28</v>
      </c>
      <c r="C123" s="17" t="s">
        <v>29</v>
      </c>
      <c r="D123" s="17" t="s">
        <v>30</v>
      </c>
      <c r="E123" s="17">
        <v>30000369</v>
      </c>
      <c r="F123" s="17" t="s">
        <v>16</v>
      </c>
      <c r="G123" s="20" t="s">
        <v>18</v>
      </c>
      <c r="H123" s="17"/>
      <c r="I123" s="17"/>
      <c r="J123" s="17"/>
      <c r="K123" s="17" t="str">
        <f>IF(AND(DailyCheck[[#This Row],[Required On-Site]]="Yes",DailyCheck[[#This Row],[Manager Review]]="Remote"),"Compliance Issue","")</f>
        <v/>
      </c>
    </row>
    <row r="124" spans="1:11" hidden="1">
      <c r="A124" s="16">
        <f>IF(B124="", "", DATE(2026, 9, COUNTIFS($B$2:$B124, B124)))</f>
        <v>46268</v>
      </c>
      <c r="B124" s="17" t="s">
        <v>28</v>
      </c>
      <c r="C124" s="17" t="s">
        <v>29</v>
      </c>
      <c r="D124" s="17" t="s">
        <v>30</v>
      </c>
      <c r="E124" s="17">
        <v>30000369</v>
      </c>
      <c r="F124" s="17" t="s">
        <v>16</v>
      </c>
      <c r="G124" s="17" t="s">
        <v>18</v>
      </c>
      <c r="H124" s="17"/>
      <c r="I124" s="17"/>
      <c r="J124" s="17"/>
      <c r="K124" s="17" t="str">
        <f>IF(AND(DailyCheck[[#This Row],[Required On-Site]]="Yes",DailyCheck[[#This Row],[Manager Review]]="Remote"),"Compliance Issue","")</f>
        <v/>
      </c>
    </row>
    <row r="125" spans="1:11" hidden="1">
      <c r="A125" s="16">
        <f>IF(B125="", "", DATE(2026, 9, COUNTIFS($B$2:$B125, B125)))</f>
        <v>46269</v>
      </c>
      <c r="B125" s="17" t="s">
        <v>28</v>
      </c>
      <c r="C125" s="17" t="s">
        <v>29</v>
      </c>
      <c r="D125" s="17" t="s">
        <v>30</v>
      </c>
      <c r="E125" s="17">
        <v>30000369</v>
      </c>
      <c r="F125" s="17" t="s">
        <v>14</v>
      </c>
      <c r="G125" s="17" t="s">
        <v>19</v>
      </c>
      <c r="H125" s="17"/>
      <c r="I125" s="17"/>
      <c r="J125" s="17"/>
      <c r="K125" s="17" t="str">
        <f>IF(AND(DailyCheck[[#This Row],[Required On-Site]]="Yes",DailyCheck[[#This Row],[Manager Review]]="Remote"),"Compliance Issue","")</f>
        <v/>
      </c>
    </row>
    <row r="126" spans="1:11" hidden="1">
      <c r="A126" s="16">
        <f>IF(B126="", "", DATE(2026, 9, COUNTIFS($B$2:$B126, B126)))</f>
        <v>46270</v>
      </c>
      <c r="B126" s="17" t="s">
        <v>28</v>
      </c>
      <c r="C126" s="17" t="s">
        <v>29</v>
      </c>
      <c r="D126" s="17" t="s">
        <v>30</v>
      </c>
      <c r="E126" s="17">
        <v>30000369</v>
      </c>
      <c r="F126" s="17" t="s">
        <v>14</v>
      </c>
      <c r="G126" s="17" t="s">
        <v>17</v>
      </c>
      <c r="H126" s="17"/>
      <c r="I126" s="17"/>
      <c r="J126" s="17"/>
      <c r="K126" s="17" t="str">
        <f>IF(AND(DailyCheck[[#This Row],[Required On-Site]]="Yes",DailyCheck[[#This Row],[Manager Review]]="Remote"),"Compliance Issue","")</f>
        <v/>
      </c>
    </row>
    <row r="127" spans="1:11" hidden="1">
      <c r="A127" s="16">
        <f>IF(B127="", "", DATE(2026, 9, COUNTIFS($B$2:$B127, B127)))</f>
        <v>46271</v>
      </c>
      <c r="B127" s="17" t="s">
        <v>28</v>
      </c>
      <c r="C127" s="17" t="s">
        <v>29</v>
      </c>
      <c r="D127" s="17" t="s">
        <v>30</v>
      </c>
      <c r="E127" s="17">
        <v>30000369</v>
      </c>
      <c r="F127" s="17" t="s">
        <v>14</v>
      </c>
      <c r="G127" s="17" t="s">
        <v>17</v>
      </c>
      <c r="H127" s="17"/>
      <c r="I127" s="17"/>
      <c r="J127" s="17"/>
      <c r="K127" s="17" t="str">
        <f>IF(AND(DailyCheck[[#This Row],[Required On-Site]]="Yes",DailyCheck[[#This Row],[Manager Review]]="Remote"),"Compliance Issue","")</f>
        <v/>
      </c>
    </row>
    <row r="128" spans="1:11" hidden="1">
      <c r="A128" s="16">
        <f>IF(B128="", "", DATE(2026, 9, COUNTIFS($B$2:$B128, B128)))</f>
        <v>46272</v>
      </c>
      <c r="B128" s="17" t="s">
        <v>28</v>
      </c>
      <c r="C128" s="17" t="s">
        <v>29</v>
      </c>
      <c r="D128" s="17" t="s">
        <v>30</v>
      </c>
      <c r="E128" s="17">
        <v>30000369</v>
      </c>
      <c r="F128" s="17" t="s">
        <v>16</v>
      </c>
      <c r="G128" s="17" t="s">
        <v>18</v>
      </c>
      <c r="H128" s="17"/>
      <c r="I128" s="17"/>
      <c r="J128" s="17"/>
      <c r="K128" s="17" t="str">
        <f>IF(AND(DailyCheck[[#This Row],[Required On-Site]]="Yes",DailyCheck[[#This Row],[Manager Review]]="Remote"),"Compliance Issue","")</f>
        <v/>
      </c>
    </row>
    <row r="129" spans="1:11" hidden="1">
      <c r="A129" s="16">
        <f>IF(B129="", "", DATE(2026, 9, COUNTIFS($B$2:$B129, B129)))</f>
        <v>46273</v>
      </c>
      <c r="B129" s="17" t="s">
        <v>28</v>
      </c>
      <c r="C129" s="17" t="s">
        <v>29</v>
      </c>
      <c r="D129" s="17" t="s">
        <v>30</v>
      </c>
      <c r="E129" s="17">
        <v>30000369</v>
      </c>
      <c r="F129" s="17" t="s">
        <v>16</v>
      </c>
      <c r="G129" s="20" t="s">
        <v>18</v>
      </c>
      <c r="H129" s="17"/>
      <c r="I129" s="17"/>
      <c r="J129" s="17"/>
      <c r="K129" s="17" t="str">
        <f>IF(AND(DailyCheck[[#This Row],[Required On-Site]]="Yes",DailyCheck[[#This Row],[Manager Review]]="Remote"),"Compliance Issue","")</f>
        <v/>
      </c>
    </row>
    <row r="130" spans="1:11" hidden="1">
      <c r="A130" s="16">
        <f>IF(B130="", "", DATE(2026, 9, COUNTIFS($B$2:$B130, B130)))</f>
        <v>46274</v>
      </c>
      <c r="B130" s="17" t="s">
        <v>28</v>
      </c>
      <c r="C130" s="17" t="s">
        <v>29</v>
      </c>
      <c r="D130" s="17" t="s">
        <v>30</v>
      </c>
      <c r="E130" s="17">
        <v>30000369</v>
      </c>
      <c r="F130" s="17" t="s">
        <v>14</v>
      </c>
      <c r="G130" s="20" t="s">
        <v>19</v>
      </c>
      <c r="H130" s="17"/>
      <c r="I130" s="17"/>
      <c r="J130" s="17"/>
      <c r="K130" s="17" t="str">
        <f>IF(AND(DailyCheck[[#This Row],[Required On-Site]]="Yes",DailyCheck[[#This Row],[Manager Review]]="Remote"),"Compliance Issue","")</f>
        <v/>
      </c>
    </row>
    <row r="131" spans="1:11" hidden="1">
      <c r="A131" s="16">
        <f>IF(B131="", "", DATE(2026, 9, COUNTIFS($B$2:$B131, B131)))</f>
        <v>46275</v>
      </c>
      <c r="B131" s="17" t="s">
        <v>28</v>
      </c>
      <c r="C131" s="17" t="s">
        <v>29</v>
      </c>
      <c r="D131" s="17" t="s">
        <v>30</v>
      </c>
      <c r="E131" s="17">
        <v>30000369</v>
      </c>
      <c r="F131" s="17" t="s">
        <v>16</v>
      </c>
      <c r="G131" s="17" t="s">
        <v>18</v>
      </c>
      <c r="H131" s="17"/>
      <c r="I131" s="17"/>
      <c r="J131" s="17"/>
      <c r="K131" s="17" t="str">
        <f>IF(AND(DailyCheck[[#This Row],[Required On-Site]]="Yes",DailyCheck[[#This Row],[Manager Review]]="Remote"),"Compliance Issue","")</f>
        <v/>
      </c>
    </row>
    <row r="132" spans="1:11" hidden="1">
      <c r="A132" s="16">
        <f>IF(B132="", "", DATE(2026, 9, COUNTIFS($B$2:$B132, B132)))</f>
        <v>46276</v>
      </c>
      <c r="B132" s="17" t="s">
        <v>28</v>
      </c>
      <c r="C132" s="17" t="s">
        <v>29</v>
      </c>
      <c r="D132" s="17" t="s">
        <v>30</v>
      </c>
      <c r="E132" s="17">
        <v>30000369</v>
      </c>
      <c r="F132" s="17" t="s">
        <v>14</v>
      </c>
      <c r="G132" s="17" t="s">
        <v>19</v>
      </c>
      <c r="H132" s="17"/>
      <c r="I132" s="17"/>
      <c r="J132" s="17"/>
      <c r="K132" s="17" t="str">
        <f>IF(AND(DailyCheck[[#This Row],[Required On-Site]]="Yes",DailyCheck[[#This Row],[Manager Review]]="Remote"),"Compliance Issue","")</f>
        <v/>
      </c>
    </row>
    <row r="133" spans="1:11" hidden="1">
      <c r="A133" s="16">
        <f>IF(B133="", "", DATE(2026, 9, COUNTIFS($B$2:$B133, B133)))</f>
        <v>46277</v>
      </c>
      <c r="B133" s="17" t="s">
        <v>28</v>
      </c>
      <c r="C133" s="17" t="s">
        <v>29</v>
      </c>
      <c r="D133" s="17" t="s">
        <v>30</v>
      </c>
      <c r="E133" s="17">
        <v>30000369</v>
      </c>
      <c r="F133" s="17" t="s">
        <v>14</v>
      </c>
      <c r="G133" s="17" t="s">
        <v>17</v>
      </c>
      <c r="H133" s="17"/>
      <c r="I133" s="17"/>
      <c r="J133" s="17"/>
      <c r="K133" s="17" t="str">
        <f>IF(AND(DailyCheck[[#This Row],[Required On-Site]]="Yes",DailyCheck[[#This Row],[Manager Review]]="Remote"),"Compliance Issue","")</f>
        <v/>
      </c>
    </row>
    <row r="134" spans="1:11" hidden="1">
      <c r="A134" s="16">
        <f>IF(B134="", "", DATE(2026, 9, COUNTIFS($B$2:$B134, B134)))</f>
        <v>46278</v>
      </c>
      <c r="B134" s="17" t="s">
        <v>28</v>
      </c>
      <c r="C134" s="17" t="s">
        <v>29</v>
      </c>
      <c r="D134" s="17" t="s">
        <v>30</v>
      </c>
      <c r="E134" s="17">
        <v>30000369</v>
      </c>
      <c r="F134" s="17" t="s">
        <v>14</v>
      </c>
      <c r="G134" s="17" t="s">
        <v>17</v>
      </c>
      <c r="H134" s="17"/>
      <c r="I134" s="17"/>
      <c r="J134" s="17"/>
      <c r="K134" s="17" t="str">
        <f>IF(AND(DailyCheck[[#This Row],[Required On-Site]]="Yes",DailyCheck[[#This Row],[Manager Review]]="Remote"),"Compliance Issue","")</f>
        <v/>
      </c>
    </row>
    <row r="135" spans="1:11" hidden="1">
      <c r="A135" s="16">
        <f>IF(B135="", "", DATE(2026, 9, COUNTIFS($B$2:$B135, B135)))</f>
        <v>46279</v>
      </c>
      <c r="B135" s="17" t="s">
        <v>28</v>
      </c>
      <c r="C135" s="17" t="s">
        <v>29</v>
      </c>
      <c r="D135" s="17" t="s">
        <v>30</v>
      </c>
      <c r="E135" s="17">
        <v>30000369</v>
      </c>
      <c r="F135" s="17" t="s">
        <v>14</v>
      </c>
      <c r="G135" s="17" t="s">
        <v>19</v>
      </c>
      <c r="H135" s="17"/>
      <c r="I135" s="17"/>
      <c r="J135" s="17"/>
      <c r="K135" s="17" t="str">
        <f>IF(AND(DailyCheck[[#This Row],[Required On-Site]]="Yes",DailyCheck[[#This Row],[Manager Review]]="Remote"),"Compliance Issue","")</f>
        <v/>
      </c>
    </row>
    <row r="136" spans="1:11" hidden="1">
      <c r="A136" s="16">
        <f>IF(B136="", "", DATE(2026, 9, COUNTIFS($B$2:$B136, B136)))</f>
        <v>46280</v>
      </c>
      <c r="B136" s="17" t="s">
        <v>28</v>
      </c>
      <c r="C136" s="17" t="s">
        <v>29</v>
      </c>
      <c r="D136" s="17" t="s">
        <v>30</v>
      </c>
      <c r="E136" s="17">
        <v>30000369</v>
      </c>
      <c r="F136" s="17" t="s">
        <v>16</v>
      </c>
      <c r="G136" s="20" t="s">
        <v>18</v>
      </c>
      <c r="H136" s="17"/>
      <c r="I136" s="17"/>
      <c r="J136" s="17"/>
      <c r="K136" s="17" t="str">
        <f>IF(AND(DailyCheck[[#This Row],[Required On-Site]]="Yes",DailyCheck[[#This Row],[Manager Review]]="Remote"),"Compliance Issue","")</f>
        <v/>
      </c>
    </row>
    <row r="137" spans="1:11" hidden="1">
      <c r="A137" s="16">
        <f>IF(B137="", "", DATE(2026, 9, COUNTIFS($B$2:$B137, B137)))</f>
        <v>46281</v>
      </c>
      <c r="B137" s="17" t="s">
        <v>28</v>
      </c>
      <c r="C137" s="17" t="s">
        <v>29</v>
      </c>
      <c r="D137" s="17" t="s">
        <v>30</v>
      </c>
      <c r="E137" s="17">
        <v>30000369</v>
      </c>
      <c r="F137" s="17" t="s">
        <v>14</v>
      </c>
      <c r="G137" s="20" t="s">
        <v>19</v>
      </c>
      <c r="H137" s="17"/>
      <c r="I137" s="17"/>
      <c r="J137" s="17"/>
      <c r="K137" s="17" t="str">
        <f>IF(AND(DailyCheck[[#This Row],[Required On-Site]]="Yes",DailyCheck[[#This Row],[Manager Review]]="Remote"),"Compliance Issue","")</f>
        <v/>
      </c>
    </row>
    <row r="138" spans="1:11" hidden="1">
      <c r="A138" s="16">
        <f>IF(B138="", "", DATE(2026, 9, COUNTIFS($B$2:$B138, B138)))</f>
        <v>46282</v>
      </c>
      <c r="B138" s="17" t="s">
        <v>28</v>
      </c>
      <c r="C138" s="17" t="s">
        <v>29</v>
      </c>
      <c r="D138" s="17" t="s">
        <v>30</v>
      </c>
      <c r="E138" s="17">
        <v>30000369</v>
      </c>
      <c r="F138" s="17" t="s">
        <v>16</v>
      </c>
      <c r="G138" s="17" t="s">
        <v>19</v>
      </c>
      <c r="H138" s="17" t="s">
        <v>16</v>
      </c>
      <c r="I138" s="17"/>
      <c r="J138" s="17"/>
      <c r="K138" s="17" t="str">
        <f>IF(AND(DailyCheck[[#This Row],[Required On-Site]]="Yes",DailyCheck[[#This Row],[Manager Review]]="Remote"),"Compliance Issue","")</f>
        <v>Compliance Issue</v>
      </c>
    </row>
    <row r="139" spans="1:11" hidden="1">
      <c r="A139" s="16">
        <f>IF(B139="", "", DATE(2026, 9, COUNTIFS($B$2:$B139, B139)))</f>
        <v>46283</v>
      </c>
      <c r="B139" s="17" t="s">
        <v>28</v>
      </c>
      <c r="C139" s="17" t="s">
        <v>29</v>
      </c>
      <c r="D139" s="17" t="s">
        <v>30</v>
      </c>
      <c r="E139" s="17">
        <v>30000369</v>
      </c>
      <c r="F139" s="17" t="s">
        <v>16</v>
      </c>
      <c r="G139" s="17" t="s">
        <v>19</v>
      </c>
      <c r="H139" s="17" t="s">
        <v>16</v>
      </c>
      <c r="I139" s="17"/>
      <c r="J139" s="17"/>
      <c r="K139" s="17" t="str">
        <f>IF(AND(DailyCheck[[#This Row],[Required On-Site]]="Yes",DailyCheck[[#This Row],[Manager Review]]="Remote"),"Compliance Issue","")</f>
        <v>Compliance Issue</v>
      </c>
    </row>
    <row r="140" spans="1:11" hidden="1">
      <c r="A140" s="16">
        <f>IF(B140="", "", DATE(2026, 9, COUNTIFS($B$2:$B140, B140)))</f>
        <v>46284</v>
      </c>
      <c r="B140" s="17" t="s">
        <v>28</v>
      </c>
      <c r="C140" s="17" t="s">
        <v>29</v>
      </c>
      <c r="D140" s="17" t="s">
        <v>30</v>
      </c>
      <c r="E140" s="17">
        <v>30000369</v>
      </c>
      <c r="F140" s="17" t="s">
        <v>14</v>
      </c>
      <c r="G140" s="17" t="s">
        <v>17</v>
      </c>
      <c r="H140" s="17"/>
      <c r="I140" s="17"/>
      <c r="J140" s="17"/>
      <c r="K140" s="17" t="str">
        <f>IF(AND(DailyCheck[[#This Row],[Required On-Site]]="Yes",DailyCheck[[#This Row],[Manager Review]]="Remote"),"Compliance Issue","")</f>
        <v/>
      </c>
    </row>
    <row r="141" spans="1:11" hidden="1">
      <c r="A141" s="16">
        <f>IF(B141="", "", DATE(2026, 9, COUNTIFS($B$2:$B141, B141)))</f>
        <v>46285</v>
      </c>
      <c r="B141" s="17" t="s">
        <v>28</v>
      </c>
      <c r="C141" s="17" t="s">
        <v>29</v>
      </c>
      <c r="D141" s="17" t="s">
        <v>30</v>
      </c>
      <c r="E141" s="17">
        <v>30000369</v>
      </c>
      <c r="F141" s="17" t="s">
        <v>14</v>
      </c>
      <c r="G141" s="17" t="s">
        <v>17</v>
      </c>
      <c r="H141" s="17"/>
      <c r="I141" s="17"/>
      <c r="J141" s="17"/>
      <c r="K141" s="17" t="str">
        <f>IF(AND(DailyCheck[[#This Row],[Required On-Site]]="Yes",DailyCheck[[#This Row],[Manager Review]]="Remote"),"Compliance Issue","")</f>
        <v/>
      </c>
    </row>
    <row r="142" spans="1:11" hidden="1">
      <c r="A142" s="16">
        <f>IF(B142="", "", DATE(2026, 9, COUNTIFS($B$2:$B142, B142)))</f>
        <v>46286</v>
      </c>
      <c r="B142" s="17" t="s">
        <v>28</v>
      </c>
      <c r="C142" s="17" t="s">
        <v>29</v>
      </c>
      <c r="D142" s="17" t="s">
        <v>30</v>
      </c>
      <c r="E142" s="17">
        <v>30000369</v>
      </c>
      <c r="F142" s="17" t="s">
        <v>16</v>
      </c>
      <c r="G142" s="17" t="s">
        <v>18</v>
      </c>
      <c r="H142" s="17"/>
      <c r="I142" s="17"/>
      <c r="J142" s="17"/>
      <c r="K142" s="17" t="str">
        <f>IF(AND(DailyCheck[[#This Row],[Required On-Site]]="Yes",DailyCheck[[#This Row],[Manager Review]]="Remote"),"Compliance Issue","")</f>
        <v/>
      </c>
    </row>
    <row r="143" spans="1:11" hidden="1">
      <c r="A143" s="16">
        <f>IF(B143="", "", DATE(2026, 9, COUNTIFS($B$2:$B143, B143)))</f>
        <v>46287</v>
      </c>
      <c r="B143" s="17" t="s">
        <v>28</v>
      </c>
      <c r="C143" s="17" t="s">
        <v>29</v>
      </c>
      <c r="D143" s="17" t="s">
        <v>30</v>
      </c>
      <c r="E143" s="17">
        <v>30000369</v>
      </c>
      <c r="F143" s="17" t="s">
        <v>16</v>
      </c>
      <c r="G143" s="20" t="s">
        <v>18</v>
      </c>
      <c r="H143" s="17"/>
      <c r="I143" s="17"/>
      <c r="J143" s="17"/>
      <c r="K143" s="17" t="str">
        <f>IF(AND(DailyCheck[[#This Row],[Required On-Site]]="Yes",DailyCheck[[#This Row],[Manager Review]]="Remote"),"Compliance Issue","")</f>
        <v/>
      </c>
    </row>
    <row r="144" spans="1:11" hidden="1">
      <c r="A144" s="16">
        <f>IF(B144="", "", DATE(2026, 9, COUNTIFS($B$2:$B144, B144)))</f>
        <v>46288</v>
      </c>
      <c r="B144" s="17" t="s">
        <v>28</v>
      </c>
      <c r="C144" s="17" t="s">
        <v>29</v>
      </c>
      <c r="D144" s="17" t="s">
        <v>30</v>
      </c>
      <c r="E144" s="17">
        <v>30000369</v>
      </c>
      <c r="F144" s="17" t="s">
        <v>16</v>
      </c>
      <c r="G144" s="20" t="s">
        <v>18</v>
      </c>
      <c r="H144" s="17"/>
      <c r="I144" s="17"/>
      <c r="J144" s="17"/>
      <c r="K144" s="17" t="str">
        <f>IF(AND(DailyCheck[[#This Row],[Required On-Site]]="Yes",DailyCheck[[#This Row],[Manager Review]]="Remote"),"Compliance Issue","")</f>
        <v/>
      </c>
    </row>
    <row r="145" spans="1:11" hidden="1">
      <c r="A145" s="16">
        <f>IF(B145="", "", DATE(2026, 9, COUNTIFS($B$2:$B145, B145)))</f>
        <v>46289</v>
      </c>
      <c r="B145" s="17" t="s">
        <v>28</v>
      </c>
      <c r="C145" s="17" t="s">
        <v>29</v>
      </c>
      <c r="D145" s="17" t="s">
        <v>30</v>
      </c>
      <c r="E145" s="17">
        <v>30000369</v>
      </c>
      <c r="F145" s="17" t="s">
        <v>14</v>
      </c>
      <c r="G145" s="17" t="s">
        <v>19</v>
      </c>
      <c r="H145" s="17"/>
      <c r="I145" s="17"/>
      <c r="J145" s="17"/>
      <c r="K145" s="17" t="str">
        <f>IF(AND(DailyCheck[[#This Row],[Required On-Site]]="Yes",DailyCheck[[#This Row],[Manager Review]]="Remote"),"Compliance Issue","")</f>
        <v/>
      </c>
    </row>
    <row r="146" spans="1:11" hidden="1">
      <c r="A146" s="16">
        <f>IF(B146="", "", DATE(2026, 9, COUNTIFS($B$2:$B146, B146)))</f>
        <v>46290</v>
      </c>
      <c r="B146" s="17" t="s">
        <v>28</v>
      </c>
      <c r="C146" s="17" t="s">
        <v>29</v>
      </c>
      <c r="D146" s="17" t="s">
        <v>30</v>
      </c>
      <c r="E146" s="17">
        <v>30000369</v>
      </c>
      <c r="F146" s="17" t="s">
        <v>14</v>
      </c>
      <c r="G146" s="17" t="s">
        <v>19</v>
      </c>
      <c r="H146" s="17"/>
      <c r="I146" s="17"/>
      <c r="J146" s="17"/>
      <c r="K146" s="17" t="str">
        <f>IF(AND(DailyCheck[[#This Row],[Required On-Site]]="Yes",DailyCheck[[#This Row],[Manager Review]]="Remote"),"Compliance Issue","")</f>
        <v/>
      </c>
    </row>
    <row r="147" spans="1:11" hidden="1">
      <c r="A147" s="16">
        <f>IF(B147="", "", DATE(2026, 9, COUNTIFS($B$2:$B147, B147)))</f>
        <v>46291</v>
      </c>
      <c r="B147" s="17" t="s">
        <v>28</v>
      </c>
      <c r="C147" s="17" t="s">
        <v>29</v>
      </c>
      <c r="D147" s="17" t="s">
        <v>30</v>
      </c>
      <c r="E147" s="17">
        <v>30000369</v>
      </c>
      <c r="F147" s="17" t="s">
        <v>14</v>
      </c>
      <c r="G147" s="17" t="s">
        <v>17</v>
      </c>
      <c r="H147" s="17"/>
      <c r="I147" s="17"/>
      <c r="J147" s="17"/>
      <c r="K147" s="17" t="str">
        <f>IF(AND(DailyCheck[[#This Row],[Required On-Site]]="Yes",DailyCheck[[#This Row],[Manager Review]]="Remote"),"Compliance Issue","")</f>
        <v/>
      </c>
    </row>
    <row r="148" spans="1:11" hidden="1">
      <c r="A148" s="16">
        <f>IF(B148="", "", DATE(2026, 9, COUNTIFS($B$2:$B148, B148)))</f>
        <v>46292</v>
      </c>
      <c r="B148" s="17" t="s">
        <v>28</v>
      </c>
      <c r="C148" s="17" t="s">
        <v>29</v>
      </c>
      <c r="D148" s="17" t="s">
        <v>30</v>
      </c>
      <c r="E148" s="17">
        <v>30000369</v>
      </c>
      <c r="F148" s="17" t="s">
        <v>14</v>
      </c>
      <c r="G148" s="17" t="s">
        <v>17</v>
      </c>
      <c r="H148" s="17"/>
      <c r="I148" s="17"/>
      <c r="J148" s="17"/>
      <c r="K148" s="17" t="str">
        <f>IF(AND(DailyCheck[[#This Row],[Required On-Site]]="Yes",DailyCheck[[#This Row],[Manager Review]]="Remote"),"Compliance Issue","")</f>
        <v/>
      </c>
    </row>
    <row r="149" spans="1:11" hidden="1">
      <c r="A149" s="16">
        <f>IF(B149="", "", DATE(2026, 9, COUNTIFS($B$2:$B149, B149)))</f>
        <v>46293</v>
      </c>
      <c r="B149" s="17" t="s">
        <v>28</v>
      </c>
      <c r="C149" s="17" t="s">
        <v>29</v>
      </c>
      <c r="D149" s="17" t="s">
        <v>30</v>
      </c>
      <c r="E149" s="17">
        <v>30000369</v>
      </c>
      <c r="F149" s="17" t="s">
        <v>16</v>
      </c>
      <c r="G149" s="17" t="s">
        <v>19</v>
      </c>
      <c r="H149" s="17" t="s">
        <v>16</v>
      </c>
      <c r="I149" s="17"/>
      <c r="J149" s="17"/>
      <c r="K149" s="17" t="str">
        <f>IF(AND(DailyCheck[[#This Row],[Required On-Site]]="Yes",DailyCheck[[#This Row],[Manager Review]]="Remote"),"Compliance Issue","")</f>
        <v>Compliance Issue</v>
      </c>
    </row>
    <row r="150" spans="1:11" hidden="1">
      <c r="A150" s="16">
        <f>IF(B150="", "", DATE(2026, 9, COUNTIFS($B$2:$B150, B150)))</f>
        <v>46294</v>
      </c>
      <c r="B150" s="17" t="s">
        <v>28</v>
      </c>
      <c r="C150" s="17" t="s">
        <v>29</v>
      </c>
      <c r="D150" s="17" t="s">
        <v>30</v>
      </c>
      <c r="E150" s="17">
        <v>30000369</v>
      </c>
      <c r="F150" s="17" t="s">
        <v>16</v>
      </c>
      <c r="G150" s="20" t="s">
        <v>19</v>
      </c>
      <c r="H150" s="17" t="s">
        <v>16</v>
      </c>
      <c r="I150" s="17"/>
      <c r="J150" s="17"/>
      <c r="K150" s="17" t="str">
        <f>IF(AND(DailyCheck[[#This Row],[Required On-Site]]="Yes",DailyCheck[[#This Row],[Manager Review]]="Remote"),"Compliance Issue","")</f>
        <v>Compliance Issue</v>
      </c>
    </row>
    <row r="151" spans="1:11" hidden="1">
      <c r="A151" s="16">
        <f>IF(B151="", "", DATE(2026, 9, COUNTIFS($B$2:$B151, B151)))</f>
        <v>46295</v>
      </c>
      <c r="B151" s="17" t="s">
        <v>28</v>
      </c>
      <c r="C151" s="17" t="s">
        <v>29</v>
      </c>
      <c r="D151" s="17" t="s">
        <v>30</v>
      </c>
      <c r="E151" s="17">
        <v>30000369</v>
      </c>
      <c r="F151" s="17" t="s">
        <v>14</v>
      </c>
      <c r="G151" s="20" t="s">
        <v>19</v>
      </c>
      <c r="H151" s="17"/>
      <c r="I151" s="17"/>
      <c r="J151" s="17"/>
      <c r="K151" s="17" t="str">
        <f>IF(AND(DailyCheck[[#This Row],[Required On-Site]]="Yes",DailyCheck[[#This Row],[Manager Review]]="Remote"),"Compliance Issue","")</f>
        <v/>
      </c>
    </row>
    <row r="152" spans="1:11" hidden="1">
      <c r="A152" s="16">
        <f>IF(B152="", "", DATE(2026, 9, COUNTIFS($B$2:$B152, B152)))</f>
        <v>46266</v>
      </c>
      <c r="B152" s="17" t="s">
        <v>31</v>
      </c>
      <c r="C152" s="17" t="s">
        <v>29</v>
      </c>
      <c r="D152" s="17" t="s">
        <v>30</v>
      </c>
      <c r="E152" s="17">
        <v>1859559</v>
      </c>
      <c r="F152" s="17" t="s">
        <v>14</v>
      </c>
      <c r="G152" s="20" t="s">
        <v>19</v>
      </c>
      <c r="H152" s="17"/>
      <c r="I152" s="17"/>
      <c r="J152" s="17"/>
      <c r="K152" s="17" t="str">
        <f>IF(AND(DailyCheck[[#This Row],[Required On-Site]]="Yes",DailyCheck[[#This Row],[Manager Review]]="Remote"),"Compliance Issue","")</f>
        <v/>
      </c>
    </row>
    <row r="153" spans="1:11" hidden="1">
      <c r="A153" s="16">
        <f>IF(B153="", "", DATE(2026, 9, COUNTIFS($B$2:$B153, B153)))</f>
        <v>46267</v>
      </c>
      <c r="B153" s="17" t="s">
        <v>31</v>
      </c>
      <c r="C153" s="17" t="s">
        <v>29</v>
      </c>
      <c r="D153" s="17" t="s">
        <v>30</v>
      </c>
      <c r="E153" s="17">
        <v>1859559</v>
      </c>
      <c r="F153" s="17" t="s">
        <v>16</v>
      </c>
      <c r="G153" s="20" t="s">
        <v>18</v>
      </c>
      <c r="H153" s="17"/>
      <c r="I153" s="17"/>
      <c r="J153" s="17"/>
      <c r="K153" s="17" t="str">
        <f>IF(AND(DailyCheck[[#This Row],[Required On-Site]]="Yes",DailyCheck[[#This Row],[Manager Review]]="Remote"),"Compliance Issue","")</f>
        <v/>
      </c>
    </row>
    <row r="154" spans="1:11" hidden="1">
      <c r="A154" s="16">
        <f>IF(B154="", "", DATE(2026, 9, COUNTIFS($B$2:$B154, B154)))</f>
        <v>46268</v>
      </c>
      <c r="B154" s="17" t="s">
        <v>31</v>
      </c>
      <c r="C154" s="17" t="s">
        <v>29</v>
      </c>
      <c r="D154" s="17" t="s">
        <v>30</v>
      </c>
      <c r="E154" s="17">
        <v>1859559</v>
      </c>
      <c r="F154" s="17" t="s">
        <v>16</v>
      </c>
      <c r="G154" s="17" t="s">
        <v>18</v>
      </c>
      <c r="H154" s="17"/>
      <c r="I154" s="17"/>
      <c r="J154" s="17"/>
      <c r="K154" s="17" t="str">
        <f>IF(AND(DailyCheck[[#This Row],[Required On-Site]]="Yes",DailyCheck[[#This Row],[Manager Review]]="Remote"),"Compliance Issue","")</f>
        <v/>
      </c>
    </row>
    <row r="155" spans="1:11" hidden="1">
      <c r="A155" s="16">
        <f>IF(B155="", "", DATE(2026, 9, COUNTIFS($B$2:$B155, B155)))</f>
        <v>46269</v>
      </c>
      <c r="B155" s="17" t="s">
        <v>31</v>
      </c>
      <c r="C155" s="17" t="s">
        <v>29</v>
      </c>
      <c r="D155" s="17" t="s">
        <v>30</v>
      </c>
      <c r="E155" s="17">
        <v>1859559</v>
      </c>
      <c r="F155" s="17" t="s">
        <v>14</v>
      </c>
      <c r="G155" s="17" t="s">
        <v>19</v>
      </c>
      <c r="H155" s="17"/>
      <c r="I155" s="17"/>
      <c r="J155" s="17"/>
      <c r="K155" s="17" t="str">
        <f>IF(AND(DailyCheck[[#This Row],[Required On-Site]]="Yes",DailyCheck[[#This Row],[Manager Review]]="Remote"),"Compliance Issue","")</f>
        <v/>
      </c>
    </row>
    <row r="156" spans="1:11" hidden="1">
      <c r="A156" s="16">
        <f>IF(B156="", "", DATE(2026, 9, COUNTIFS($B$2:$B156, B156)))</f>
        <v>46270</v>
      </c>
      <c r="B156" s="17" t="s">
        <v>31</v>
      </c>
      <c r="C156" s="17" t="s">
        <v>29</v>
      </c>
      <c r="D156" s="17" t="s">
        <v>30</v>
      </c>
      <c r="E156" s="17">
        <v>1859559</v>
      </c>
      <c r="F156" s="17" t="s">
        <v>14</v>
      </c>
      <c r="G156" s="17" t="s">
        <v>17</v>
      </c>
      <c r="H156" s="17"/>
      <c r="I156" s="17"/>
      <c r="J156" s="17"/>
      <c r="K156" s="17" t="str">
        <f>IF(AND(DailyCheck[[#This Row],[Required On-Site]]="Yes",DailyCheck[[#This Row],[Manager Review]]="Remote"),"Compliance Issue","")</f>
        <v/>
      </c>
    </row>
    <row r="157" spans="1:11" hidden="1">
      <c r="A157" s="16">
        <f>IF(B157="", "", DATE(2026, 9, COUNTIFS($B$2:$B157, B157)))</f>
        <v>46271</v>
      </c>
      <c r="B157" s="17" t="s">
        <v>31</v>
      </c>
      <c r="C157" s="17" t="s">
        <v>29</v>
      </c>
      <c r="D157" s="17" t="s">
        <v>30</v>
      </c>
      <c r="E157" s="17">
        <v>1859559</v>
      </c>
      <c r="F157" s="17" t="s">
        <v>14</v>
      </c>
      <c r="G157" s="17" t="s">
        <v>17</v>
      </c>
      <c r="H157" s="17"/>
      <c r="I157" s="17"/>
      <c r="J157" s="17"/>
      <c r="K157" s="17" t="str">
        <f>IF(AND(DailyCheck[[#This Row],[Required On-Site]]="Yes",DailyCheck[[#This Row],[Manager Review]]="Remote"),"Compliance Issue","")</f>
        <v/>
      </c>
    </row>
    <row r="158" spans="1:11" hidden="1">
      <c r="A158" s="16">
        <f>IF(B158="", "", DATE(2026, 9, COUNTIFS($B$2:$B158, B158)))</f>
        <v>46272</v>
      </c>
      <c r="B158" s="17" t="s">
        <v>31</v>
      </c>
      <c r="C158" s="17" t="s">
        <v>29</v>
      </c>
      <c r="D158" s="17" t="s">
        <v>30</v>
      </c>
      <c r="E158" s="17">
        <v>1859559</v>
      </c>
      <c r="F158" s="17" t="s">
        <v>16</v>
      </c>
      <c r="G158" s="17" t="s">
        <v>15</v>
      </c>
      <c r="H158" s="17" t="s">
        <v>16</v>
      </c>
      <c r="I158" s="17"/>
      <c r="J158" s="17"/>
      <c r="K158" s="17" t="str">
        <f>IF(AND(DailyCheck[[#This Row],[Required On-Site]]="Yes",DailyCheck[[#This Row],[Manager Review]]="Remote"),"Compliance Issue","")</f>
        <v/>
      </c>
    </row>
    <row r="159" spans="1:11" hidden="1">
      <c r="A159" s="16">
        <f>IF(B159="", "", DATE(2026, 9, COUNTIFS($B$2:$B159, B159)))</f>
        <v>46273</v>
      </c>
      <c r="B159" s="17" t="s">
        <v>31</v>
      </c>
      <c r="C159" s="17" t="s">
        <v>29</v>
      </c>
      <c r="D159" s="17" t="s">
        <v>30</v>
      </c>
      <c r="E159" s="17">
        <v>1859559</v>
      </c>
      <c r="F159" s="17" t="s">
        <v>14</v>
      </c>
      <c r="G159" s="20" t="s">
        <v>19</v>
      </c>
      <c r="H159" s="17"/>
      <c r="I159" s="17"/>
      <c r="J159" s="17"/>
      <c r="K159" s="17" t="str">
        <f>IF(AND(DailyCheck[[#This Row],[Required On-Site]]="Yes",DailyCheck[[#This Row],[Manager Review]]="Remote"),"Compliance Issue","")</f>
        <v/>
      </c>
    </row>
    <row r="160" spans="1:11" hidden="1">
      <c r="A160" s="16">
        <f>IF(B160="", "", DATE(2026, 9, COUNTIFS($B$2:$B160, B160)))</f>
        <v>46274</v>
      </c>
      <c r="B160" s="17" t="s">
        <v>31</v>
      </c>
      <c r="C160" s="17" t="s">
        <v>29</v>
      </c>
      <c r="D160" s="17" t="s">
        <v>30</v>
      </c>
      <c r="E160" s="17">
        <v>1859559</v>
      </c>
      <c r="F160" s="17" t="s">
        <v>16</v>
      </c>
      <c r="G160" s="20" t="s">
        <v>18</v>
      </c>
      <c r="H160" s="17"/>
      <c r="I160" s="17"/>
      <c r="J160" s="17"/>
      <c r="K160" s="17" t="str">
        <f>IF(AND(DailyCheck[[#This Row],[Required On-Site]]="Yes",DailyCheck[[#This Row],[Manager Review]]="Remote"),"Compliance Issue","")</f>
        <v/>
      </c>
    </row>
    <row r="161" spans="1:11" hidden="1">
      <c r="A161" s="16">
        <f>IF(B161="", "", DATE(2026, 9, COUNTIFS($B$2:$B161, B161)))</f>
        <v>46275</v>
      </c>
      <c r="B161" s="17" t="s">
        <v>31</v>
      </c>
      <c r="C161" s="17" t="s">
        <v>29</v>
      </c>
      <c r="D161" s="17" t="s">
        <v>30</v>
      </c>
      <c r="E161" s="17">
        <v>1859559</v>
      </c>
      <c r="F161" s="17" t="s">
        <v>16</v>
      </c>
      <c r="G161" s="17" t="s">
        <v>15</v>
      </c>
      <c r="H161" s="17" t="s">
        <v>16</v>
      </c>
      <c r="I161" s="17"/>
      <c r="J161" s="17"/>
      <c r="K161" s="17" t="str">
        <f>IF(AND(DailyCheck[[#This Row],[Required On-Site]]="Yes",DailyCheck[[#This Row],[Manager Review]]="Remote"),"Compliance Issue","")</f>
        <v/>
      </c>
    </row>
    <row r="162" spans="1:11" hidden="1">
      <c r="A162" s="16">
        <f>IF(B162="", "", DATE(2026, 9, COUNTIFS($B$2:$B162, B162)))</f>
        <v>46276</v>
      </c>
      <c r="B162" s="17" t="s">
        <v>31</v>
      </c>
      <c r="C162" s="17" t="s">
        <v>29</v>
      </c>
      <c r="D162" s="17" t="s">
        <v>30</v>
      </c>
      <c r="E162" s="17">
        <v>1859559</v>
      </c>
      <c r="F162" s="17" t="s">
        <v>14</v>
      </c>
      <c r="G162" s="17" t="s">
        <v>19</v>
      </c>
      <c r="H162" s="17"/>
      <c r="I162" s="17"/>
      <c r="J162" s="17"/>
      <c r="K162" s="17" t="str">
        <f>IF(AND(DailyCheck[[#This Row],[Required On-Site]]="Yes",DailyCheck[[#This Row],[Manager Review]]="Remote"),"Compliance Issue","")</f>
        <v/>
      </c>
    </row>
    <row r="163" spans="1:11" hidden="1">
      <c r="A163" s="16">
        <f>IF(B163="", "", DATE(2026, 9, COUNTIFS($B$2:$B163, B163)))</f>
        <v>46277</v>
      </c>
      <c r="B163" s="17" t="s">
        <v>31</v>
      </c>
      <c r="C163" s="17" t="s">
        <v>29</v>
      </c>
      <c r="D163" s="17" t="s">
        <v>30</v>
      </c>
      <c r="E163" s="17">
        <v>1859559</v>
      </c>
      <c r="F163" s="17" t="s">
        <v>14</v>
      </c>
      <c r="G163" s="17" t="s">
        <v>17</v>
      </c>
      <c r="H163" s="17"/>
      <c r="I163" s="17"/>
      <c r="J163" s="17"/>
      <c r="K163" s="17" t="str">
        <f>IF(AND(DailyCheck[[#This Row],[Required On-Site]]="Yes",DailyCheck[[#This Row],[Manager Review]]="Remote"),"Compliance Issue","")</f>
        <v/>
      </c>
    </row>
    <row r="164" spans="1:11" hidden="1">
      <c r="A164" s="16">
        <f>IF(B164="", "", DATE(2026, 9, COUNTIFS($B$2:$B164, B164)))</f>
        <v>46278</v>
      </c>
      <c r="B164" s="17" t="s">
        <v>31</v>
      </c>
      <c r="C164" s="17" t="s">
        <v>29</v>
      </c>
      <c r="D164" s="17" t="s">
        <v>30</v>
      </c>
      <c r="E164" s="17">
        <v>1859559</v>
      </c>
      <c r="F164" s="17" t="s">
        <v>14</v>
      </c>
      <c r="G164" s="17" t="s">
        <v>17</v>
      </c>
      <c r="H164" s="17"/>
      <c r="I164" s="17"/>
      <c r="J164" s="17"/>
      <c r="K164" s="17" t="str">
        <f>IF(AND(DailyCheck[[#This Row],[Required On-Site]]="Yes",DailyCheck[[#This Row],[Manager Review]]="Remote"),"Compliance Issue","")</f>
        <v/>
      </c>
    </row>
    <row r="165" spans="1:11" hidden="1">
      <c r="A165" s="16">
        <f>IF(B165="", "", DATE(2026, 9, COUNTIFS($B$2:$B165, B165)))</f>
        <v>46279</v>
      </c>
      <c r="B165" s="17" t="s">
        <v>31</v>
      </c>
      <c r="C165" s="17" t="s">
        <v>29</v>
      </c>
      <c r="D165" s="17" t="s">
        <v>30</v>
      </c>
      <c r="E165" s="17">
        <v>1859559</v>
      </c>
      <c r="F165" s="17" t="s">
        <v>16</v>
      </c>
      <c r="G165" s="17" t="s">
        <v>18</v>
      </c>
      <c r="H165" s="17"/>
      <c r="I165" s="17"/>
      <c r="J165" s="17"/>
      <c r="K165" s="17" t="str">
        <f>IF(AND(DailyCheck[[#This Row],[Required On-Site]]="Yes",DailyCheck[[#This Row],[Manager Review]]="Remote"),"Compliance Issue","")</f>
        <v/>
      </c>
    </row>
    <row r="166" spans="1:11" hidden="1">
      <c r="A166" s="16">
        <f>IF(B166="", "", DATE(2026, 9, COUNTIFS($B$2:$B166, B166)))</f>
        <v>46280</v>
      </c>
      <c r="B166" s="17" t="s">
        <v>31</v>
      </c>
      <c r="C166" s="17" t="s">
        <v>29</v>
      </c>
      <c r="D166" s="17" t="s">
        <v>30</v>
      </c>
      <c r="E166" s="17">
        <v>1859559</v>
      </c>
      <c r="F166" s="17" t="s">
        <v>14</v>
      </c>
      <c r="G166" s="20" t="s">
        <v>19</v>
      </c>
      <c r="H166" s="17"/>
      <c r="I166" s="17"/>
      <c r="J166" s="17"/>
      <c r="K166" s="17" t="str">
        <f>IF(AND(DailyCheck[[#This Row],[Required On-Site]]="Yes",DailyCheck[[#This Row],[Manager Review]]="Remote"),"Compliance Issue","")</f>
        <v/>
      </c>
    </row>
    <row r="167" spans="1:11" hidden="1">
      <c r="A167" s="16">
        <f>IF(B167="", "", DATE(2026, 9, COUNTIFS($B$2:$B167, B167)))</f>
        <v>46281</v>
      </c>
      <c r="B167" s="17" t="s">
        <v>31</v>
      </c>
      <c r="C167" s="17" t="s">
        <v>29</v>
      </c>
      <c r="D167" s="17" t="s">
        <v>30</v>
      </c>
      <c r="E167" s="17">
        <v>1859559</v>
      </c>
      <c r="F167" s="17" t="s">
        <v>16</v>
      </c>
      <c r="G167" s="20" t="s">
        <v>18</v>
      </c>
      <c r="H167" s="17"/>
      <c r="I167" s="17"/>
      <c r="J167" s="17"/>
      <c r="K167" s="17" t="str">
        <f>IF(AND(DailyCheck[[#This Row],[Required On-Site]]="Yes",DailyCheck[[#This Row],[Manager Review]]="Remote"),"Compliance Issue","")</f>
        <v/>
      </c>
    </row>
    <row r="168" spans="1:11" hidden="1">
      <c r="A168" s="16">
        <f>IF(B168="", "", DATE(2026, 9, COUNTIFS($B$2:$B168, B168)))</f>
        <v>46282</v>
      </c>
      <c r="B168" s="17" t="s">
        <v>31</v>
      </c>
      <c r="C168" s="17" t="s">
        <v>29</v>
      </c>
      <c r="D168" s="17" t="s">
        <v>30</v>
      </c>
      <c r="E168" s="17">
        <v>1859559</v>
      </c>
      <c r="F168" s="17" t="s">
        <v>16</v>
      </c>
      <c r="G168" s="17" t="s">
        <v>19</v>
      </c>
      <c r="H168" s="17"/>
      <c r="I168" s="17"/>
      <c r="J168" s="17"/>
      <c r="K168" s="17" t="str">
        <f>IF(AND(DailyCheck[[#This Row],[Required On-Site]]="Yes",DailyCheck[[#This Row],[Manager Review]]="Remote"),"Compliance Issue","")</f>
        <v>Compliance Issue</v>
      </c>
    </row>
    <row r="169" spans="1:11" hidden="1">
      <c r="A169" s="16">
        <f>IF(B169="", "", DATE(2026, 9, COUNTIFS($B$2:$B169, B169)))</f>
        <v>46283</v>
      </c>
      <c r="B169" s="17" t="s">
        <v>31</v>
      </c>
      <c r="C169" s="17" t="s">
        <v>29</v>
      </c>
      <c r="D169" s="17" t="s">
        <v>30</v>
      </c>
      <c r="E169" s="17">
        <v>1859559</v>
      </c>
      <c r="F169" s="17" t="s">
        <v>14</v>
      </c>
      <c r="G169" s="17" t="s">
        <v>19</v>
      </c>
      <c r="H169" s="17"/>
      <c r="I169" s="17"/>
      <c r="J169" s="17"/>
      <c r="K169" s="17" t="str">
        <f>IF(AND(DailyCheck[[#This Row],[Required On-Site]]="Yes",DailyCheck[[#This Row],[Manager Review]]="Remote"),"Compliance Issue","")</f>
        <v/>
      </c>
    </row>
    <row r="170" spans="1:11" hidden="1">
      <c r="A170" s="16">
        <f>IF(B170="", "", DATE(2026, 9, COUNTIFS($B$2:$B170, B170)))</f>
        <v>46284</v>
      </c>
      <c r="B170" s="17" t="s">
        <v>31</v>
      </c>
      <c r="C170" s="17" t="s">
        <v>29</v>
      </c>
      <c r="D170" s="17" t="s">
        <v>30</v>
      </c>
      <c r="E170" s="17">
        <v>1859559</v>
      </c>
      <c r="F170" s="17" t="s">
        <v>14</v>
      </c>
      <c r="G170" s="17" t="s">
        <v>17</v>
      </c>
      <c r="H170" s="17"/>
      <c r="I170" s="17"/>
      <c r="J170" s="17"/>
      <c r="K170" s="17" t="str">
        <f>IF(AND(DailyCheck[[#This Row],[Required On-Site]]="Yes",DailyCheck[[#This Row],[Manager Review]]="Remote"),"Compliance Issue","")</f>
        <v/>
      </c>
    </row>
    <row r="171" spans="1:11" hidden="1">
      <c r="A171" s="16">
        <f>IF(B171="", "", DATE(2026, 9, COUNTIFS($B$2:$B171, B171)))</f>
        <v>46285</v>
      </c>
      <c r="B171" s="17" t="s">
        <v>31</v>
      </c>
      <c r="C171" s="17" t="s">
        <v>29</v>
      </c>
      <c r="D171" s="17" t="s">
        <v>30</v>
      </c>
      <c r="E171" s="17">
        <v>1859559</v>
      </c>
      <c r="F171" s="17" t="s">
        <v>14</v>
      </c>
      <c r="G171" s="17" t="s">
        <v>17</v>
      </c>
      <c r="H171" s="17"/>
      <c r="I171" s="17"/>
      <c r="J171" s="17"/>
      <c r="K171" s="17" t="str">
        <f>IF(AND(DailyCheck[[#This Row],[Required On-Site]]="Yes",DailyCheck[[#This Row],[Manager Review]]="Remote"),"Compliance Issue","")</f>
        <v/>
      </c>
    </row>
    <row r="172" spans="1:11" hidden="1">
      <c r="A172" s="16">
        <f>IF(B172="", "", DATE(2026, 9, COUNTIFS($B$2:$B172, B172)))</f>
        <v>46286</v>
      </c>
      <c r="B172" s="17" t="s">
        <v>31</v>
      </c>
      <c r="C172" s="17" t="s">
        <v>29</v>
      </c>
      <c r="D172" s="17" t="s">
        <v>30</v>
      </c>
      <c r="E172" s="17">
        <v>1859559</v>
      </c>
      <c r="F172" s="17" t="s">
        <v>14</v>
      </c>
      <c r="G172" s="17" t="s">
        <v>19</v>
      </c>
      <c r="H172" s="17"/>
      <c r="I172" s="17"/>
      <c r="J172" s="17"/>
      <c r="K172" s="17" t="str">
        <f>IF(AND(DailyCheck[[#This Row],[Required On-Site]]="Yes",DailyCheck[[#This Row],[Manager Review]]="Remote"),"Compliance Issue","")</f>
        <v/>
      </c>
    </row>
    <row r="173" spans="1:11" hidden="1">
      <c r="A173" s="16">
        <f>IF(B173="", "", DATE(2026, 9, COUNTIFS($B$2:$B173, B173)))</f>
        <v>46287</v>
      </c>
      <c r="B173" s="17" t="s">
        <v>31</v>
      </c>
      <c r="C173" s="17" t="s">
        <v>29</v>
      </c>
      <c r="D173" s="17" t="s">
        <v>30</v>
      </c>
      <c r="E173" s="17">
        <v>1859559</v>
      </c>
      <c r="F173" s="17" t="s">
        <v>16</v>
      </c>
      <c r="G173" s="20" t="s">
        <v>18</v>
      </c>
      <c r="H173" s="17"/>
      <c r="I173" s="17"/>
      <c r="J173" s="17"/>
      <c r="K173" s="17" t="str">
        <f>IF(AND(DailyCheck[[#This Row],[Required On-Site]]="Yes",DailyCheck[[#This Row],[Manager Review]]="Remote"),"Compliance Issue","")</f>
        <v/>
      </c>
    </row>
    <row r="174" spans="1:11" hidden="1">
      <c r="A174" s="16">
        <f>IF(B174="", "", DATE(2026, 9, COUNTIFS($B$2:$B174, B174)))</f>
        <v>46288</v>
      </c>
      <c r="B174" s="17" t="s">
        <v>31</v>
      </c>
      <c r="C174" s="17" t="s">
        <v>29</v>
      </c>
      <c r="D174" s="17" t="s">
        <v>30</v>
      </c>
      <c r="E174" s="17">
        <v>1859559</v>
      </c>
      <c r="F174" s="17" t="s">
        <v>16</v>
      </c>
      <c r="G174" s="20" t="s">
        <v>18</v>
      </c>
      <c r="H174" s="17"/>
      <c r="I174" s="17"/>
      <c r="J174" s="17"/>
      <c r="K174" s="17" t="str">
        <f>IF(AND(DailyCheck[[#This Row],[Required On-Site]]="Yes",DailyCheck[[#This Row],[Manager Review]]="Remote"),"Compliance Issue","")</f>
        <v/>
      </c>
    </row>
    <row r="175" spans="1:11" hidden="1">
      <c r="A175" s="16">
        <f>IF(B175="", "", DATE(2026, 9, COUNTIFS($B$2:$B175, B175)))</f>
        <v>46289</v>
      </c>
      <c r="B175" s="17" t="s">
        <v>31</v>
      </c>
      <c r="C175" s="17" t="s">
        <v>29</v>
      </c>
      <c r="D175" s="17" t="s">
        <v>30</v>
      </c>
      <c r="E175" s="17">
        <v>1859559</v>
      </c>
      <c r="F175" s="17" t="s">
        <v>16</v>
      </c>
      <c r="G175" s="17" t="s">
        <v>18</v>
      </c>
      <c r="H175" s="17"/>
      <c r="I175" s="17"/>
      <c r="J175" s="17"/>
      <c r="K175" s="17" t="str">
        <f>IF(AND(DailyCheck[[#This Row],[Required On-Site]]="Yes",DailyCheck[[#This Row],[Manager Review]]="Remote"),"Compliance Issue","")</f>
        <v/>
      </c>
    </row>
    <row r="176" spans="1:11" hidden="1">
      <c r="A176" s="16">
        <f>IF(B176="", "", DATE(2026, 9, COUNTIFS($B$2:$B176, B176)))</f>
        <v>46290</v>
      </c>
      <c r="B176" s="17" t="s">
        <v>31</v>
      </c>
      <c r="C176" s="17" t="s">
        <v>29</v>
      </c>
      <c r="D176" s="17" t="s">
        <v>30</v>
      </c>
      <c r="E176" s="17">
        <v>1859559</v>
      </c>
      <c r="F176" s="17" t="s">
        <v>14</v>
      </c>
      <c r="G176" s="17" t="s">
        <v>19</v>
      </c>
      <c r="H176" s="17"/>
      <c r="I176" s="17"/>
      <c r="J176" s="17"/>
      <c r="K176" s="17" t="str">
        <f>IF(AND(DailyCheck[[#This Row],[Required On-Site]]="Yes",DailyCheck[[#This Row],[Manager Review]]="Remote"),"Compliance Issue","")</f>
        <v/>
      </c>
    </row>
    <row r="177" spans="1:11" hidden="1">
      <c r="A177" s="16">
        <f>IF(B177="", "", DATE(2026, 9, COUNTIFS($B$2:$B177, B177)))</f>
        <v>46291</v>
      </c>
      <c r="B177" s="17" t="s">
        <v>31</v>
      </c>
      <c r="C177" s="17" t="s">
        <v>29</v>
      </c>
      <c r="D177" s="17" t="s">
        <v>30</v>
      </c>
      <c r="E177" s="17">
        <v>1859559</v>
      </c>
      <c r="F177" s="17" t="s">
        <v>14</v>
      </c>
      <c r="G177" s="17" t="s">
        <v>17</v>
      </c>
      <c r="H177" s="17"/>
      <c r="I177" s="17"/>
      <c r="J177" s="17"/>
      <c r="K177" s="17" t="str">
        <f>IF(AND(DailyCheck[[#This Row],[Required On-Site]]="Yes",DailyCheck[[#This Row],[Manager Review]]="Remote"),"Compliance Issue","")</f>
        <v/>
      </c>
    </row>
    <row r="178" spans="1:11" hidden="1">
      <c r="A178" s="16">
        <f>IF(B178="", "", DATE(2026, 9, COUNTIFS($B$2:$B178, B178)))</f>
        <v>46292</v>
      </c>
      <c r="B178" s="17" t="s">
        <v>31</v>
      </c>
      <c r="C178" s="17" t="s">
        <v>29</v>
      </c>
      <c r="D178" s="17" t="s">
        <v>30</v>
      </c>
      <c r="E178" s="17">
        <v>1859559</v>
      </c>
      <c r="F178" s="17" t="s">
        <v>14</v>
      </c>
      <c r="G178" s="17" t="s">
        <v>17</v>
      </c>
      <c r="H178" s="17"/>
      <c r="I178" s="17"/>
      <c r="J178" s="17"/>
      <c r="K178" s="17" t="str">
        <f>IF(AND(DailyCheck[[#This Row],[Required On-Site]]="Yes",DailyCheck[[#This Row],[Manager Review]]="Remote"),"Compliance Issue","")</f>
        <v/>
      </c>
    </row>
    <row r="179" spans="1:11" hidden="1">
      <c r="A179" s="16">
        <f>IF(B179="", "", DATE(2026, 9, COUNTIFS($B$2:$B179, B179)))</f>
        <v>46293</v>
      </c>
      <c r="B179" s="17" t="s">
        <v>31</v>
      </c>
      <c r="C179" s="17" t="s">
        <v>29</v>
      </c>
      <c r="D179" s="17" t="s">
        <v>30</v>
      </c>
      <c r="E179" s="17">
        <v>1859559</v>
      </c>
      <c r="F179" s="17" t="s">
        <v>16</v>
      </c>
      <c r="G179" s="17" t="s">
        <v>19</v>
      </c>
      <c r="H179" s="17" t="s">
        <v>16</v>
      </c>
      <c r="I179" s="17"/>
      <c r="J179" s="17"/>
      <c r="K179" s="17" t="str">
        <f>IF(AND(DailyCheck[[#This Row],[Required On-Site]]="Yes",DailyCheck[[#This Row],[Manager Review]]="Remote"),"Compliance Issue","")</f>
        <v>Compliance Issue</v>
      </c>
    </row>
    <row r="180" spans="1:11" hidden="1">
      <c r="A180" s="16">
        <f>IF(B180="", "", DATE(2026, 9, COUNTIFS($B$2:$B180, B180)))</f>
        <v>46294</v>
      </c>
      <c r="B180" s="17" t="s">
        <v>31</v>
      </c>
      <c r="C180" s="17" t="s">
        <v>29</v>
      </c>
      <c r="D180" s="17" t="s">
        <v>30</v>
      </c>
      <c r="E180" s="17">
        <v>1859559</v>
      </c>
      <c r="F180" s="17" t="s">
        <v>14</v>
      </c>
      <c r="G180" s="20" t="s">
        <v>19</v>
      </c>
      <c r="H180" s="17"/>
      <c r="I180" s="17"/>
      <c r="J180" s="17"/>
      <c r="K180" s="17" t="str">
        <f>IF(AND(DailyCheck[[#This Row],[Required On-Site]]="Yes",DailyCheck[[#This Row],[Manager Review]]="Remote"),"Compliance Issue","")</f>
        <v/>
      </c>
    </row>
    <row r="181" spans="1:11" hidden="1">
      <c r="A181" s="16">
        <f>IF(B181="", "", DATE(2026, 9, COUNTIFS($B$2:$B181, B181)))</f>
        <v>46295</v>
      </c>
      <c r="B181" s="17" t="s">
        <v>31</v>
      </c>
      <c r="C181" s="17" t="s">
        <v>29</v>
      </c>
      <c r="D181" s="17" t="s">
        <v>30</v>
      </c>
      <c r="E181" s="17">
        <v>1859559</v>
      </c>
      <c r="F181" s="17" t="s">
        <v>16</v>
      </c>
      <c r="G181" s="20" t="s">
        <v>18</v>
      </c>
      <c r="H181" s="17"/>
      <c r="I181" s="17"/>
      <c r="J181" s="17"/>
      <c r="K181" s="17" t="str">
        <f>IF(AND(DailyCheck[[#This Row],[Required On-Site]]="Yes",DailyCheck[[#This Row],[Manager Review]]="Remote"),"Compliance Issue","")</f>
        <v/>
      </c>
    </row>
    <row r="182" spans="1:11" hidden="1">
      <c r="A182" s="16">
        <f>IF(B182="", "", DATE(2026, 9, COUNTIFS($B$2:$B182, B182)))</f>
        <v>46266</v>
      </c>
      <c r="B182" s="17" t="s">
        <v>32</v>
      </c>
      <c r="C182" s="17" t="s">
        <v>29</v>
      </c>
      <c r="D182" s="17" t="s">
        <v>30</v>
      </c>
      <c r="E182" s="17">
        <v>30120618</v>
      </c>
      <c r="F182" s="17" t="s">
        <v>16</v>
      </c>
      <c r="G182" s="20" t="s">
        <v>18</v>
      </c>
      <c r="H182" s="17"/>
      <c r="I182" s="17"/>
      <c r="J182" s="17"/>
      <c r="K182" s="17" t="str">
        <f>IF(AND(DailyCheck[[#This Row],[Required On-Site]]="Yes",DailyCheck[[#This Row],[Manager Review]]="Remote"),"Compliance Issue","")</f>
        <v/>
      </c>
    </row>
    <row r="183" spans="1:11" hidden="1">
      <c r="A183" s="16">
        <f>IF(B183="", "", DATE(2026, 9, COUNTIFS($B$2:$B183, B183)))</f>
        <v>46267</v>
      </c>
      <c r="B183" s="17" t="s">
        <v>32</v>
      </c>
      <c r="C183" s="17" t="s">
        <v>29</v>
      </c>
      <c r="D183" s="17" t="s">
        <v>30</v>
      </c>
      <c r="E183" s="17">
        <v>30120618</v>
      </c>
      <c r="F183" s="17" t="s">
        <v>16</v>
      </c>
      <c r="G183" s="20" t="s">
        <v>18</v>
      </c>
      <c r="H183" s="17"/>
      <c r="I183" s="17"/>
      <c r="J183" s="17"/>
      <c r="K183" s="17" t="str">
        <f>IF(AND(DailyCheck[[#This Row],[Required On-Site]]="Yes",DailyCheck[[#This Row],[Manager Review]]="Remote"),"Compliance Issue","")</f>
        <v/>
      </c>
    </row>
    <row r="184" spans="1:11" hidden="1">
      <c r="A184" s="16">
        <f>IF(B184="", "", DATE(2026, 9, COUNTIFS($B$2:$B184, B184)))</f>
        <v>46268</v>
      </c>
      <c r="B184" s="17" t="s">
        <v>32</v>
      </c>
      <c r="C184" s="17" t="s">
        <v>29</v>
      </c>
      <c r="D184" s="17" t="s">
        <v>30</v>
      </c>
      <c r="E184" s="17">
        <v>30120618</v>
      </c>
      <c r="F184" s="17" t="s">
        <v>14</v>
      </c>
      <c r="G184" s="17" t="s">
        <v>19</v>
      </c>
      <c r="H184" s="17"/>
      <c r="I184" s="17"/>
      <c r="J184" s="17"/>
      <c r="K184" s="17" t="str">
        <f>IF(AND(DailyCheck[[#This Row],[Required On-Site]]="Yes",DailyCheck[[#This Row],[Manager Review]]="Remote"),"Compliance Issue","")</f>
        <v/>
      </c>
    </row>
    <row r="185" spans="1:11" hidden="1">
      <c r="A185" s="16">
        <f>IF(B185="", "", DATE(2026, 9, COUNTIFS($B$2:$B185, B185)))</f>
        <v>46269</v>
      </c>
      <c r="B185" s="17" t="s">
        <v>32</v>
      </c>
      <c r="C185" s="17" t="s">
        <v>29</v>
      </c>
      <c r="D185" s="17" t="s">
        <v>30</v>
      </c>
      <c r="E185" s="17">
        <v>30120618</v>
      </c>
      <c r="F185" s="17" t="s">
        <v>14</v>
      </c>
      <c r="G185" s="17" t="s">
        <v>19</v>
      </c>
      <c r="H185" s="17"/>
      <c r="I185" s="17"/>
      <c r="J185" s="17"/>
      <c r="K185" s="17" t="str">
        <f>IF(AND(DailyCheck[[#This Row],[Required On-Site]]="Yes",DailyCheck[[#This Row],[Manager Review]]="Remote"),"Compliance Issue","")</f>
        <v/>
      </c>
    </row>
    <row r="186" spans="1:11" hidden="1">
      <c r="A186" s="16">
        <f>IF(B186="", "", DATE(2026, 9, COUNTIFS($B$2:$B186, B186)))</f>
        <v>46270</v>
      </c>
      <c r="B186" s="17" t="s">
        <v>32</v>
      </c>
      <c r="C186" s="17" t="s">
        <v>29</v>
      </c>
      <c r="D186" s="17" t="s">
        <v>30</v>
      </c>
      <c r="E186" s="17">
        <v>30120618</v>
      </c>
      <c r="F186" s="17" t="s">
        <v>14</v>
      </c>
      <c r="G186" s="17" t="s">
        <v>17</v>
      </c>
      <c r="H186" s="17"/>
      <c r="I186" s="17"/>
      <c r="J186" s="17"/>
      <c r="K186" s="17" t="str">
        <f>IF(AND(DailyCheck[[#This Row],[Required On-Site]]="Yes",DailyCheck[[#This Row],[Manager Review]]="Remote"),"Compliance Issue","")</f>
        <v/>
      </c>
    </row>
    <row r="187" spans="1:11" hidden="1">
      <c r="A187" s="16">
        <f>IF(B187="", "", DATE(2026, 9, COUNTIFS($B$2:$B187, B187)))</f>
        <v>46271</v>
      </c>
      <c r="B187" s="17" t="s">
        <v>32</v>
      </c>
      <c r="C187" s="17" t="s">
        <v>29</v>
      </c>
      <c r="D187" s="17" t="s">
        <v>30</v>
      </c>
      <c r="E187" s="17">
        <v>30120618</v>
      </c>
      <c r="F187" s="17" t="s">
        <v>14</v>
      </c>
      <c r="G187" s="17" t="s">
        <v>17</v>
      </c>
      <c r="H187" s="17"/>
      <c r="I187" s="17"/>
      <c r="J187" s="17"/>
      <c r="K187" s="17" t="str">
        <f>IF(AND(DailyCheck[[#This Row],[Required On-Site]]="Yes",DailyCheck[[#This Row],[Manager Review]]="Remote"),"Compliance Issue","")</f>
        <v/>
      </c>
    </row>
    <row r="188" spans="1:11" hidden="1">
      <c r="A188" s="16">
        <f>IF(B188="", "", DATE(2026, 9, COUNTIFS($B$2:$B188, B188)))</f>
        <v>46272</v>
      </c>
      <c r="B188" s="17" t="s">
        <v>32</v>
      </c>
      <c r="C188" s="17" t="s">
        <v>29</v>
      </c>
      <c r="D188" s="17" t="s">
        <v>30</v>
      </c>
      <c r="E188" s="17">
        <v>30120618</v>
      </c>
      <c r="F188" s="17" t="s">
        <v>16</v>
      </c>
      <c r="G188" s="17" t="s">
        <v>18</v>
      </c>
      <c r="H188" s="17"/>
      <c r="I188" s="17"/>
      <c r="J188" s="17"/>
      <c r="K188" s="17" t="str">
        <f>IF(AND(DailyCheck[[#This Row],[Required On-Site]]="Yes",DailyCheck[[#This Row],[Manager Review]]="Remote"),"Compliance Issue","")</f>
        <v/>
      </c>
    </row>
    <row r="189" spans="1:11" hidden="1">
      <c r="A189" s="16">
        <f>IF(B189="", "", DATE(2026, 9, COUNTIFS($B$2:$B189, B189)))</f>
        <v>46273</v>
      </c>
      <c r="B189" s="17" t="s">
        <v>32</v>
      </c>
      <c r="C189" s="17" t="s">
        <v>29</v>
      </c>
      <c r="D189" s="17" t="s">
        <v>30</v>
      </c>
      <c r="E189" s="17">
        <v>30120618</v>
      </c>
      <c r="F189" s="17" t="s">
        <v>16</v>
      </c>
      <c r="G189" s="20" t="s">
        <v>18</v>
      </c>
      <c r="H189" s="17"/>
      <c r="I189" s="17"/>
      <c r="J189" s="17"/>
      <c r="K189" s="17" t="str">
        <f>IF(AND(DailyCheck[[#This Row],[Required On-Site]]="Yes",DailyCheck[[#This Row],[Manager Review]]="Remote"),"Compliance Issue","")</f>
        <v/>
      </c>
    </row>
    <row r="190" spans="1:11" hidden="1">
      <c r="A190" s="16">
        <f>IF(B190="", "", DATE(2026, 9, COUNTIFS($B$2:$B190, B190)))</f>
        <v>46274</v>
      </c>
      <c r="B190" s="17" t="s">
        <v>32</v>
      </c>
      <c r="C190" s="17" t="s">
        <v>29</v>
      </c>
      <c r="D190" s="17" t="s">
        <v>30</v>
      </c>
      <c r="E190" s="17">
        <v>30120618</v>
      </c>
      <c r="F190" s="17" t="s">
        <v>16</v>
      </c>
      <c r="G190" s="20" t="s">
        <v>19</v>
      </c>
      <c r="H190" s="17" t="s">
        <v>16</v>
      </c>
      <c r="I190" s="17"/>
      <c r="J190" s="17"/>
      <c r="K190" s="17" t="str">
        <f>IF(AND(DailyCheck[[#This Row],[Required On-Site]]="Yes",DailyCheck[[#This Row],[Manager Review]]="Remote"),"Compliance Issue","")</f>
        <v>Compliance Issue</v>
      </c>
    </row>
    <row r="191" spans="1:11" hidden="1">
      <c r="A191" s="16">
        <f>IF(B191="", "", DATE(2026, 9, COUNTIFS($B$2:$B191, B191)))</f>
        <v>46275</v>
      </c>
      <c r="B191" s="17" t="s">
        <v>32</v>
      </c>
      <c r="C191" s="17" t="s">
        <v>29</v>
      </c>
      <c r="D191" s="17" t="s">
        <v>30</v>
      </c>
      <c r="E191" s="17">
        <v>30120618</v>
      </c>
      <c r="F191" s="17" t="s">
        <v>14</v>
      </c>
      <c r="G191" s="17" t="s">
        <v>19</v>
      </c>
      <c r="H191" s="17"/>
      <c r="I191" s="17"/>
      <c r="J191" s="17"/>
      <c r="K191" s="17" t="str">
        <f>IF(AND(DailyCheck[[#This Row],[Required On-Site]]="Yes",DailyCheck[[#This Row],[Manager Review]]="Remote"),"Compliance Issue","")</f>
        <v/>
      </c>
    </row>
    <row r="192" spans="1:11" hidden="1">
      <c r="A192" s="16">
        <f>IF(B192="", "", DATE(2026, 9, COUNTIFS($B$2:$B192, B192)))</f>
        <v>46276</v>
      </c>
      <c r="B192" s="17" t="s">
        <v>32</v>
      </c>
      <c r="C192" s="17" t="s">
        <v>29</v>
      </c>
      <c r="D192" s="17" t="s">
        <v>30</v>
      </c>
      <c r="E192" s="17">
        <v>30120618</v>
      </c>
      <c r="F192" s="17" t="s">
        <v>14</v>
      </c>
      <c r="G192" s="17" t="s">
        <v>19</v>
      </c>
      <c r="H192" s="17"/>
      <c r="I192" s="17"/>
      <c r="J192" s="17"/>
      <c r="K192" s="17" t="str">
        <f>IF(AND(DailyCheck[[#This Row],[Required On-Site]]="Yes",DailyCheck[[#This Row],[Manager Review]]="Remote"),"Compliance Issue","")</f>
        <v/>
      </c>
    </row>
    <row r="193" spans="1:11" hidden="1">
      <c r="A193" s="16">
        <f>IF(B193="", "", DATE(2026, 9, COUNTIFS($B$2:$B193, B193)))</f>
        <v>46277</v>
      </c>
      <c r="B193" s="17" t="s">
        <v>32</v>
      </c>
      <c r="C193" s="17" t="s">
        <v>29</v>
      </c>
      <c r="D193" s="17" t="s">
        <v>30</v>
      </c>
      <c r="E193" s="17">
        <v>30120618</v>
      </c>
      <c r="F193" s="17" t="s">
        <v>14</v>
      </c>
      <c r="G193" s="17" t="s">
        <v>17</v>
      </c>
      <c r="H193" s="17"/>
      <c r="I193" s="17"/>
      <c r="J193" s="17"/>
      <c r="K193" s="17" t="str">
        <f>IF(AND(DailyCheck[[#This Row],[Required On-Site]]="Yes",DailyCheck[[#This Row],[Manager Review]]="Remote"),"Compliance Issue","")</f>
        <v/>
      </c>
    </row>
    <row r="194" spans="1:11" hidden="1">
      <c r="A194" s="16">
        <f>IF(B194="", "", DATE(2026, 9, COUNTIFS($B$2:$B194, B194)))</f>
        <v>46278</v>
      </c>
      <c r="B194" s="17" t="s">
        <v>32</v>
      </c>
      <c r="C194" s="17" t="s">
        <v>29</v>
      </c>
      <c r="D194" s="17" t="s">
        <v>30</v>
      </c>
      <c r="E194" s="17">
        <v>30120618</v>
      </c>
      <c r="F194" s="17" t="s">
        <v>14</v>
      </c>
      <c r="G194" s="17" t="s">
        <v>17</v>
      </c>
      <c r="H194" s="17"/>
      <c r="I194" s="17"/>
      <c r="J194" s="17"/>
      <c r="K194" s="17" t="str">
        <f>IF(AND(DailyCheck[[#This Row],[Required On-Site]]="Yes",DailyCheck[[#This Row],[Manager Review]]="Remote"),"Compliance Issue","")</f>
        <v/>
      </c>
    </row>
    <row r="195" spans="1:11" hidden="1">
      <c r="A195" s="16">
        <f>IF(B195="", "", DATE(2026, 9, COUNTIFS($B$2:$B195, B195)))</f>
        <v>46279</v>
      </c>
      <c r="B195" s="17" t="s">
        <v>32</v>
      </c>
      <c r="C195" s="17" t="s">
        <v>29</v>
      </c>
      <c r="D195" s="17" t="s">
        <v>30</v>
      </c>
      <c r="E195" s="17">
        <v>30120618</v>
      </c>
      <c r="F195" s="17" t="s">
        <v>16</v>
      </c>
      <c r="G195" s="17" t="s">
        <v>18</v>
      </c>
      <c r="H195" s="17"/>
      <c r="I195" s="17"/>
      <c r="J195" s="17"/>
      <c r="K195" s="17" t="str">
        <f>IF(AND(DailyCheck[[#This Row],[Required On-Site]]="Yes",DailyCheck[[#This Row],[Manager Review]]="Remote"),"Compliance Issue","")</f>
        <v/>
      </c>
    </row>
    <row r="196" spans="1:11" hidden="1">
      <c r="A196" s="16">
        <f>IF(B196="", "", DATE(2026, 9, COUNTIFS($B$2:$B196, B196)))</f>
        <v>46280</v>
      </c>
      <c r="B196" s="17" t="s">
        <v>32</v>
      </c>
      <c r="C196" s="17" t="s">
        <v>29</v>
      </c>
      <c r="D196" s="17" t="s">
        <v>30</v>
      </c>
      <c r="E196" s="17">
        <v>30120618</v>
      </c>
      <c r="F196" s="17" t="s">
        <v>16</v>
      </c>
      <c r="G196" s="20" t="s">
        <v>15</v>
      </c>
      <c r="H196" s="17" t="s">
        <v>16</v>
      </c>
      <c r="I196" s="17"/>
      <c r="J196" s="17"/>
      <c r="K196" s="17" t="str">
        <f>IF(AND(DailyCheck[[#This Row],[Required On-Site]]="Yes",DailyCheck[[#This Row],[Manager Review]]="Remote"),"Compliance Issue","")</f>
        <v/>
      </c>
    </row>
    <row r="197" spans="1:11" hidden="1">
      <c r="A197" s="16">
        <f>IF(B197="", "", DATE(2026, 9, COUNTIFS($B$2:$B197, B197)))</f>
        <v>46281</v>
      </c>
      <c r="B197" s="17" t="s">
        <v>32</v>
      </c>
      <c r="C197" s="17" t="s">
        <v>29</v>
      </c>
      <c r="D197" s="17" t="s">
        <v>30</v>
      </c>
      <c r="E197" s="17">
        <v>30120618</v>
      </c>
      <c r="F197" s="17" t="s">
        <v>16</v>
      </c>
      <c r="G197" s="20" t="s">
        <v>19</v>
      </c>
      <c r="H197" s="17" t="s">
        <v>16</v>
      </c>
      <c r="I197" s="17"/>
      <c r="J197" s="17"/>
      <c r="K197" s="17" t="str">
        <f>IF(AND(DailyCheck[[#This Row],[Required On-Site]]="Yes",DailyCheck[[#This Row],[Manager Review]]="Remote"),"Compliance Issue","")</f>
        <v>Compliance Issue</v>
      </c>
    </row>
    <row r="198" spans="1:11" hidden="1">
      <c r="A198" s="16">
        <f>IF(B198="", "", DATE(2026, 9, COUNTIFS($B$2:$B198, B198)))</f>
        <v>46282</v>
      </c>
      <c r="B198" s="17" t="s">
        <v>32</v>
      </c>
      <c r="C198" s="17" t="s">
        <v>29</v>
      </c>
      <c r="D198" s="17" t="s">
        <v>30</v>
      </c>
      <c r="E198" s="17">
        <v>30120618</v>
      </c>
      <c r="F198" s="17" t="s">
        <v>14</v>
      </c>
      <c r="G198" s="17" t="s">
        <v>19</v>
      </c>
      <c r="H198" s="17"/>
      <c r="I198" s="17"/>
      <c r="J198" s="17"/>
      <c r="K198" s="17" t="str">
        <f>IF(AND(DailyCheck[[#This Row],[Required On-Site]]="Yes",DailyCheck[[#This Row],[Manager Review]]="Remote"),"Compliance Issue","")</f>
        <v/>
      </c>
    </row>
    <row r="199" spans="1:11" hidden="1">
      <c r="A199" s="16">
        <f>IF(B199="", "", DATE(2026, 9, COUNTIFS($B$2:$B199, B199)))</f>
        <v>46283</v>
      </c>
      <c r="B199" s="17" t="s">
        <v>32</v>
      </c>
      <c r="C199" s="17" t="s">
        <v>29</v>
      </c>
      <c r="D199" s="17" t="s">
        <v>30</v>
      </c>
      <c r="E199" s="17">
        <v>30120618</v>
      </c>
      <c r="F199" s="17" t="s">
        <v>14</v>
      </c>
      <c r="G199" s="17" t="s">
        <v>19</v>
      </c>
      <c r="H199" s="17"/>
      <c r="I199" s="17"/>
      <c r="J199" s="17"/>
      <c r="K199" s="17" t="str">
        <f>IF(AND(DailyCheck[[#This Row],[Required On-Site]]="Yes",DailyCheck[[#This Row],[Manager Review]]="Remote"),"Compliance Issue","")</f>
        <v/>
      </c>
    </row>
    <row r="200" spans="1:11" hidden="1">
      <c r="A200" s="16">
        <f>IF(B200="", "", DATE(2026, 9, COUNTIFS($B$2:$B200, B200)))</f>
        <v>46284</v>
      </c>
      <c r="B200" s="17" t="s">
        <v>32</v>
      </c>
      <c r="C200" s="17" t="s">
        <v>29</v>
      </c>
      <c r="D200" s="17" t="s">
        <v>30</v>
      </c>
      <c r="E200" s="17">
        <v>30120618</v>
      </c>
      <c r="F200" s="17" t="s">
        <v>14</v>
      </c>
      <c r="G200" s="17" t="s">
        <v>17</v>
      </c>
      <c r="H200" s="17"/>
      <c r="I200" s="19"/>
      <c r="J200" s="17"/>
      <c r="K200" s="17" t="str">
        <f>IF(AND(DailyCheck[[#This Row],[Required On-Site]]="Yes",DailyCheck[[#This Row],[Manager Review]]="Remote"),"Compliance Issue","")</f>
        <v/>
      </c>
    </row>
    <row r="201" spans="1:11" hidden="1">
      <c r="A201" s="16">
        <f>IF(B201="", "", DATE(2026, 9, COUNTIFS($B$2:$B201, B201)))</f>
        <v>46285</v>
      </c>
      <c r="B201" s="17" t="s">
        <v>32</v>
      </c>
      <c r="C201" s="17" t="s">
        <v>29</v>
      </c>
      <c r="D201" s="17" t="s">
        <v>30</v>
      </c>
      <c r="E201" s="17">
        <v>30120618</v>
      </c>
      <c r="F201" s="17" t="s">
        <v>14</v>
      </c>
      <c r="G201" s="17" t="s">
        <v>17</v>
      </c>
      <c r="H201" s="17"/>
      <c r="I201" s="17"/>
      <c r="J201" s="17"/>
      <c r="K201" s="17" t="str">
        <f>IF(AND(DailyCheck[[#This Row],[Required On-Site]]="Yes",DailyCheck[[#This Row],[Manager Review]]="Remote"),"Compliance Issue","")</f>
        <v/>
      </c>
    </row>
    <row r="202" spans="1:11" hidden="1">
      <c r="A202" s="16">
        <f>IF(B202="", "", DATE(2026, 9, COUNTIFS($B$2:$B202, B202)))</f>
        <v>46286</v>
      </c>
      <c r="B202" s="17" t="s">
        <v>32</v>
      </c>
      <c r="C202" s="17" t="s">
        <v>29</v>
      </c>
      <c r="D202" s="17" t="s">
        <v>30</v>
      </c>
      <c r="E202" s="17">
        <v>30120618</v>
      </c>
      <c r="F202" s="17" t="s">
        <v>16</v>
      </c>
      <c r="G202" s="17" t="s">
        <v>18</v>
      </c>
      <c r="H202" s="17"/>
      <c r="I202" s="17"/>
      <c r="J202" s="17"/>
      <c r="K202" s="17" t="str">
        <f>IF(AND(DailyCheck[[#This Row],[Required On-Site]]="Yes",DailyCheck[[#This Row],[Manager Review]]="Remote"),"Compliance Issue","")</f>
        <v/>
      </c>
    </row>
    <row r="203" spans="1:11" hidden="1">
      <c r="A203" s="16">
        <f>IF(B203="", "", DATE(2026, 9, COUNTIFS($B$2:$B203, B203)))</f>
        <v>46287</v>
      </c>
      <c r="B203" s="17" t="s">
        <v>32</v>
      </c>
      <c r="C203" s="17" t="s">
        <v>29</v>
      </c>
      <c r="D203" s="17" t="s">
        <v>30</v>
      </c>
      <c r="E203" s="17">
        <v>30120618</v>
      </c>
      <c r="F203" s="17" t="s">
        <v>16</v>
      </c>
      <c r="G203" s="20" t="s">
        <v>18</v>
      </c>
      <c r="H203" s="17"/>
      <c r="I203" s="17"/>
      <c r="J203" s="17"/>
      <c r="K203" s="17" t="str">
        <f>IF(AND(DailyCheck[[#This Row],[Required On-Site]]="Yes",DailyCheck[[#This Row],[Manager Review]]="Remote"),"Compliance Issue","")</f>
        <v/>
      </c>
    </row>
    <row r="204" spans="1:11" hidden="1">
      <c r="A204" s="16">
        <f>IF(B204="", "", DATE(2026, 9, COUNTIFS($B$2:$B204, B204)))</f>
        <v>46288</v>
      </c>
      <c r="B204" s="17" t="s">
        <v>32</v>
      </c>
      <c r="C204" s="17" t="s">
        <v>29</v>
      </c>
      <c r="D204" s="17" t="s">
        <v>30</v>
      </c>
      <c r="E204" s="17">
        <v>30120618</v>
      </c>
      <c r="F204" s="17" t="s">
        <v>16</v>
      </c>
      <c r="G204" s="20" t="s">
        <v>18</v>
      </c>
      <c r="H204" s="17"/>
      <c r="I204" s="17"/>
      <c r="J204" s="17"/>
      <c r="K204" s="17" t="str">
        <f>IF(AND(DailyCheck[[#This Row],[Required On-Site]]="Yes",DailyCheck[[#This Row],[Manager Review]]="Remote"),"Compliance Issue","")</f>
        <v/>
      </c>
    </row>
    <row r="205" spans="1:11" hidden="1">
      <c r="A205" s="16">
        <f>IF(B205="", "", DATE(2026, 9, COUNTIFS($B$2:$B205, B205)))</f>
        <v>46289</v>
      </c>
      <c r="B205" s="17" t="s">
        <v>32</v>
      </c>
      <c r="C205" s="17" t="s">
        <v>29</v>
      </c>
      <c r="D205" s="17" t="s">
        <v>30</v>
      </c>
      <c r="E205" s="17">
        <v>30120618</v>
      </c>
      <c r="F205" s="17" t="s">
        <v>14</v>
      </c>
      <c r="G205" s="17" t="s">
        <v>19</v>
      </c>
      <c r="H205" s="17"/>
      <c r="I205" s="17"/>
      <c r="J205" s="17"/>
      <c r="K205" s="17" t="str">
        <f>IF(AND(DailyCheck[[#This Row],[Required On-Site]]="Yes",DailyCheck[[#This Row],[Manager Review]]="Remote"),"Compliance Issue","")</f>
        <v/>
      </c>
    </row>
    <row r="206" spans="1:11" hidden="1">
      <c r="A206" s="16">
        <f>IF(B206="", "", DATE(2026, 9, COUNTIFS($B$2:$B206, B206)))</f>
        <v>46290</v>
      </c>
      <c r="B206" s="17" t="s">
        <v>32</v>
      </c>
      <c r="C206" s="17" t="s">
        <v>29</v>
      </c>
      <c r="D206" s="17" t="s">
        <v>30</v>
      </c>
      <c r="E206" s="17">
        <v>30120618</v>
      </c>
      <c r="F206" s="17" t="s">
        <v>14</v>
      </c>
      <c r="G206" s="17" t="s">
        <v>19</v>
      </c>
      <c r="H206" s="17"/>
      <c r="I206" s="17"/>
      <c r="J206" s="17"/>
      <c r="K206" s="17" t="str">
        <f>IF(AND(DailyCheck[[#This Row],[Required On-Site]]="Yes",DailyCheck[[#This Row],[Manager Review]]="Remote"),"Compliance Issue","")</f>
        <v/>
      </c>
    </row>
    <row r="207" spans="1:11" hidden="1">
      <c r="A207" s="16">
        <f>IF(B207="", "", DATE(2026, 9, COUNTIFS($B$2:$B207, B207)))</f>
        <v>46291</v>
      </c>
      <c r="B207" s="17" t="s">
        <v>32</v>
      </c>
      <c r="C207" s="17" t="s">
        <v>29</v>
      </c>
      <c r="D207" s="17" t="s">
        <v>30</v>
      </c>
      <c r="E207" s="17">
        <v>30120618</v>
      </c>
      <c r="F207" s="17" t="s">
        <v>14</v>
      </c>
      <c r="G207" s="17" t="s">
        <v>17</v>
      </c>
      <c r="H207" s="17"/>
      <c r="I207" s="17"/>
      <c r="J207" s="17"/>
      <c r="K207" s="17" t="str">
        <f>IF(AND(DailyCheck[[#This Row],[Required On-Site]]="Yes",DailyCheck[[#This Row],[Manager Review]]="Remote"),"Compliance Issue","")</f>
        <v/>
      </c>
    </row>
    <row r="208" spans="1:11" hidden="1">
      <c r="A208" s="16">
        <f>IF(B208="", "", DATE(2026, 9, COUNTIFS($B$2:$B208, B208)))</f>
        <v>46292</v>
      </c>
      <c r="B208" s="17" t="s">
        <v>32</v>
      </c>
      <c r="C208" s="17" t="s">
        <v>29</v>
      </c>
      <c r="D208" s="17" t="s">
        <v>30</v>
      </c>
      <c r="E208" s="17">
        <v>30120618</v>
      </c>
      <c r="F208" s="17" t="s">
        <v>14</v>
      </c>
      <c r="G208" s="17" t="s">
        <v>17</v>
      </c>
      <c r="H208" s="17"/>
      <c r="I208" s="17"/>
      <c r="J208" s="17"/>
      <c r="K208" s="17" t="str">
        <f>IF(AND(DailyCheck[[#This Row],[Required On-Site]]="Yes",DailyCheck[[#This Row],[Manager Review]]="Remote"),"Compliance Issue","")</f>
        <v/>
      </c>
    </row>
    <row r="209" spans="1:11" hidden="1">
      <c r="A209" s="16">
        <f>IF(B209="", "", DATE(2026, 9, COUNTIFS($B$2:$B209, B209)))</f>
        <v>46293</v>
      </c>
      <c r="B209" s="17" t="s">
        <v>32</v>
      </c>
      <c r="C209" s="17" t="s">
        <v>29</v>
      </c>
      <c r="D209" s="17" t="s">
        <v>30</v>
      </c>
      <c r="E209" s="17">
        <v>30120618</v>
      </c>
      <c r="F209" s="17" t="s">
        <v>16</v>
      </c>
      <c r="G209" s="17" t="s">
        <v>19</v>
      </c>
      <c r="H209" s="17" t="s">
        <v>16</v>
      </c>
      <c r="I209" s="17"/>
      <c r="J209" s="17"/>
      <c r="K209" s="17" t="str">
        <f>IF(AND(DailyCheck[[#This Row],[Required On-Site]]="Yes",DailyCheck[[#This Row],[Manager Review]]="Remote"),"Compliance Issue","")</f>
        <v>Compliance Issue</v>
      </c>
    </row>
    <row r="210" spans="1:11" hidden="1">
      <c r="A210" s="16">
        <f>IF(B210="", "", DATE(2026, 9, COUNTIFS($B$2:$B210, B210)))</f>
        <v>46294</v>
      </c>
      <c r="B210" s="17" t="s">
        <v>32</v>
      </c>
      <c r="C210" s="17" t="s">
        <v>29</v>
      </c>
      <c r="D210" s="17" t="s">
        <v>30</v>
      </c>
      <c r="E210" s="17">
        <v>30120618</v>
      </c>
      <c r="F210" s="17" t="s">
        <v>16</v>
      </c>
      <c r="G210" s="20" t="s">
        <v>19</v>
      </c>
      <c r="H210" s="17" t="s">
        <v>16</v>
      </c>
      <c r="I210" s="17"/>
      <c r="J210" s="17"/>
      <c r="K210" s="17" t="str">
        <f>IF(AND(DailyCheck[[#This Row],[Required On-Site]]="Yes",DailyCheck[[#This Row],[Manager Review]]="Remote"),"Compliance Issue","")</f>
        <v>Compliance Issue</v>
      </c>
    </row>
    <row r="211" spans="1:11" hidden="1">
      <c r="A211" s="16">
        <f>IF(B211="", "", DATE(2026, 9, COUNTIFS($B$2:$B211, B211)))</f>
        <v>46295</v>
      </c>
      <c r="B211" s="17" t="s">
        <v>32</v>
      </c>
      <c r="C211" s="17" t="s">
        <v>29</v>
      </c>
      <c r="D211" s="17" t="s">
        <v>30</v>
      </c>
      <c r="E211" s="17">
        <v>30120618</v>
      </c>
      <c r="F211" s="17" t="s">
        <v>16</v>
      </c>
      <c r="G211" s="20" t="s">
        <v>18</v>
      </c>
      <c r="H211" s="17"/>
      <c r="I211" s="17"/>
      <c r="J211" s="17"/>
      <c r="K211" s="17" t="str">
        <f>IF(AND(DailyCheck[[#This Row],[Required On-Site]]="Yes",DailyCheck[[#This Row],[Manager Review]]="Remote"),"Compliance Issue","")</f>
        <v/>
      </c>
    </row>
    <row r="212" spans="1:11" hidden="1">
      <c r="A212" s="16">
        <f>IF(B212="", "", DATE(2026, 9, COUNTIFS($B$2:$B212, B212)))</f>
        <v>46266</v>
      </c>
      <c r="B212" s="17" t="s">
        <v>33</v>
      </c>
      <c r="C212" s="17" t="s">
        <v>29</v>
      </c>
      <c r="D212" s="17" t="s">
        <v>30</v>
      </c>
      <c r="E212" s="17">
        <v>30031810</v>
      </c>
      <c r="F212" s="17" t="s">
        <v>16</v>
      </c>
      <c r="G212" s="20" t="s">
        <v>18</v>
      </c>
      <c r="H212" s="17"/>
      <c r="I212" s="17"/>
      <c r="J212" s="17"/>
      <c r="K212" s="17" t="str">
        <f>IF(AND(DailyCheck[[#This Row],[Required On-Site]]="Yes",DailyCheck[[#This Row],[Manager Review]]="Remote"),"Compliance Issue","")</f>
        <v/>
      </c>
    </row>
    <row r="213" spans="1:11" hidden="1">
      <c r="A213" s="16">
        <f>IF(B213="", "", DATE(2026, 9, COUNTIFS($B$2:$B213, B213)))</f>
        <v>46267</v>
      </c>
      <c r="B213" s="17" t="s">
        <v>33</v>
      </c>
      <c r="C213" s="17" t="s">
        <v>29</v>
      </c>
      <c r="D213" s="17" t="s">
        <v>30</v>
      </c>
      <c r="E213" s="17">
        <v>30031810</v>
      </c>
      <c r="F213" s="17" t="s">
        <v>14</v>
      </c>
      <c r="G213" s="20" t="s">
        <v>19</v>
      </c>
      <c r="H213" s="17"/>
      <c r="I213" s="17"/>
      <c r="J213" s="17"/>
      <c r="K213" s="17" t="str">
        <f>IF(AND(DailyCheck[[#This Row],[Required On-Site]]="Yes",DailyCheck[[#This Row],[Manager Review]]="Remote"),"Compliance Issue","")</f>
        <v/>
      </c>
    </row>
    <row r="214" spans="1:11" hidden="1">
      <c r="A214" s="16">
        <f>IF(B214="", "", DATE(2026, 9, COUNTIFS($B$2:$B214, B214)))</f>
        <v>46268</v>
      </c>
      <c r="B214" s="17" t="s">
        <v>33</v>
      </c>
      <c r="C214" s="17" t="s">
        <v>29</v>
      </c>
      <c r="D214" s="17" t="s">
        <v>30</v>
      </c>
      <c r="E214" s="17">
        <v>30031810</v>
      </c>
      <c r="F214" s="17" t="s">
        <v>16</v>
      </c>
      <c r="G214" s="17" t="s">
        <v>18</v>
      </c>
      <c r="H214" s="17"/>
      <c r="I214" s="17"/>
      <c r="J214" s="17"/>
      <c r="K214" s="17" t="str">
        <f>IF(AND(DailyCheck[[#This Row],[Required On-Site]]="Yes",DailyCheck[[#This Row],[Manager Review]]="Remote"),"Compliance Issue","")</f>
        <v/>
      </c>
    </row>
    <row r="215" spans="1:11" hidden="1">
      <c r="A215" s="16">
        <f>IF(B215="", "", DATE(2026, 9, COUNTIFS($B$2:$B215, B215)))</f>
        <v>46269</v>
      </c>
      <c r="B215" s="17" t="s">
        <v>33</v>
      </c>
      <c r="C215" s="17" t="s">
        <v>29</v>
      </c>
      <c r="D215" s="17" t="s">
        <v>30</v>
      </c>
      <c r="E215" s="17">
        <v>30031810</v>
      </c>
      <c r="F215" s="17" t="s">
        <v>14</v>
      </c>
      <c r="G215" s="17" t="s">
        <v>19</v>
      </c>
      <c r="H215" s="17"/>
      <c r="I215" s="17"/>
      <c r="J215" s="17"/>
      <c r="K215" s="17" t="str">
        <f>IF(AND(DailyCheck[[#This Row],[Required On-Site]]="Yes",DailyCheck[[#This Row],[Manager Review]]="Remote"),"Compliance Issue","")</f>
        <v/>
      </c>
    </row>
    <row r="216" spans="1:11" hidden="1">
      <c r="A216" s="16">
        <f>IF(B216="", "", DATE(2026, 9, COUNTIFS($B$2:$B216, B216)))</f>
        <v>46270</v>
      </c>
      <c r="B216" s="17" t="s">
        <v>33</v>
      </c>
      <c r="C216" s="17" t="s">
        <v>29</v>
      </c>
      <c r="D216" s="17" t="s">
        <v>30</v>
      </c>
      <c r="E216" s="17">
        <v>30031810</v>
      </c>
      <c r="F216" s="17" t="s">
        <v>14</v>
      </c>
      <c r="G216" s="17" t="s">
        <v>17</v>
      </c>
      <c r="H216" s="17"/>
      <c r="I216" s="17"/>
      <c r="J216" s="17"/>
      <c r="K216" s="17" t="str">
        <f>IF(AND(DailyCheck[[#This Row],[Required On-Site]]="Yes",DailyCheck[[#This Row],[Manager Review]]="Remote"),"Compliance Issue","")</f>
        <v/>
      </c>
    </row>
    <row r="217" spans="1:11" hidden="1">
      <c r="A217" s="16">
        <f>IF(B217="", "", DATE(2026, 9, COUNTIFS($B$2:$B217, B217)))</f>
        <v>46271</v>
      </c>
      <c r="B217" s="17" t="s">
        <v>33</v>
      </c>
      <c r="C217" s="17" t="s">
        <v>29</v>
      </c>
      <c r="D217" s="17" t="s">
        <v>30</v>
      </c>
      <c r="E217" s="17">
        <v>30031810</v>
      </c>
      <c r="F217" s="17" t="s">
        <v>14</v>
      </c>
      <c r="G217" s="17" t="s">
        <v>17</v>
      </c>
      <c r="H217" s="17"/>
      <c r="I217" s="17"/>
      <c r="J217" s="17"/>
      <c r="K217" s="17" t="str">
        <f>IF(AND(DailyCheck[[#This Row],[Required On-Site]]="Yes",DailyCheck[[#This Row],[Manager Review]]="Remote"),"Compliance Issue","")</f>
        <v/>
      </c>
    </row>
    <row r="218" spans="1:11" hidden="1">
      <c r="A218" s="16">
        <f>IF(B218="", "", DATE(2026, 9, COUNTIFS($B$2:$B218, B218)))</f>
        <v>46272</v>
      </c>
      <c r="B218" s="17" t="s">
        <v>33</v>
      </c>
      <c r="C218" s="17" t="s">
        <v>29</v>
      </c>
      <c r="D218" s="17" t="s">
        <v>30</v>
      </c>
      <c r="E218" s="17">
        <v>30031810</v>
      </c>
      <c r="F218" s="17" t="s">
        <v>16</v>
      </c>
      <c r="G218" s="17" t="s">
        <v>19</v>
      </c>
      <c r="H218" s="17" t="s">
        <v>16</v>
      </c>
      <c r="I218" s="17"/>
      <c r="J218" s="17"/>
      <c r="K218" s="17" t="str">
        <f>IF(AND(DailyCheck[[#This Row],[Required On-Site]]="Yes",DailyCheck[[#This Row],[Manager Review]]="Remote"),"Compliance Issue","")</f>
        <v>Compliance Issue</v>
      </c>
    </row>
    <row r="219" spans="1:11" hidden="1">
      <c r="A219" s="16">
        <f>IF(B219="", "", DATE(2026, 9, COUNTIFS($B$2:$B219, B219)))</f>
        <v>46273</v>
      </c>
      <c r="B219" s="17" t="s">
        <v>33</v>
      </c>
      <c r="C219" s="17" t="s">
        <v>29</v>
      </c>
      <c r="D219" s="17" t="s">
        <v>30</v>
      </c>
      <c r="E219" s="17">
        <v>30031810</v>
      </c>
      <c r="F219" s="17" t="s">
        <v>16</v>
      </c>
      <c r="G219" s="20" t="s">
        <v>18</v>
      </c>
      <c r="H219" s="17"/>
      <c r="I219" s="17"/>
      <c r="J219" s="17"/>
      <c r="K219" s="17" t="str">
        <f>IF(AND(DailyCheck[[#This Row],[Required On-Site]]="Yes",DailyCheck[[#This Row],[Manager Review]]="Remote"),"Compliance Issue","")</f>
        <v/>
      </c>
    </row>
    <row r="220" spans="1:11" hidden="1">
      <c r="A220" s="16">
        <f>IF(B220="", "", DATE(2026, 9, COUNTIFS($B$2:$B220, B220)))</f>
        <v>46274</v>
      </c>
      <c r="B220" s="17" t="s">
        <v>33</v>
      </c>
      <c r="C220" s="17" t="s">
        <v>29</v>
      </c>
      <c r="D220" s="17" t="s">
        <v>30</v>
      </c>
      <c r="E220" s="17">
        <v>30031810</v>
      </c>
      <c r="F220" s="17" t="s">
        <v>14</v>
      </c>
      <c r="G220" s="20" t="s">
        <v>19</v>
      </c>
      <c r="H220" s="17"/>
      <c r="I220" s="17"/>
      <c r="J220" s="17"/>
      <c r="K220" s="17" t="str">
        <f>IF(AND(DailyCheck[[#This Row],[Required On-Site]]="Yes",DailyCheck[[#This Row],[Manager Review]]="Remote"),"Compliance Issue","")</f>
        <v/>
      </c>
    </row>
    <row r="221" spans="1:11" hidden="1">
      <c r="A221" s="16">
        <f>IF(B221="", "", DATE(2026, 9, COUNTIFS($B$2:$B221, B221)))</f>
        <v>46275</v>
      </c>
      <c r="B221" s="17" t="s">
        <v>33</v>
      </c>
      <c r="C221" s="17" t="s">
        <v>29</v>
      </c>
      <c r="D221" s="17" t="s">
        <v>30</v>
      </c>
      <c r="E221" s="17">
        <v>30031810</v>
      </c>
      <c r="F221" s="17" t="s">
        <v>16</v>
      </c>
      <c r="G221" s="17" t="s">
        <v>19</v>
      </c>
      <c r="H221" s="17" t="s">
        <v>16</v>
      </c>
      <c r="I221" s="17"/>
      <c r="J221" s="17"/>
      <c r="K221" s="17" t="str">
        <f>IF(AND(DailyCheck[[#This Row],[Required On-Site]]="Yes",DailyCheck[[#This Row],[Manager Review]]="Remote"),"Compliance Issue","")</f>
        <v>Compliance Issue</v>
      </c>
    </row>
    <row r="222" spans="1:11" hidden="1">
      <c r="A222" s="16">
        <f>IF(B222="", "", DATE(2026, 9, COUNTIFS($B$2:$B222, B222)))</f>
        <v>46276</v>
      </c>
      <c r="B222" s="17" t="s">
        <v>33</v>
      </c>
      <c r="C222" s="17" t="s">
        <v>29</v>
      </c>
      <c r="D222" s="17" t="s">
        <v>30</v>
      </c>
      <c r="E222" s="17">
        <v>30031810</v>
      </c>
      <c r="F222" s="17" t="s">
        <v>14</v>
      </c>
      <c r="G222" s="17" t="s">
        <v>19</v>
      </c>
      <c r="H222" s="17"/>
      <c r="I222" s="17"/>
      <c r="J222" s="17"/>
      <c r="K222" s="17" t="str">
        <f>IF(AND(DailyCheck[[#This Row],[Required On-Site]]="Yes",DailyCheck[[#This Row],[Manager Review]]="Remote"),"Compliance Issue","")</f>
        <v/>
      </c>
    </row>
    <row r="223" spans="1:11" hidden="1">
      <c r="A223" s="16">
        <f>IF(B223="", "", DATE(2026, 9, COUNTIFS($B$2:$B223, B223)))</f>
        <v>46277</v>
      </c>
      <c r="B223" s="17" t="s">
        <v>33</v>
      </c>
      <c r="C223" s="17" t="s">
        <v>29</v>
      </c>
      <c r="D223" s="17" t="s">
        <v>30</v>
      </c>
      <c r="E223" s="17">
        <v>30031810</v>
      </c>
      <c r="F223" s="17" t="s">
        <v>14</v>
      </c>
      <c r="G223" s="17" t="s">
        <v>17</v>
      </c>
      <c r="H223" s="17"/>
      <c r="I223" s="17"/>
      <c r="J223" s="17"/>
      <c r="K223" s="17" t="str">
        <f>IF(AND(DailyCheck[[#This Row],[Required On-Site]]="Yes",DailyCheck[[#This Row],[Manager Review]]="Remote"),"Compliance Issue","")</f>
        <v/>
      </c>
    </row>
    <row r="224" spans="1:11" hidden="1">
      <c r="A224" s="16">
        <f>IF(B224="", "", DATE(2026, 9, COUNTIFS($B$2:$B224, B224)))</f>
        <v>46278</v>
      </c>
      <c r="B224" s="17" t="s">
        <v>33</v>
      </c>
      <c r="C224" s="17" t="s">
        <v>29</v>
      </c>
      <c r="D224" s="17" t="s">
        <v>30</v>
      </c>
      <c r="E224" s="17">
        <v>30031810</v>
      </c>
      <c r="F224" s="17" t="s">
        <v>14</v>
      </c>
      <c r="G224" s="17" t="s">
        <v>17</v>
      </c>
      <c r="H224" s="17"/>
      <c r="I224" s="17"/>
      <c r="J224" s="17"/>
      <c r="K224" s="17" t="str">
        <f>IF(AND(DailyCheck[[#This Row],[Required On-Site]]="Yes",DailyCheck[[#This Row],[Manager Review]]="Remote"),"Compliance Issue","")</f>
        <v/>
      </c>
    </row>
    <row r="225" spans="1:11" hidden="1">
      <c r="A225" s="16">
        <f>IF(B225="", "", DATE(2026, 9, COUNTIFS($B$2:$B225, B225)))</f>
        <v>46279</v>
      </c>
      <c r="B225" s="17" t="s">
        <v>33</v>
      </c>
      <c r="C225" s="17" t="s">
        <v>29</v>
      </c>
      <c r="D225" s="17" t="s">
        <v>30</v>
      </c>
      <c r="E225" s="17">
        <v>30031810</v>
      </c>
      <c r="F225" s="17" t="s">
        <v>16</v>
      </c>
      <c r="G225" s="17" t="s">
        <v>18</v>
      </c>
      <c r="H225" s="17"/>
      <c r="I225" s="17"/>
      <c r="J225" s="17"/>
      <c r="K225" s="17" t="str">
        <f>IF(AND(DailyCheck[[#This Row],[Required On-Site]]="Yes",DailyCheck[[#This Row],[Manager Review]]="Remote"),"Compliance Issue","")</f>
        <v/>
      </c>
    </row>
    <row r="226" spans="1:11" hidden="1">
      <c r="A226" s="16">
        <f>IF(B226="", "", DATE(2026, 9, COUNTIFS($B$2:$B226, B226)))</f>
        <v>46280</v>
      </c>
      <c r="B226" s="17" t="s">
        <v>33</v>
      </c>
      <c r="C226" s="17" t="s">
        <v>29</v>
      </c>
      <c r="D226" s="17" t="s">
        <v>30</v>
      </c>
      <c r="E226" s="17">
        <v>30031810</v>
      </c>
      <c r="F226" s="17" t="s">
        <v>16</v>
      </c>
      <c r="G226" s="20" t="s">
        <v>18</v>
      </c>
      <c r="H226" s="17"/>
      <c r="I226" s="17"/>
      <c r="J226" s="17"/>
      <c r="K226" s="17" t="str">
        <f>IF(AND(DailyCheck[[#This Row],[Required On-Site]]="Yes",DailyCheck[[#This Row],[Manager Review]]="Remote"),"Compliance Issue","")</f>
        <v/>
      </c>
    </row>
    <row r="227" spans="1:11" hidden="1">
      <c r="A227" s="16">
        <f>IF(B227="", "", DATE(2026, 9, COUNTIFS($B$2:$B227, B227)))</f>
        <v>46281</v>
      </c>
      <c r="B227" s="17" t="s">
        <v>33</v>
      </c>
      <c r="C227" s="17" t="s">
        <v>29</v>
      </c>
      <c r="D227" s="17" t="s">
        <v>30</v>
      </c>
      <c r="E227" s="17">
        <v>30031810</v>
      </c>
      <c r="F227" s="17" t="s">
        <v>14</v>
      </c>
      <c r="G227" s="20" t="s">
        <v>19</v>
      </c>
      <c r="H227" s="17"/>
      <c r="I227" s="17"/>
      <c r="J227" s="17"/>
      <c r="K227" s="17" t="str">
        <f>IF(AND(DailyCheck[[#This Row],[Required On-Site]]="Yes",DailyCheck[[#This Row],[Manager Review]]="Remote"),"Compliance Issue","")</f>
        <v/>
      </c>
    </row>
    <row r="228" spans="1:11" hidden="1">
      <c r="A228" s="16">
        <f>IF(B228="", "", DATE(2026, 9, COUNTIFS($B$2:$B228, B228)))</f>
        <v>46282</v>
      </c>
      <c r="B228" s="17" t="s">
        <v>33</v>
      </c>
      <c r="C228" s="17" t="s">
        <v>29</v>
      </c>
      <c r="D228" s="17" t="s">
        <v>30</v>
      </c>
      <c r="E228" s="17">
        <v>30031810</v>
      </c>
      <c r="F228" s="17" t="s">
        <v>16</v>
      </c>
      <c r="G228" s="17" t="s">
        <v>19</v>
      </c>
      <c r="H228" s="17" t="s">
        <v>16</v>
      </c>
      <c r="I228" s="17"/>
      <c r="J228" s="17"/>
      <c r="K228" s="17" t="str">
        <f>IF(AND(DailyCheck[[#This Row],[Required On-Site]]="Yes",DailyCheck[[#This Row],[Manager Review]]="Remote"),"Compliance Issue","")</f>
        <v>Compliance Issue</v>
      </c>
    </row>
    <row r="229" spans="1:11" hidden="1">
      <c r="A229" s="16">
        <f>IF(B229="", "", DATE(2026, 9, COUNTIFS($B$2:$B229, B229)))</f>
        <v>46283</v>
      </c>
      <c r="B229" s="17" t="s">
        <v>33</v>
      </c>
      <c r="C229" s="17" t="s">
        <v>29</v>
      </c>
      <c r="D229" s="17" t="s">
        <v>30</v>
      </c>
      <c r="E229" s="17">
        <v>30031810</v>
      </c>
      <c r="F229" s="17" t="s">
        <v>14</v>
      </c>
      <c r="G229" s="17" t="s">
        <v>19</v>
      </c>
      <c r="H229" s="17"/>
      <c r="I229" s="17"/>
      <c r="J229" s="17"/>
      <c r="K229" s="17" t="str">
        <f>IF(AND(DailyCheck[[#This Row],[Required On-Site]]="Yes",DailyCheck[[#This Row],[Manager Review]]="Remote"),"Compliance Issue","")</f>
        <v/>
      </c>
    </row>
    <row r="230" spans="1:11" hidden="1">
      <c r="A230" s="16">
        <f>IF(B230="", "", DATE(2026, 9, COUNTIFS($B$2:$B230, B230)))</f>
        <v>46284</v>
      </c>
      <c r="B230" s="17" t="s">
        <v>33</v>
      </c>
      <c r="C230" s="17" t="s">
        <v>29</v>
      </c>
      <c r="D230" s="17" t="s">
        <v>30</v>
      </c>
      <c r="E230" s="17">
        <v>30031810</v>
      </c>
      <c r="F230" s="17" t="s">
        <v>14</v>
      </c>
      <c r="G230" s="17" t="s">
        <v>17</v>
      </c>
      <c r="H230" s="17"/>
      <c r="I230" s="19"/>
      <c r="J230" s="17"/>
      <c r="K230" s="17" t="str">
        <f>IF(AND(DailyCheck[[#This Row],[Required On-Site]]="Yes",DailyCheck[[#This Row],[Manager Review]]="Remote"),"Compliance Issue","")</f>
        <v/>
      </c>
    </row>
    <row r="231" spans="1:11" hidden="1">
      <c r="A231" s="16">
        <f>IF(B231="", "", DATE(2026, 9, COUNTIFS($B$2:$B231, B231)))</f>
        <v>46285</v>
      </c>
      <c r="B231" s="17" t="s">
        <v>33</v>
      </c>
      <c r="C231" s="17" t="s">
        <v>29</v>
      </c>
      <c r="D231" s="17" t="s">
        <v>30</v>
      </c>
      <c r="E231" s="17">
        <v>30031810</v>
      </c>
      <c r="F231" s="17" t="s">
        <v>14</v>
      </c>
      <c r="G231" s="17" t="s">
        <v>17</v>
      </c>
      <c r="H231" s="17"/>
      <c r="I231" s="17"/>
      <c r="J231" s="17"/>
      <c r="K231" s="17" t="str">
        <f>IF(AND(DailyCheck[[#This Row],[Required On-Site]]="Yes",DailyCheck[[#This Row],[Manager Review]]="Remote"),"Compliance Issue","")</f>
        <v/>
      </c>
    </row>
    <row r="232" spans="1:11" hidden="1">
      <c r="A232" s="16">
        <f>IF(B232="", "", DATE(2026, 9, COUNTIFS($B$2:$B232, B232)))</f>
        <v>46286</v>
      </c>
      <c r="B232" s="17" t="s">
        <v>33</v>
      </c>
      <c r="C232" s="17" t="s">
        <v>29</v>
      </c>
      <c r="D232" s="17" t="s">
        <v>30</v>
      </c>
      <c r="E232" s="17">
        <v>30031810</v>
      </c>
      <c r="F232" s="17" t="s">
        <v>16</v>
      </c>
      <c r="G232" s="17" t="s">
        <v>18</v>
      </c>
      <c r="H232" s="17"/>
      <c r="I232" s="17"/>
      <c r="J232" s="17"/>
      <c r="K232" s="17" t="str">
        <f>IF(AND(DailyCheck[[#This Row],[Required On-Site]]="Yes",DailyCheck[[#This Row],[Manager Review]]="Remote"),"Compliance Issue","")</f>
        <v/>
      </c>
    </row>
    <row r="233" spans="1:11" hidden="1">
      <c r="A233" s="16">
        <f>IF(B233="", "", DATE(2026, 9, COUNTIFS($B$2:$B233, B233)))</f>
        <v>46287</v>
      </c>
      <c r="B233" s="17" t="s">
        <v>33</v>
      </c>
      <c r="C233" s="17" t="s">
        <v>29</v>
      </c>
      <c r="D233" s="17" t="s">
        <v>30</v>
      </c>
      <c r="E233" s="17">
        <v>30031810</v>
      </c>
      <c r="F233" s="17" t="s">
        <v>14</v>
      </c>
      <c r="G233" s="20" t="s">
        <v>19</v>
      </c>
      <c r="H233" s="17"/>
      <c r="I233" s="17"/>
      <c r="J233" s="17"/>
      <c r="K233" s="17" t="str">
        <f>IF(AND(DailyCheck[[#This Row],[Required On-Site]]="Yes",DailyCheck[[#This Row],[Manager Review]]="Remote"),"Compliance Issue","")</f>
        <v/>
      </c>
    </row>
    <row r="234" spans="1:11" hidden="1">
      <c r="A234" s="16">
        <f>IF(B234="", "", DATE(2026, 9, COUNTIFS($B$2:$B234, B234)))</f>
        <v>46288</v>
      </c>
      <c r="B234" s="17" t="s">
        <v>33</v>
      </c>
      <c r="C234" s="17" t="s">
        <v>29</v>
      </c>
      <c r="D234" s="17" t="s">
        <v>30</v>
      </c>
      <c r="E234" s="17">
        <v>30031810</v>
      </c>
      <c r="F234" s="17" t="s">
        <v>14</v>
      </c>
      <c r="G234" s="20" t="s">
        <v>19</v>
      </c>
      <c r="H234" s="17"/>
      <c r="I234" s="17"/>
      <c r="J234" s="17"/>
      <c r="K234" s="17" t="str">
        <f>IF(AND(DailyCheck[[#This Row],[Required On-Site]]="Yes",DailyCheck[[#This Row],[Manager Review]]="Remote"),"Compliance Issue","")</f>
        <v/>
      </c>
    </row>
    <row r="235" spans="1:11" hidden="1">
      <c r="A235" s="16">
        <f>IF(B235="", "", DATE(2026, 9, COUNTIFS($B$2:$B235, B235)))</f>
        <v>46289</v>
      </c>
      <c r="B235" s="17" t="s">
        <v>33</v>
      </c>
      <c r="C235" s="17" t="s">
        <v>29</v>
      </c>
      <c r="D235" s="17" t="s">
        <v>30</v>
      </c>
      <c r="E235" s="17">
        <v>30031810</v>
      </c>
      <c r="F235" s="17" t="s">
        <v>16</v>
      </c>
      <c r="G235" s="17" t="s">
        <v>18</v>
      </c>
      <c r="H235" s="17"/>
      <c r="I235" s="17"/>
      <c r="J235" s="17"/>
      <c r="K235" s="17" t="str">
        <f>IF(AND(DailyCheck[[#This Row],[Required On-Site]]="Yes",DailyCheck[[#This Row],[Manager Review]]="Remote"),"Compliance Issue","")</f>
        <v/>
      </c>
    </row>
    <row r="236" spans="1:11" hidden="1">
      <c r="A236" s="16">
        <f>IF(B236="", "", DATE(2026, 9, COUNTIFS($B$2:$B236, B236)))</f>
        <v>46290</v>
      </c>
      <c r="B236" s="17" t="s">
        <v>33</v>
      </c>
      <c r="C236" s="17" t="s">
        <v>29</v>
      </c>
      <c r="D236" s="17" t="s">
        <v>30</v>
      </c>
      <c r="E236" s="17">
        <v>30031810</v>
      </c>
      <c r="F236" s="17" t="s">
        <v>16</v>
      </c>
      <c r="G236" s="17" t="s">
        <v>19</v>
      </c>
      <c r="H236" s="17" t="s">
        <v>16</v>
      </c>
      <c r="I236" s="17"/>
      <c r="J236" s="17"/>
      <c r="K236" s="17" t="str">
        <f>IF(AND(DailyCheck[[#This Row],[Required On-Site]]="Yes",DailyCheck[[#This Row],[Manager Review]]="Remote"),"Compliance Issue","")</f>
        <v>Compliance Issue</v>
      </c>
    </row>
    <row r="237" spans="1:11" hidden="1">
      <c r="A237" s="16">
        <f>IF(B237="", "", DATE(2026, 9, COUNTIFS($B$2:$B237, B237)))</f>
        <v>46291</v>
      </c>
      <c r="B237" s="17" t="s">
        <v>33</v>
      </c>
      <c r="C237" s="17" t="s">
        <v>29</v>
      </c>
      <c r="D237" s="17" t="s">
        <v>30</v>
      </c>
      <c r="E237" s="17">
        <v>30031810</v>
      </c>
      <c r="F237" s="17" t="s">
        <v>14</v>
      </c>
      <c r="G237" s="17" t="s">
        <v>17</v>
      </c>
      <c r="H237" s="17"/>
      <c r="I237" s="17"/>
      <c r="J237" s="17"/>
      <c r="K237" s="17" t="str">
        <f>IF(AND(DailyCheck[[#This Row],[Required On-Site]]="Yes",DailyCheck[[#This Row],[Manager Review]]="Remote"),"Compliance Issue","")</f>
        <v/>
      </c>
    </row>
    <row r="238" spans="1:11" hidden="1">
      <c r="A238" s="16">
        <f>IF(B238="", "", DATE(2026, 9, COUNTIFS($B$2:$B238, B238)))</f>
        <v>46292</v>
      </c>
      <c r="B238" s="17" t="s">
        <v>33</v>
      </c>
      <c r="C238" s="17" t="s">
        <v>29</v>
      </c>
      <c r="D238" s="17" t="s">
        <v>30</v>
      </c>
      <c r="E238" s="17">
        <v>30031810</v>
      </c>
      <c r="F238" s="17" t="s">
        <v>14</v>
      </c>
      <c r="G238" s="17" t="s">
        <v>17</v>
      </c>
      <c r="H238" s="17"/>
      <c r="I238" s="17"/>
      <c r="J238" s="17"/>
      <c r="K238" s="17" t="str">
        <f>IF(AND(DailyCheck[[#This Row],[Required On-Site]]="Yes",DailyCheck[[#This Row],[Manager Review]]="Remote"),"Compliance Issue","")</f>
        <v/>
      </c>
    </row>
    <row r="239" spans="1:11" hidden="1">
      <c r="A239" s="16">
        <f>IF(B239="", "", DATE(2026, 9, COUNTIFS($B$2:$B239, B239)))</f>
        <v>46293</v>
      </c>
      <c r="B239" s="17" t="s">
        <v>33</v>
      </c>
      <c r="C239" s="17" t="s">
        <v>29</v>
      </c>
      <c r="D239" s="17" t="s">
        <v>30</v>
      </c>
      <c r="E239" s="17">
        <v>30031810</v>
      </c>
      <c r="F239" s="17" t="s">
        <v>16</v>
      </c>
      <c r="G239" s="17" t="s">
        <v>18</v>
      </c>
      <c r="H239" s="17"/>
      <c r="I239" s="17"/>
      <c r="J239" s="17"/>
      <c r="K239" s="17" t="str">
        <f>IF(AND(DailyCheck[[#This Row],[Required On-Site]]="Yes",DailyCheck[[#This Row],[Manager Review]]="Remote"),"Compliance Issue","")</f>
        <v/>
      </c>
    </row>
    <row r="240" spans="1:11" hidden="1">
      <c r="A240" s="16">
        <f>IF(B240="", "", DATE(2026, 9, COUNTIFS($B$2:$B240, B240)))</f>
        <v>46294</v>
      </c>
      <c r="B240" s="17" t="s">
        <v>33</v>
      </c>
      <c r="C240" s="17" t="s">
        <v>29</v>
      </c>
      <c r="D240" s="17" t="s">
        <v>30</v>
      </c>
      <c r="E240" s="17">
        <v>30031810</v>
      </c>
      <c r="F240" s="17" t="s">
        <v>16</v>
      </c>
      <c r="G240" s="20" t="s">
        <v>19</v>
      </c>
      <c r="H240" s="17" t="s">
        <v>16</v>
      </c>
      <c r="I240" s="17"/>
      <c r="J240" s="17"/>
      <c r="K240" s="17" t="str">
        <f>IF(AND(DailyCheck[[#This Row],[Required On-Site]]="Yes",DailyCheck[[#This Row],[Manager Review]]="Remote"),"Compliance Issue","")</f>
        <v>Compliance Issue</v>
      </c>
    </row>
    <row r="241" spans="1:11" hidden="1">
      <c r="A241" s="16">
        <f>IF(B241="", "", DATE(2026, 9, COUNTIFS($B$2:$B241, B241)))</f>
        <v>46295</v>
      </c>
      <c r="B241" s="17" t="s">
        <v>33</v>
      </c>
      <c r="C241" s="17" t="s">
        <v>29</v>
      </c>
      <c r="D241" s="17" t="s">
        <v>30</v>
      </c>
      <c r="E241" s="17">
        <v>30031810</v>
      </c>
      <c r="F241" s="17" t="s">
        <v>14</v>
      </c>
      <c r="G241" s="20" t="s">
        <v>19</v>
      </c>
      <c r="H241" s="17"/>
      <c r="I241" s="17"/>
      <c r="J241" s="17"/>
      <c r="K241" s="17" t="str">
        <f>IF(AND(DailyCheck[[#This Row],[Required On-Site]]="Yes",DailyCheck[[#This Row],[Manager Review]]="Remote"),"Compliance Issue","")</f>
        <v/>
      </c>
    </row>
    <row r="242" spans="1:11" hidden="1">
      <c r="A242" s="16">
        <f>IF(B242="", "", DATE(2026, 9, COUNTIFS($B$2:$B242, B242)))</f>
        <v>46266</v>
      </c>
      <c r="B242" s="17" t="s">
        <v>34</v>
      </c>
      <c r="C242" s="17" t="s">
        <v>29</v>
      </c>
      <c r="D242" s="17" t="s">
        <v>30</v>
      </c>
      <c r="E242" s="17">
        <v>1842168</v>
      </c>
      <c r="F242" s="17" t="s">
        <v>16</v>
      </c>
      <c r="G242" s="20" t="s">
        <v>18</v>
      </c>
      <c r="H242" s="17"/>
      <c r="I242" s="17"/>
      <c r="J242" s="17"/>
      <c r="K242" s="17" t="str">
        <f>IF(AND(DailyCheck[[#This Row],[Required On-Site]]="Yes",DailyCheck[[#This Row],[Manager Review]]="Remote"),"Compliance Issue","")</f>
        <v/>
      </c>
    </row>
    <row r="243" spans="1:11" hidden="1">
      <c r="A243" s="16">
        <f>IF(B243="", "", DATE(2026, 9, COUNTIFS($B$2:$B243, B243)))</f>
        <v>46267</v>
      </c>
      <c r="B243" s="17" t="s">
        <v>34</v>
      </c>
      <c r="C243" s="17" t="s">
        <v>29</v>
      </c>
      <c r="D243" s="17" t="s">
        <v>30</v>
      </c>
      <c r="E243" s="17">
        <v>1842168</v>
      </c>
      <c r="F243" s="17" t="s">
        <v>14</v>
      </c>
      <c r="G243" s="20" t="s">
        <v>15</v>
      </c>
      <c r="H243" s="17" t="s">
        <v>16</v>
      </c>
      <c r="I243" s="17"/>
      <c r="J243" s="17"/>
      <c r="K243" s="17" t="str">
        <f>IF(AND(DailyCheck[[#This Row],[Required On-Site]]="Yes",DailyCheck[[#This Row],[Manager Review]]="Remote"),"Compliance Issue","")</f>
        <v/>
      </c>
    </row>
    <row r="244" spans="1:11" hidden="1">
      <c r="A244" s="16">
        <f>IF(B244="", "", DATE(2026, 9, COUNTIFS($B$2:$B244, B244)))</f>
        <v>46268</v>
      </c>
      <c r="B244" s="17" t="s">
        <v>34</v>
      </c>
      <c r="C244" s="17" t="s">
        <v>29</v>
      </c>
      <c r="D244" s="17" t="s">
        <v>30</v>
      </c>
      <c r="E244" s="17">
        <v>1842168</v>
      </c>
      <c r="F244" s="17" t="s">
        <v>14</v>
      </c>
      <c r="G244" s="17" t="s">
        <v>15</v>
      </c>
      <c r="H244" s="17" t="s">
        <v>16</v>
      </c>
      <c r="I244" s="17"/>
      <c r="J244" s="17"/>
      <c r="K244" s="17" t="str">
        <f>IF(AND(DailyCheck[[#This Row],[Required On-Site]]="Yes",DailyCheck[[#This Row],[Manager Review]]="Remote"),"Compliance Issue","")</f>
        <v/>
      </c>
    </row>
    <row r="245" spans="1:11" hidden="1">
      <c r="A245" s="16">
        <f>IF(B245="", "", DATE(2026, 9, COUNTIFS($B$2:$B245, B245)))</f>
        <v>46269</v>
      </c>
      <c r="B245" s="17" t="s">
        <v>34</v>
      </c>
      <c r="C245" s="17" t="s">
        <v>29</v>
      </c>
      <c r="D245" s="17" t="s">
        <v>30</v>
      </c>
      <c r="E245" s="17">
        <v>1842168</v>
      </c>
      <c r="F245" s="17" t="s">
        <v>16</v>
      </c>
      <c r="G245" s="17" t="s">
        <v>15</v>
      </c>
      <c r="H245" s="17" t="s">
        <v>16</v>
      </c>
      <c r="I245" s="17"/>
      <c r="J245" s="17"/>
      <c r="K245" s="17" t="str">
        <f>IF(AND(DailyCheck[[#This Row],[Required On-Site]]="Yes",DailyCheck[[#This Row],[Manager Review]]="Remote"),"Compliance Issue","")</f>
        <v/>
      </c>
    </row>
    <row r="246" spans="1:11" hidden="1">
      <c r="A246" s="16">
        <f>IF(B246="", "", DATE(2026, 9, COUNTIFS($B$2:$B246, B246)))</f>
        <v>46270</v>
      </c>
      <c r="B246" s="17" t="s">
        <v>34</v>
      </c>
      <c r="C246" s="17" t="s">
        <v>29</v>
      </c>
      <c r="D246" s="17" t="s">
        <v>30</v>
      </c>
      <c r="E246" s="17">
        <v>1842168</v>
      </c>
      <c r="F246" s="17" t="s">
        <v>14</v>
      </c>
      <c r="G246" s="17" t="s">
        <v>17</v>
      </c>
      <c r="H246" s="17"/>
      <c r="I246" s="17"/>
      <c r="J246" s="17"/>
      <c r="K246" s="17" t="str">
        <f>IF(AND(DailyCheck[[#This Row],[Required On-Site]]="Yes",DailyCheck[[#This Row],[Manager Review]]="Remote"),"Compliance Issue","")</f>
        <v/>
      </c>
    </row>
    <row r="247" spans="1:11" hidden="1">
      <c r="A247" s="16">
        <f>IF(B247="", "", DATE(2026, 9, COUNTIFS($B$2:$B247, B247)))</f>
        <v>46271</v>
      </c>
      <c r="B247" s="17" t="s">
        <v>34</v>
      </c>
      <c r="C247" s="17" t="s">
        <v>29</v>
      </c>
      <c r="D247" s="17" t="s">
        <v>30</v>
      </c>
      <c r="E247" s="17">
        <v>1842168</v>
      </c>
      <c r="F247" s="17" t="s">
        <v>14</v>
      </c>
      <c r="G247" s="17" t="s">
        <v>17</v>
      </c>
      <c r="H247" s="17"/>
      <c r="I247" s="17"/>
      <c r="J247" s="17"/>
      <c r="K247" s="17" t="str">
        <f>IF(AND(DailyCheck[[#This Row],[Required On-Site]]="Yes",DailyCheck[[#This Row],[Manager Review]]="Remote"),"Compliance Issue","")</f>
        <v/>
      </c>
    </row>
    <row r="248" spans="1:11" hidden="1">
      <c r="A248" s="16">
        <f>IF(B248="", "", DATE(2026, 9, COUNTIFS($B$2:$B248, B248)))</f>
        <v>46272</v>
      </c>
      <c r="B248" s="17" t="s">
        <v>34</v>
      </c>
      <c r="C248" s="17" t="s">
        <v>29</v>
      </c>
      <c r="D248" s="17" t="s">
        <v>30</v>
      </c>
      <c r="E248" s="17">
        <v>1842168</v>
      </c>
      <c r="F248" s="17" t="s">
        <v>14</v>
      </c>
      <c r="G248" s="17" t="s">
        <v>19</v>
      </c>
      <c r="H248" s="17"/>
      <c r="I248" s="17"/>
      <c r="J248" s="17"/>
      <c r="K248" s="17" t="str">
        <f>IF(AND(DailyCheck[[#This Row],[Required On-Site]]="Yes",DailyCheck[[#This Row],[Manager Review]]="Remote"),"Compliance Issue","")</f>
        <v/>
      </c>
    </row>
    <row r="249" spans="1:11" hidden="1">
      <c r="A249" s="16">
        <f>IF(B249="", "", DATE(2026, 9, COUNTIFS($B$2:$B249, B249)))</f>
        <v>46273</v>
      </c>
      <c r="B249" s="17" t="s">
        <v>34</v>
      </c>
      <c r="C249" s="17" t="s">
        <v>29</v>
      </c>
      <c r="D249" s="17" t="s">
        <v>30</v>
      </c>
      <c r="E249" s="17">
        <v>1842168</v>
      </c>
      <c r="F249" s="17" t="s">
        <v>16</v>
      </c>
      <c r="G249" s="20" t="s">
        <v>18</v>
      </c>
      <c r="H249" s="17"/>
      <c r="I249" s="17"/>
      <c r="J249" s="17"/>
      <c r="K249" s="17" t="str">
        <f>IF(AND(DailyCheck[[#This Row],[Required On-Site]]="Yes",DailyCheck[[#This Row],[Manager Review]]="Remote"),"Compliance Issue","")</f>
        <v/>
      </c>
    </row>
    <row r="250" spans="1:11" hidden="1">
      <c r="A250" s="16">
        <f>IF(B250="", "", DATE(2026, 9, COUNTIFS($B$2:$B250, B250)))</f>
        <v>46274</v>
      </c>
      <c r="B250" s="17" t="s">
        <v>34</v>
      </c>
      <c r="C250" s="17" t="s">
        <v>29</v>
      </c>
      <c r="D250" s="17" t="s">
        <v>30</v>
      </c>
      <c r="E250" s="17">
        <v>1842168</v>
      </c>
      <c r="F250" s="17" t="s">
        <v>16</v>
      </c>
      <c r="G250" s="20" t="s">
        <v>18</v>
      </c>
      <c r="H250" s="17"/>
      <c r="I250" s="17"/>
      <c r="J250" s="17"/>
      <c r="K250" s="17" t="str">
        <f>IF(AND(DailyCheck[[#This Row],[Required On-Site]]="Yes",DailyCheck[[#This Row],[Manager Review]]="Remote"),"Compliance Issue","")</f>
        <v/>
      </c>
    </row>
    <row r="251" spans="1:11" hidden="1">
      <c r="A251" s="16">
        <f>IF(B251="", "", DATE(2026, 9, COUNTIFS($B$2:$B251, B251)))</f>
        <v>46275</v>
      </c>
      <c r="B251" s="17" t="s">
        <v>34</v>
      </c>
      <c r="C251" s="17" t="s">
        <v>29</v>
      </c>
      <c r="D251" s="17" t="s">
        <v>30</v>
      </c>
      <c r="E251" s="17">
        <v>1842168</v>
      </c>
      <c r="F251" s="17" t="s">
        <v>16</v>
      </c>
      <c r="G251" s="17" t="s">
        <v>18</v>
      </c>
      <c r="H251" s="17"/>
      <c r="I251" s="17"/>
      <c r="J251" s="17"/>
      <c r="K251" s="17" t="str">
        <f>IF(AND(DailyCheck[[#This Row],[Required On-Site]]="Yes",DailyCheck[[#This Row],[Manager Review]]="Remote"),"Compliance Issue","")</f>
        <v/>
      </c>
    </row>
    <row r="252" spans="1:11" hidden="1">
      <c r="A252" s="16">
        <f>IF(B252="", "", DATE(2026, 9, COUNTIFS($B$2:$B252, B252)))</f>
        <v>46276</v>
      </c>
      <c r="B252" s="17" t="s">
        <v>34</v>
      </c>
      <c r="C252" s="17" t="s">
        <v>29</v>
      </c>
      <c r="D252" s="17" t="s">
        <v>30</v>
      </c>
      <c r="E252" s="17">
        <v>1842168</v>
      </c>
      <c r="F252" s="17" t="s">
        <v>14</v>
      </c>
      <c r="G252" s="17" t="s">
        <v>19</v>
      </c>
      <c r="H252" s="17"/>
      <c r="I252" s="17"/>
      <c r="J252" s="17"/>
      <c r="K252" s="17" t="str">
        <f>IF(AND(DailyCheck[[#This Row],[Required On-Site]]="Yes",DailyCheck[[#This Row],[Manager Review]]="Remote"),"Compliance Issue","")</f>
        <v/>
      </c>
    </row>
    <row r="253" spans="1:11" hidden="1">
      <c r="A253" s="16">
        <f>IF(B253="", "", DATE(2026, 9, COUNTIFS($B$2:$B253, B253)))</f>
        <v>46277</v>
      </c>
      <c r="B253" s="17" t="s">
        <v>34</v>
      </c>
      <c r="C253" s="17" t="s">
        <v>29</v>
      </c>
      <c r="D253" s="17" t="s">
        <v>30</v>
      </c>
      <c r="E253" s="17">
        <v>1842168</v>
      </c>
      <c r="F253" s="17" t="s">
        <v>14</v>
      </c>
      <c r="G253" s="17" t="s">
        <v>17</v>
      </c>
      <c r="H253" s="17"/>
      <c r="I253" s="17"/>
      <c r="J253" s="17"/>
      <c r="K253" s="17" t="str">
        <f>IF(AND(DailyCheck[[#This Row],[Required On-Site]]="Yes",DailyCheck[[#This Row],[Manager Review]]="Remote"),"Compliance Issue","")</f>
        <v/>
      </c>
    </row>
    <row r="254" spans="1:11" hidden="1">
      <c r="A254" s="16">
        <f>IF(B254="", "", DATE(2026, 9, COUNTIFS($B$2:$B254, B254)))</f>
        <v>46278</v>
      </c>
      <c r="B254" s="17" t="s">
        <v>34</v>
      </c>
      <c r="C254" s="17" t="s">
        <v>29</v>
      </c>
      <c r="D254" s="17" t="s">
        <v>30</v>
      </c>
      <c r="E254" s="17">
        <v>1842168</v>
      </c>
      <c r="F254" s="17" t="s">
        <v>14</v>
      </c>
      <c r="G254" s="17" t="s">
        <v>17</v>
      </c>
      <c r="H254" s="17"/>
      <c r="I254" s="17"/>
      <c r="J254" s="17"/>
      <c r="K254" s="17" t="str">
        <f>IF(AND(DailyCheck[[#This Row],[Required On-Site]]="Yes",DailyCheck[[#This Row],[Manager Review]]="Remote"),"Compliance Issue","")</f>
        <v/>
      </c>
    </row>
    <row r="255" spans="1:11" hidden="1">
      <c r="A255" s="16">
        <f>IF(B255="", "", DATE(2026, 9, COUNTIFS($B$2:$B255, B255)))</f>
        <v>46279</v>
      </c>
      <c r="B255" s="17" t="s">
        <v>34</v>
      </c>
      <c r="C255" s="17" t="s">
        <v>29</v>
      </c>
      <c r="D255" s="17" t="s">
        <v>30</v>
      </c>
      <c r="E255" s="17">
        <v>1842168</v>
      </c>
      <c r="F255" s="17" t="s">
        <v>14</v>
      </c>
      <c r="G255" s="17" t="s">
        <v>18</v>
      </c>
      <c r="H255" s="17"/>
      <c r="I255" s="17"/>
      <c r="J255" s="17"/>
      <c r="K255" s="17" t="str">
        <f>IF(AND(DailyCheck[[#This Row],[Required On-Site]]="Yes",DailyCheck[[#This Row],[Manager Review]]="Remote"),"Compliance Issue","")</f>
        <v/>
      </c>
    </row>
    <row r="256" spans="1:11" hidden="1">
      <c r="A256" s="16">
        <f>IF(B256="", "", DATE(2026, 9, COUNTIFS($B$2:$B256, B256)))</f>
        <v>46280</v>
      </c>
      <c r="B256" s="17" t="s">
        <v>34</v>
      </c>
      <c r="C256" s="17" t="s">
        <v>29</v>
      </c>
      <c r="D256" s="17" t="s">
        <v>30</v>
      </c>
      <c r="E256" s="17">
        <v>1842168</v>
      </c>
      <c r="F256" s="17" t="s">
        <v>16</v>
      </c>
      <c r="G256" s="20" t="s">
        <v>19</v>
      </c>
      <c r="H256" s="17" t="s">
        <v>16</v>
      </c>
      <c r="I256" s="17"/>
      <c r="J256" s="17"/>
      <c r="K256" s="17" t="str">
        <f>IF(AND(DailyCheck[[#This Row],[Required On-Site]]="Yes",DailyCheck[[#This Row],[Manager Review]]="Remote"),"Compliance Issue","")</f>
        <v>Compliance Issue</v>
      </c>
    </row>
    <row r="257" spans="1:11" hidden="1">
      <c r="A257" s="16">
        <f>IF(B257="", "", DATE(2026, 9, COUNTIFS($B$2:$B257, B257)))</f>
        <v>46281</v>
      </c>
      <c r="B257" s="17" t="s">
        <v>34</v>
      </c>
      <c r="C257" s="17" t="s">
        <v>29</v>
      </c>
      <c r="D257" s="17" t="s">
        <v>30</v>
      </c>
      <c r="E257" s="17">
        <v>1842168</v>
      </c>
      <c r="F257" s="17" t="s">
        <v>14</v>
      </c>
      <c r="G257" s="20" t="s">
        <v>26</v>
      </c>
      <c r="H257" s="17" t="s">
        <v>16</v>
      </c>
      <c r="I257" s="17"/>
      <c r="J257" s="17"/>
      <c r="K257" s="17" t="str">
        <f>IF(AND(DailyCheck[[#This Row],[Required On-Site]]="Yes",DailyCheck[[#This Row],[Manager Review]]="Remote"),"Compliance Issue","")</f>
        <v/>
      </c>
    </row>
    <row r="258" spans="1:11" hidden="1">
      <c r="A258" s="16">
        <f>IF(B258="", "", DATE(2026, 9, COUNTIFS($B$2:$B258, B258)))</f>
        <v>46282</v>
      </c>
      <c r="B258" s="17" t="s">
        <v>34</v>
      </c>
      <c r="C258" s="17" t="s">
        <v>29</v>
      </c>
      <c r="D258" s="17" t="s">
        <v>30</v>
      </c>
      <c r="E258" s="17">
        <v>1842168</v>
      </c>
      <c r="F258" s="17" t="s">
        <v>14</v>
      </c>
      <c r="G258" s="17" t="s">
        <v>26</v>
      </c>
      <c r="H258" s="17" t="s">
        <v>16</v>
      </c>
      <c r="I258" s="17"/>
      <c r="J258" s="17"/>
      <c r="K258" s="17" t="str">
        <f>IF(AND(DailyCheck[[#This Row],[Required On-Site]]="Yes",DailyCheck[[#This Row],[Manager Review]]="Remote"),"Compliance Issue","")</f>
        <v/>
      </c>
    </row>
    <row r="259" spans="1:11" hidden="1">
      <c r="A259" s="16">
        <f>IF(B259="", "", DATE(2026, 9, COUNTIFS($B$2:$B259, B259)))</f>
        <v>46283</v>
      </c>
      <c r="B259" s="17" t="s">
        <v>34</v>
      </c>
      <c r="C259" s="17" t="s">
        <v>29</v>
      </c>
      <c r="D259" s="17" t="s">
        <v>30</v>
      </c>
      <c r="E259" s="17">
        <v>1842168</v>
      </c>
      <c r="F259" s="17" t="s">
        <v>16</v>
      </c>
      <c r="G259" s="17" t="s">
        <v>26</v>
      </c>
      <c r="H259" s="17" t="s">
        <v>16</v>
      </c>
      <c r="I259" s="17"/>
      <c r="J259" s="17"/>
      <c r="K259" s="17" t="str">
        <f>IF(AND(DailyCheck[[#This Row],[Required On-Site]]="Yes",DailyCheck[[#This Row],[Manager Review]]="Remote"),"Compliance Issue","")</f>
        <v/>
      </c>
    </row>
    <row r="260" spans="1:11" hidden="1">
      <c r="A260" s="16">
        <f>IF(B260="", "", DATE(2026, 9, COUNTIFS($B$2:$B260, B260)))</f>
        <v>46284</v>
      </c>
      <c r="B260" s="17" t="s">
        <v>34</v>
      </c>
      <c r="C260" s="17" t="s">
        <v>29</v>
      </c>
      <c r="D260" s="17" t="s">
        <v>30</v>
      </c>
      <c r="E260" s="17">
        <v>1842168</v>
      </c>
      <c r="F260" s="17" t="s">
        <v>14</v>
      </c>
      <c r="G260" s="17" t="s">
        <v>17</v>
      </c>
      <c r="H260" s="17"/>
      <c r="I260" s="17"/>
      <c r="J260" s="17"/>
      <c r="K260" s="17" t="str">
        <f>IF(AND(DailyCheck[[#This Row],[Required On-Site]]="Yes",DailyCheck[[#This Row],[Manager Review]]="Remote"),"Compliance Issue","")</f>
        <v/>
      </c>
    </row>
    <row r="261" spans="1:11" hidden="1">
      <c r="A261" s="16">
        <f>IF(B261="", "", DATE(2026, 9, COUNTIFS($B$2:$B261, B261)))</f>
        <v>46285</v>
      </c>
      <c r="B261" s="17" t="s">
        <v>34</v>
      </c>
      <c r="C261" s="17" t="s">
        <v>29</v>
      </c>
      <c r="D261" s="17" t="s">
        <v>30</v>
      </c>
      <c r="E261" s="17">
        <v>1842168</v>
      </c>
      <c r="F261" s="17" t="s">
        <v>14</v>
      </c>
      <c r="G261" s="17" t="s">
        <v>17</v>
      </c>
      <c r="H261" s="17"/>
      <c r="I261" s="17"/>
      <c r="J261" s="17"/>
      <c r="K261" s="17" t="str">
        <f>IF(AND(DailyCheck[[#This Row],[Required On-Site]]="Yes",DailyCheck[[#This Row],[Manager Review]]="Remote"),"Compliance Issue","")</f>
        <v/>
      </c>
    </row>
    <row r="262" spans="1:11" hidden="1">
      <c r="A262" s="16">
        <f>IF(B262="", "", DATE(2026, 9, COUNTIFS($B$2:$B262, B262)))</f>
        <v>46286</v>
      </c>
      <c r="B262" s="17" t="s">
        <v>34</v>
      </c>
      <c r="C262" s="17" t="s">
        <v>29</v>
      </c>
      <c r="D262" s="17" t="s">
        <v>30</v>
      </c>
      <c r="E262" s="17">
        <v>1842168</v>
      </c>
      <c r="F262" s="17" t="s">
        <v>14</v>
      </c>
      <c r="G262" s="17" t="s">
        <v>26</v>
      </c>
      <c r="H262" s="17" t="s">
        <v>16</v>
      </c>
      <c r="I262" s="17"/>
      <c r="J262" s="17"/>
      <c r="K262" s="17" t="str">
        <f>IF(AND(DailyCheck[[#This Row],[Required On-Site]]="Yes",DailyCheck[[#This Row],[Manager Review]]="Remote"),"Compliance Issue","")</f>
        <v/>
      </c>
    </row>
    <row r="263" spans="1:11" hidden="1">
      <c r="A263" s="16">
        <f>IF(B263="", "", DATE(2026, 9, COUNTIFS($B$2:$B263, B263)))</f>
        <v>46287</v>
      </c>
      <c r="B263" s="17" t="s">
        <v>34</v>
      </c>
      <c r="C263" s="17" t="s">
        <v>29</v>
      </c>
      <c r="D263" s="17" t="s">
        <v>30</v>
      </c>
      <c r="E263" s="17">
        <v>1842168</v>
      </c>
      <c r="F263" s="17" t="s">
        <v>14</v>
      </c>
      <c r="G263" s="20" t="s">
        <v>26</v>
      </c>
      <c r="H263" s="17" t="s">
        <v>16</v>
      </c>
      <c r="I263" s="17"/>
      <c r="J263" s="17"/>
      <c r="K263" s="17" t="str">
        <f>IF(AND(DailyCheck[[#This Row],[Required On-Site]]="Yes",DailyCheck[[#This Row],[Manager Review]]="Remote"),"Compliance Issue","")</f>
        <v/>
      </c>
    </row>
    <row r="264" spans="1:11" hidden="1">
      <c r="A264" s="16">
        <f>IF(B264="", "", DATE(2026, 9, COUNTIFS($B$2:$B264, B264)))</f>
        <v>46288</v>
      </c>
      <c r="B264" s="17" t="s">
        <v>34</v>
      </c>
      <c r="C264" s="17" t="s">
        <v>29</v>
      </c>
      <c r="D264" s="17" t="s">
        <v>30</v>
      </c>
      <c r="E264" s="17">
        <v>1842168</v>
      </c>
      <c r="F264" s="17" t="s">
        <v>14</v>
      </c>
      <c r="G264" s="20" t="s">
        <v>26</v>
      </c>
      <c r="H264" s="17" t="s">
        <v>16</v>
      </c>
      <c r="I264" s="17"/>
      <c r="J264" s="17"/>
      <c r="K264" s="17" t="str">
        <f>IF(AND(DailyCheck[[#This Row],[Required On-Site]]="Yes",DailyCheck[[#This Row],[Manager Review]]="Remote"),"Compliance Issue","")</f>
        <v/>
      </c>
    </row>
    <row r="265" spans="1:11" hidden="1">
      <c r="A265" s="16">
        <f>IF(B265="", "", DATE(2026, 9, COUNTIFS($B$2:$B265, B265)))</f>
        <v>46289</v>
      </c>
      <c r="B265" s="17" t="s">
        <v>34</v>
      </c>
      <c r="C265" s="17" t="s">
        <v>29</v>
      </c>
      <c r="D265" s="17" t="s">
        <v>30</v>
      </c>
      <c r="E265" s="17">
        <v>1842168</v>
      </c>
      <c r="F265" s="17" t="s">
        <v>14</v>
      </c>
      <c r="G265" s="17" t="s">
        <v>26</v>
      </c>
      <c r="H265" s="17" t="s">
        <v>16</v>
      </c>
      <c r="I265" s="17"/>
      <c r="J265" s="17"/>
      <c r="K265" s="17" t="str">
        <f>IF(AND(DailyCheck[[#This Row],[Required On-Site]]="Yes",DailyCheck[[#This Row],[Manager Review]]="Remote"),"Compliance Issue","")</f>
        <v/>
      </c>
    </row>
    <row r="266" spans="1:11" hidden="1">
      <c r="A266" s="16">
        <f>IF(B266="", "", DATE(2026, 9, COUNTIFS($B$2:$B266, B266)))</f>
        <v>46290</v>
      </c>
      <c r="B266" s="17" t="s">
        <v>34</v>
      </c>
      <c r="C266" s="17" t="s">
        <v>29</v>
      </c>
      <c r="D266" s="17" t="s">
        <v>30</v>
      </c>
      <c r="E266" s="17">
        <v>1842168</v>
      </c>
      <c r="F266" s="17" t="s">
        <v>16</v>
      </c>
      <c r="G266" s="17" t="s">
        <v>26</v>
      </c>
      <c r="H266" s="17" t="s">
        <v>16</v>
      </c>
      <c r="I266" s="17"/>
      <c r="J266" s="17"/>
      <c r="K266" s="17" t="str">
        <f>IF(AND(DailyCheck[[#This Row],[Required On-Site]]="Yes",DailyCheck[[#This Row],[Manager Review]]="Remote"),"Compliance Issue","")</f>
        <v/>
      </c>
    </row>
    <row r="267" spans="1:11" hidden="1">
      <c r="A267" s="16">
        <f>IF(B267="", "", DATE(2026, 9, COUNTIFS($B$2:$B267, B267)))</f>
        <v>46291</v>
      </c>
      <c r="B267" s="17" t="s">
        <v>34</v>
      </c>
      <c r="C267" s="17" t="s">
        <v>29</v>
      </c>
      <c r="D267" s="17" t="s">
        <v>30</v>
      </c>
      <c r="E267" s="17">
        <v>1842168</v>
      </c>
      <c r="F267" s="17" t="s">
        <v>14</v>
      </c>
      <c r="G267" s="17" t="s">
        <v>17</v>
      </c>
      <c r="H267" s="17"/>
      <c r="I267" s="17"/>
      <c r="J267" s="17"/>
      <c r="K267" s="17" t="str">
        <f>IF(AND(DailyCheck[[#This Row],[Required On-Site]]="Yes",DailyCheck[[#This Row],[Manager Review]]="Remote"),"Compliance Issue","")</f>
        <v/>
      </c>
    </row>
    <row r="268" spans="1:11" hidden="1">
      <c r="A268" s="16">
        <f>IF(B268="", "", DATE(2026, 9, COUNTIFS($B$2:$B268, B268)))</f>
        <v>46292</v>
      </c>
      <c r="B268" s="17" t="s">
        <v>34</v>
      </c>
      <c r="C268" s="17" t="s">
        <v>29</v>
      </c>
      <c r="D268" s="17" t="s">
        <v>30</v>
      </c>
      <c r="E268" s="17">
        <v>1842168</v>
      </c>
      <c r="F268" s="17" t="s">
        <v>14</v>
      </c>
      <c r="G268" s="17" t="s">
        <v>17</v>
      </c>
      <c r="H268" s="17"/>
      <c r="I268" s="17"/>
      <c r="J268" s="17"/>
      <c r="K268" s="17" t="str">
        <f>IF(AND(DailyCheck[[#This Row],[Required On-Site]]="Yes",DailyCheck[[#This Row],[Manager Review]]="Remote"),"Compliance Issue","")</f>
        <v/>
      </c>
    </row>
    <row r="269" spans="1:11" hidden="1">
      <c r="A269" s="16">
        <f>IF(B269="", "", DATE(2026, 9, COUNTIFS($B$2:$B269, B269)))</f>
        <v>46293</v>
      </c>
      <c r="B269" s="17" t="s">
        <v>34</v>
      </c>
      <c r="C269" s="17" t="s">
        <v>29</v>
      </c>
      <c r="D269" s="17" t="s">
        <v>30</v>
      </c>
      <c r="E269" s="17">
        <v>1842168</v>
      </c>
      <c r="F269" s="17" t="s">
        <v>14</v>
      </c>
      <c r="G269" s="17" t="s">
        <v>26</v>
      </c>
      <c r="H269" s="17" t="s">
        <v>16</v>
      </c>
      <c r="I269" s="17"/>
      <c r="J269" s="17"/>
      <c r="K269" s="17" t="str">
        <f>IF(AND(DailyCheck[[#This Row],[Required On-Site]]="Yes",DailyCheck[[#This Row],[Manager Review]]="Remote"),"Compliance Issue","")</f>
        <v/>
      </c>
    </row>
    <row r="270" spans="1:11" hidden="1">
      <c r="A270" s="16">
        <f>IF(B270="", "", DATE(2026, 9, COUNTIFS($B$2:$B270, B270)))</f>
        <v>46294</v>
      </c>
      <c r="B270" s="17" t="s">
        <v>34</v>
      </c>
      <c r="C270" s="17" t="s">
        <v>29</v>
      </c>
      <c r="D270" s="17" t="s">
        <v>30</v>
      </c>
      <c r="E270" s="17">
        <v>1842168</v>
      </c>
      <c r="F270" s="17" t="s">
        <v>14</v>
      </c>
      <c r="G270" s="20" t="s">
        <v>26</v>
      </c>
      <c r="H270" s="17" t="s">
        <v>16</v>
      </c>
      <c r="I270" s="17"/>
      <c r="J270" s="17"/>
      <c r="K270" s="17" t="str">
        <f>IF(AND(DailyCheck[[#This Row],[Required On-Site]]="Yes",DailyCheck[[#This Row],[Manager Review]]="Remote"),"Compliance Issue","")</f>
        <v/>
      </c>
    </row>
    <row r="271" spans="1:11" hidden="1">
      <c r="A271" s="16">
        <f>IF(B271="", "", DATE(2026, 9, COUNTIFS($B$2:$B271, B271)))</f>
        <v>46295</v>
      </c>
      <c r="B271" s="17" t="s">
        <v>34</v>
      </c>
      <c r="C271" s="17" t="s">
        <v>29</v>
      </c>
      <c r="D271" s="17" t="s">
        <v>30</v>
      </c>
      <c r="E271" s="17">
        <v>1842168</v>
      </c>
      <c r="F271" s="17" t="s">
        <v>14</v>
      </c>
      <c r="G271" s="20" t="s">
        <v>19</v>
      </c>
      <c r="H271" s="17"/>
      <c r="I271" s="17"/>
      <c r="J271" s="17"/>
      <c r="K271" s="17" t="str">
        <f>IF(AND(DailyCheck[[#This Row],[Required On-Site]]="Yes",DailyCheck[[#This Row],[Manager Review]]="Remote"),"Compliance Issue","")</f>
        <v/>
      </c>
    </row>
    <row r="272" spans="1:11" hidden="1">
      <c r="A272" s="16">
        <f>IF(B272="", "", DATE(2026, 9, COUNTIFS($B$2:$B272, B272)))</f>
        <v>46266</v>
      </c>
      <c r="B272" s="17" t="s">
        <v>35</v>
      </c>
      <c r="C272" s="17" t="s">
        <v>29</v>
      </c>
      <c r="D272" s="17" t="s">
        <v>30</v>
      </c>
      <c r="E272" s="17">
        <v>30041020</v>
      </c>
      <c r="F272" s="17" t="s">
        <v>16</v>
      </c>
      <c r="G272" s="20" t="s">
        <v>18</v>
      </c>
      <c r="H272" s="17"/>
      <c r="I272" s="17"/>
      <c r="J272" s="17"/>
      <c r="K272" s="17" t="str">
        <f>IF(AND(DailyCheck[[#This Row],[Required On-Site]]="Yes",DailyCheck[[#This Row],[Manager Review]]="Remote"),"Compliance Issue","")</f>
        <v/>
      </c>
    </row>
    <row r="273" spans="1:11" hidden="1">
      <c r="A273" s="16">
        <f>IF(B273="", "", DATE(2026, 9, COUNTIFS($B$2:$B273, B273)))</f>
        <v>46267</v>
      </c>
      <c r="B273" s="17" t="s">
        <v>35</v>
      </c>
      <c r="C273" s="17" t="s">
        <v>29</v>
      </c>
      <c r="D273" s="17" t="s">
        <v>30</v>
      </c>
      <c r="E273" s="17">
        <v>30041020</v>
      </c>
      <c r="F273" s="17" t="s">
        <v>14</v>
      </c>
      <c r="G273" s="20" t="s">
        <v>19</v>
      </c>
      <c r="H273" s="17"/>
      <c r="I273" s="17"/>
      <c r="J273" s="17"/>
      <c r="K273" s="17" t="str">
        <f>IF(AND(DailyCheck[[#This Row],[Required On-Site]]="Yes",DailyCheck[[#This Row],[Manager Review]]="Remote"),"Compliance Issue","")</f>
        <v/>
      </c>
    </row>
    <row r="274" spans="1:11" hidden="1">
      <c r="A274" s="16">
        <f>IF(B274="", "", DATE(2026, 9, COUNTIFS($B$2:$B274, B274)))</f>
        <v>46268</v>
      </c>
      <c r="B274" s="17" t="s">
        <v>35</v>
      </c>
      <c r="C274" s="17" t="s">
        <v>29</v>
      </c>
      <c r="D274" s="17" t="s">
        <v>30</v>
      </c>
      <c r="E274" s="17">
        <v>30041020</v>
      </c>
      <c r="F274" s="17" t="s">
        <v>16</v>
      </c>
      <c r="G274" s="17" t="s">
        <v>18</v>
      </c>
      <c r="H274" s="17"/>
      <c r="I274" s="17"/>
      <c r="J274" s="17"/>
      <c r="K274" s="17" t="str">
        <f>IF(AND(DailyCheck[[#This Row],[Required On-Site]]="Yes",DailyCheck[[#This Row],[Manager Review]]="Remote"),"Compliance Issue","")</f>
        <v/>
      </c>
    </row>
    <row r="275" spans="1:11" hidden="1">
      <c r="A275" s="16">
        <f>IF(B275="", "", DATE(2026, 9, COUNTIFS($B$2:$B275, B275)))</f>
        <v>46269</v>
      </c>
      <c r="B275" s="17" t="s">
        <v>35</v>
      </c>
      <c r="C275" s="17" t="s">
        <v>29</v>
      </c>
      <c r="D275" s="17" t="s">
        <v>30</v>
      </c>
      <c r="E275" s="17">
        <v>30041020</v>
      </c>
      <c r="F275" s="17" t="s">
        <v>14</v>
      </c>
      <c r="G275" s="17" t="s">
        <v>19</v>
      </c>
      <c r="H275" s="17"/>
      <c r="I275" s="17"/>
      <c r="J275" s="17"/>
      <c r="K275" s="17" t="str">
        <f>IF(AND(DailyCheck[[#This Row],[Required On-Site]]="Yes",DailyCheck[[#This Row],[Manager Review]]="Remote"),"Compliance Issue","")</f>
        <v/>
      </c>
    </row>
    <row r="276" spans="1:11" hidden="1">
      <c r="A276" s="16">
        <f>IF(B276="", "", DATE(2026, 9, COUNTIFS($B$2:$B276, B276)))</f>
        <v>46270</v>
      </c>
      <c r="B276" s="17" t="s">
        <v>35</v>
      </c>
      <c r="C276" s="17" t="s">
        <v>29</v>
      </c>
      <c r="D276" s="17" t="s">
        <v>30</v>
      </c>
      <c r="E276" s="17">
        <v>30041020</v>
      </c>
      <c r="F276" s="17" t="s">
        <v>14</v>
      </c>
      <c r="G276" s="17" t="s">
        <v>17</v>
      </c>
      <c r="H276" s="17"/>
      <c r="I276" s="17"/>
      <c r="J276" s="17"/>
      <c r="K276" s="17" t="str">
        <f>IF(AND(DailyCheck[[#This Row],[Required On-Site]]="Yes",DailyCheck[[#This Row],[Manager Review]]="Remote"),"Compliance Issue","")</f>
        <v/>
      </c>
    </row>
    <row r="277" spans="1:11" hidden="1">
      <c r="A277" s="16">
        <f>IF(B277="", "", DATE(2026, 9, COUNTIFS($B$2:$B277, B277)))</f>
        <v>46271</v>
      </c>
      <c r="B277" s="17" t="s">
        <v>35</v>
      </c>
      <c r="C277" s="17" t="s">
        <v>29</v>
      </c>
      <c r="D277" s="17" t="s">
        <v>30</v>
      </c>
      <c r="E277" s="17">
        <v>30041020</v>
      </c>
      <c r="F277" s="17" t="s">
        <v>14</v>
      </c>
      <c r="G277" s="17" t="s">
        <v>17</v>
      </c>
      <c r="H277" s="17"/>
      <c r="I277" s="17"/>
      <c r="J277" s="17"/>
      <c r="K277" s="17" t="str">
        <f>IF(AND(DailyCheck[[#This Row],[Required On-Site]]="Yes",DailyCheck[[#This Row],[Manager Review]]="Remote"),"Compliance Issue","")</f>
        <v/>
      </c>
    </row>
    <row r="278" spans="1:11" hidden="1">
      <c r="A278" s="16">
        <f>IF(B278="", "", DATE(2026, 9, COUNTIFS($B$2:$B278, B278)))</f>
        <v>46272</v>
      </c>
      <c r="B278" s="17" t="s">
        <v>35</v>
      </c>
      <c r="C278" s="17" t="s">
        <v>29</v>
      </c>
      <c r="D278" s="17" t="s">
        <v>30</v>
      </c>
      <c r="E278" s="17">
        <v>30041020</v>
      </c>
      <c r="F278" s="17" t="s">
        <v>16</v>
      </c>
      <c r="G278" s="17" t="s">
        <v>18</v>
      </c>
      <c r="H278" s="17"/>
      <c r="I278" s="17"/>
      <c r="J278" s="17"/>
      <c r="K278" s="17" t="str">
        <f>IF(AND(DailyCheck[[#This Row],[Required On-Site]]="Yes",DailyCheck[[#This Row],[Manager Review]]="Remote"),"Compliance Issue","")</f>
        <v/>
      </c>
    </row>
    <row r="279" spans="1:11" hidden="1">
      <c r="A279" s="16">
        <f>IF(B279="", "", DATE(2026, 9, COUNTIFS($B$2:$B279, B279)))</f>
        <v>46273</v>
      </c>
      <c r="B279" s="17" t="s">
        <v>35</v>
      </c>
      <c r="C279" s="17" t="s">
        <v>29</v>
      </c>
      <c r="D279" s="17" t="s">
        <v>30</v>
      </c>
      <c r="E279" s="17">
        <v>30041020</v>
      </c>
      <c r="F279" s="17" t="s">
        <v>16</v>
      </c>
      <c r="G279" s="20" t="s">
        <v>18</v>
      </c>
      <c r="H279" s="17"/>
      <c r="I279" s="17"/>
      <c r="J279" s="17"/>
      <c r="K279" s="17" t="str">
        <f>IF(AND(DailyCheck[[#This Row],[Required On-Site]]="Yes",DailyCheck[[#This Row],[Manager Review]]="Remote"),"Compliance Issue","")</f>
        <v/>
      </c>
    </row>
    <row r="280" spans="1:11" hidden="1">
      <c r="A280" s="16">
        <f>IF(B280="", "", DATE(2026, 9, COUNTIFS($B$2:$B280, B280)))</f>
        <v>46274</v>
      </c>
      <c r="B280" s="17" t="s">
        <v>35</v>
      </c>
      <c r="C280" s="17" t="s">
        <v>29</v>
      </c>
      <c r="D280" s="17" t="s">
        <v>30</v>
      </c>
      <c r="E280" s="17">
        <v>30041020</v>
      </c>
      <c r="F280" s="17" t="s">
        <v>14</v>
      </c>
      <c r="G280" s="20" t="s">
        <v>19</v>
      </c>
      <c r="H280" s="17"/>
      <c r="I280" s="17"/>
      <c r="J280" s="17"/>
      <c r="K280" s="17" t="str">
        <f>IF(AND(DailyCheck[[#This Row],[Required On-Site]]="Yes",DailyCheck[[#This Row],[Manager Review]]="Remote"),"Compliance Issue","")</f>
        <v/>
      </c>
    </row>
    <row r="281" spans="1:11" hidden="1">
      <c r="A281" s="16">
        <f>IF(B281="", "", DATE(2026, 9, COUNTIFS($B$2:$B281, B281)))</f>
        <v>46275</v>
      </c>
      <c r="B281" s="17" t="s">
        <v>35</v>
      </c>
      <c r="C281" s="17" t="s">
        <v>29</v>
      </c>
      <c r="D281" s="17" t="s">
        <v>30</v>
      </c>
      <c r="E281" s="17">
        <v>30041020</v>
      </c>
      <c r="F281" s="17" t="s">
        <v>16</v>
      </c>
      <c r="G281" s="17" t="s">
        <v>18</v>
      </c>
      <c r="H281" s="17"/>
      <c r="I281" s="17"/>
      <c r="J281" s="17"/>
      <c r="K281" s="17" t="str">
        <f>IF(AND(DailyCheck[[#This Row],[Required On-Site]]="Yes",DailyCheck[[#This Row],[Manager Review]]="Remote"),"Compliance Issue","")</f>
        <v/>
      </c>
    </row>
    <row r="282" spans="1:11" hidden="1">
      <c r="A282" s="16">
        <f>IF(B282="", "", DATE(2026, 9, COUNTIFS($B$2:$B282, B282)))</f>
        <v>46276</v>
      </c>
      <c r="B282" s="17" t="s">
        <v>35</v>
      </c>
      <c r="C282" s="17" t="s">
        <v>29</v>
      </c>
      <c r="D282" s="17" t="s">
        <v>30</v>
      </c>
      <c r="E282" s="17">
        <v>30041020</v>
      </c>
      <c r="F282" s="17" t="s">
        <v>14</v>
      </c>
      <c r="G282" s="17" t="s">
        <v>19</v>
      </c>
      <c r="H282" s="17"/>
      <c r="I282" s="17"/>
      <c r="J282" s="17"/>
      <c r="K282" s="17" t="str">
        <f>IF(AND(DailyCheck[[#This Row],[Required On-Site]]="Yes",DailyCheck[[#This Row],[Manager Review]]="Remote"),"Compliance Issue","")</f>
        <v/>
      </c>
    </row>
    <row r="283" spans="1:11" hidden="1">
      <c r="A283" s="16">
        <f>IF(B283="", "", DATE(2026, 9, COUNTIFS($B$2:$B283, B283)))</f>
        <v>46277</v>
      </c>
      <c r="B283" s="17" t="s">
        <v>35</v>
      </c>
      <c r="C283" s="17" t="s">
        <v>29</v>
      </c>
      <c r="D283" s="17" t="s">
        <v>30</v>
      </c>
      <c r="E283" s="17">
        <v>30041020</v>
      </c>
      <c r="F283" s="17" t="s">
        <v>14</v>
      </c>
      <c r="G283" s="17" t="s">
        <v>17</v>
      </c>
      <c r="H283" s="17"/>
      <c r="I283" s="17"/>
      <c r="J283" s="17"/>
      <c r="K283" s="17" t="str">
        <f>IF(AND(DailyCheck[[#This Row],[Required On-Site]]="Yes",DailyCheck[[#This Row],[Manager Review]]="Remote"),"Compliance Issue","")</f>
        <v/>
      </c>
    </row>
    <row r="284" spans="1:11" hidden="1">
      <c r="A284" s="16">
        <f>IF(B284="", "", DATE(2026, 9, COUNTIFS($B$2:$B284, B284)))</f>
        <v>46278</v>
      </c>
      <c r="B284" s="17" t="s">
        <v>35</v>
      </c>
      <c r="C284" s="17" t="s">
        <v>29</v>
      </c>
      <c r="D284" s="17" t="s">
        <v>30</v>
      </c>
      <c r="E284" s="17">
        <v>30041020</v>
      </c>
      <c r="F284" s="17" t="s">
        <v>14</v>
      </c>
      <c r="G284" s="17" t="s">
        <v>17</v>
      </c>
      <c r="H284" s="17"/>
      <c r="I284" s="17"/>
      <c r="J284" s="17"/>
      <c r="K284" s="17" t="str">
        <f>IF(AND(DailyCheck[[#This Row],[Required On-Site]]="Yes",DailyCheck[[#This Row],[Manager Review]]="Remote"),"Compliance Issue","")</f>
        <v/>
      </c>
    </row>
    <row r="285" spans="1:11" hidden="1">
      <c r="A285" s="16">
        <f>IF(B285="", "", DATE(2026, 9, COUNTIFS($B$2:$B285, B285)))</f>
        <v>46279</v>
      </c>
      <c r="B285" s="17" t="s">
        <v>35</v>
      </c>
      <c r="C285" s="17" t="s">
        <v>29</v>
      </c>
      <c r="D285" s="17" t="s">
        <v>30</v>
      </c>
      <c r="E285" s="17">
        <v>30041020</v>
      </c>
      <c r="F285" s="17" t="s">
        <v>16</v>
      </c>
      <c r="G285" s="17" t="s">
        <v>18</v>
      </c>
      <c r="H285" s="17"/>
      <c r="I285" s="17"/>
      <c r="J285" s="17"/>
      <c r="K285" s="17" t="str">
        <f>IF(AND(DailyCheck[[#This Row],[Required On-Site]]="Yes",DailyCheck[[#This Row],[Manager Review]]="Remote"),"Compliance Issue","")</f>
        <v/>
      </c>
    </row>
    <row r="286" spans="1:11" hidden="1">
      <c r="A286" s="16">
        <f>IF(B286="", "", DATE(2026, 9, COUNTIFS($B$2:$B286, B286)))</f>
        <v>46280</v>
      </c>
      <c r="B286" s="17" t="s">
        <v>35</v>
      </c>
      <c r="C286" s="17" t="s">
        <v>29</v>
      </c>
      <c r="D286" s="17" t="s">
        <v>30</v>
      </c>
      <c r="E286" s="17">
        <v>30041020</v>
      </c>
      <c r="F286" s="17" t="s">
        <v>16</v>
      </c>
      <c r="G286" s="20" t="s">
        <v>18</v>
      </c>
      <c r="H286" s="17"/>
      <c r="I286" s="17"/>
      <c r="J286" s="17"/>
      <c r="K286" s="17" t="str">
        <f>IF(AND(DailyCheck[[#This Row],[Required On-Site]]="Yes",DailyCheck[[#This Row],[Manager Review]]="Remote"),"Compliance Issue","")</f>
        <v/>
      </c>
    </row>
    <row r="287" spans="1:11" hidden="1">
      <c r="A287" s="16">
        <f>IF(B287="", "", DATE(2026, 9, COUNTIFS($B$2:$B287, B287)))</f>
        <v>46281</v>
      </c>
      <c r="B287" s="17" t="s">
        <v>35</v>
      </c>
      <c r="C287" s="17" t="s">
        <v>29</v>
      </c>
      <c r="D287" s="17" t="s">
        <v>30</v>
      </c>
      <c r="E287" s="17">
        <v>30041020</v>
      </c>
      <c r="F287" s="17" t="s">
        <v>14</v>
      </c>
      <c r="G287" s="20" t="s">
        <v>19</v>
      </c>
      <c r="H287" s="17"/>
      <c r="I287" s="17"/>
      <c r="J287" s="17"/>
      <c r="K287" s="17" t="str">
        <f>IF(AND(DailyCheck[[#This Row],[Required On-Site]]="Yes",DailyCheck[[#This Row],[Manager Review]]="Remote"),"Compliance Issue","")</f>
        <v/>
      </c>
    </row>
    <row r="288" spans="1:11" hidden="1">
      <c r="A288" s="16">
        <f>IF(B288="", "", DATE(2026, 9, COUNTIFS($B$2:$B288, B288)))</f>
        <v>46282</v>
      </c>
      <c r="B288" s="17" t="s">
        <v>35</v>
      </c>
      <c r="C288" s="17" t="s">
        <v>29</v>
      </c>
      <c r="D288" s="17" t="s">
        <v>30</v>
      </c>
      <c r="E288" s="17">
        <v>30041020</v>
      </c>
      <c r="F288" s="17" t="s">
        <v>16</v>
      </c>
      <c r="G288" s="17" t="s">
        <v>18</v>
      </c>
      <c r="H288" s="17"/>
      <c r="I288" s="17"/>
      <c r="J288" s="17"/>
      <c r="K288" s="17" t="str">
        <f>IF(AND(DailyCheck[[#This Row],[Required On-Site]]="Yes",DailyCheck[[#This Row],[Manager Review]]="Remote"),"Compliance Issue","")</f>
        <v/>
      </c>
    </row>
    <row r="289" spans="1:11" hidden="1">
      <c r="A289" s="16">
        <f>IF(B289="", "", DATE(2026, 9, COUNTIFS($B$2:$B289, B289)))</f>
        <v>46283</v>
      </c>
      <c r="B289" s="17" t="s">
        <v>35</v>
      </c>
      <c r="C289" s="17" t="s">
        <v>29</v>
      </c>
      <c r="D289" s="17" t="s">
        <v>30</v>
      </c>
      <c r="E289" s="17">
        <v>30041020</v>
      </c>
      <c r="F289" s="17" t="s">
        <v>14</v>
      </c>
      <c r="G289" s="17" t="s">
        <v>15</v>
      </c>
      <c r="H289" s="17" t="s">
        <v>16</v>
      </c>
      <c r="I289" s="17"/>
      <c r="J289" s="17"/>
      <c r="K289" s="17" t="str">
        <f>IF(AND(DailyCheck[[#This Row],[Required On-Site]]="Yes",DailyCheck[[#This Row],[Manager Review]]="Remote"),"Compliance Issue","")</f>
        <v/>
      </c>
    </row>
    <row r="290" spans="1:11" hidden="1">
      <c r="A290" s="16">
        <f>IF(B290="", "", DATE(2026, 9, COUNTIFS($B$2:$B290, B290)))</f>
        <v>46284</v>
      </c>
      <c r="B290" s="17" t="s">
        <v>35</v>
      </c>
      <c r="C290" s="17" t="s">
        <v>29</v>
      </c>
      <c r="D290" s="17" t="s">
        <v>30</v>
      </c>
      <c r="E290" s="17">
        <v>30041020</v>
      </c>
      <c r="F290" s="17" t="s">
        <v>14</v>
      </c>
      <c r="G290" s="17" t="s">
        <v>17</v>
      </c>
      <c r="H290" s="17"/>
      <c r="I290" s="17"/>
      <c r="J290" s="17"/>
      <c r="K290" s="17" t="str">
        <f>IF(AND(DailyCheck[[#This Row],[Required On-Site]]="Yes",DailyCheck[[#This Row],[Manager Review]]="Remote"),"Compliance Issue","")</f>
        <v/>
      </c>
    </row>
    <row r="291" spans="1:11" hidden="1">
      <c r="A291" s="16">
        <f>IF(B291="", "", DATE(2026, 9, COUNTIFS($B$2:$B291, B291)))</f>
        <v>46285</v>
      </c>
      <c r="B291" s="17" t="s">
        <v>35</v>
      </c>
      <c r="C291" s="17" t="s">
        <v>29</v>
      </c>
      <c r="D291" s="17" t="s">
        <v>30</v>
      </c>
      <c r="E291" s="17">
        <v>30041020</v>
      </c>
      <c r="F291" s="17" t="s">
        <v>14</v>
      </c>
      <c r="G291" s="17" t="s">
        <v>17</v>
      </c>
      <c r="H291" s="17"/>
      <c r="I291" s="17"/>
      <c r="J291" s="17"/>
      <c r="K291" s="17" t="str">
        <f>IF(AND(DailyCheck[[#This Row],[Required On-Site]]="Yes",DailyCheck[[#This Row],[Manager Review]]="Remote"),"Compliance Issue","")</f>
        <v/>
      </c>
    </row>
    <row r="292" spans="1:11" hidden="1">
      <c r="A292" s="16">
        <f>IF(B292="", "", DATE(2026, 9, COUNTIFS($B$2:$B292, B292)))</f>
        <v>46286</v>
      </c>
      <c r="B292" s="17" t="s">
        <v>35</v>
      </c>
      <c r="C292" s="17" t="s">
        <v>29</v>
      </c>
      <c r="D292" s="17" t="s">
        <v>30</v>
      </c>
      <c r="E292" s="17">
        <v>30041020</v>
      </c>
      <c r="F292" s="17" t="s">
        <v>16</v>
      </c>
      <c r="G292" s="17" t="s">
        <v>27</v>
      </c>
      <c r="H292" s="17" t="s">
        <v>16</v>
      </c>
      <c r="I292" s="17"/>
      <c r="J292" s="17"/>
      <c r="K292" s="17" t="str">
        <f>IF(AND(DailyCheck[[#This Row],[Required On-Site]]="Yes",DailyCheck[[#This Row],[Manager Review]]="Remote"),"Compliance Issue","")</f>
        <v/>
      </c>
    </row>
    <row r="293" spans="1:11" hidden="1">
      <c r="A293" s="16">
        <f>IF(B293="", "", DATE(2026, 9, COUNTIFS($B$2:$B293, B293)))</f>
        <v>46287</v>
      </c>
      <c r="B293" s="17" t="s">
        <v>35</v>
      </c>
      <c r="C293" s="17" t="s">
        <v>29</v>
      </c>
      <c r="D293" s="17" t="s">
        <v>30</v>
      </c>
      <c r="E293" s="17">
        <v>30041020</v>
      </c>
      <c r="F293" s="17" t="s">
        <v>16</v>
      </c>
      <c r="G293" s="20" t="s">
        <v>15</v>
      </c>
      <c r="H293" s="17" t="s">
        <v>16</v>
      </c>
      <c r="I293" s="17"/>
      <c r="J293" s="17"/>
      <c r="K293" s="17" t="str">
        <f>IF(AND(DailyCheck[[#This Row],[Required On-Site]]="Yes",DailyCheck[[#This Row],[Manager Review]]="Remote"),"Compliance Issue","")</f>
        <v/>
      </c>
    </row>
    <row r="294" spans="1:11" hidden="1">
      <c r="A294" s="16">
        <f>IF(B294="", "", DATE(2026, 9, COUNTIFS($B$2:$B294, B294)))</f>
        <v>46288</v>
      </c>
      <c r="B294" s="17" t="s">
        <v>35</v>
      </c>
      <c r="C294" s="17" t="s">
        <v>29</v>
      </c>
      <c r="D294" s="17" t="s">
        <v>30</v>
      </c>
      <c r="E294" s="17">
        <v>30041020</v>
      </c>
      <c r="F294" s="17" t="s">
        <v>14</v>
      </c>
      <c r="G294" s="20" t="s">
        <v>15</v>
      </c>
      <c r="H294" s="17" t="s">
        <v>16</v>
      </c>
      <c r="I294" s="17"/>
      <c r="J294" s="17"/>
      <c r="K294" s="17" t="str">
        <f>IF(AND(DailyCheck[[#This Row],[Required On-Site]]="Yes",DailyCheck[[#This Row],[Manager Review]]="Remote"),"Compliance Issue","")</f>
        <v/>
      </c>
    </row>
    <row r="295" spans="1:11" hidden="1">
      <c r="A295" s="16">
        <f>IF(B295="", "", DATE(2026, 9, COUNTIFS($B$2:$B295, B295)))</f>
        <v>46289</v>
      </c>
      <c r="B295" s="17" t="s">
        <v>35</v>
      </c>
      <c r="C295" s="17" t="s">
        <v>29</v>
      </c>
      <c r="D295" s="17" t="s">
        <v>30</v>
      </c>
      <c r="E295" s="17">
        <v>30041020</v>
      </c>
      <c r="F295" s="17" t="s">
        <v>16</v>
      </c>
      <c r="G295" s="17" t="s">
        <v>15</v>
      </c>
      <c r="H295" s="17" t="s">
        <v>16</v>
      </c>
      <c r="I295" s="17"/>
      <c r="J295" s="17"/>
      <c r="K295" s="17" t="str">
        <f>IF(AND(DailyCheck[[#This Row],[Required On-Site]]="Yes",DailyCheck[[#This Row],[Manager Review]]="Remote"),"Compliance Issue","")</f>
        <v/>
      </c>
    </row>
    <row r="296" spans="1:11" hidden="1">
      <c r="A296" s="16">
        <f>IF(B296="", "", DATE(2026, 9, COUNTIFS($B$2:$B296, B296)))</f>
        <v>46290</v>
      </c>
      <c r="B296" s="17" t="s">
        <v>35</v>
      </c>
      <c r="C296" s="17" t="s">
        <v>29</v>
      </c>
      <c r="D296" s="17" t="s">
        <v>30</v>
      </c>
      <c r="E296" s="17">
        <v>30041020</v>
      </c>
      <c r="F296" s="17" t="s">
        <v>14</v>
      </c>
      <c r="G296" s="17" t="s">
        <v>15</v>
      </c>
      <c r="H296" s="17" t="s">
        <v>16</v>
      </c>
      <c r="I296" s="17"/>
      <c r="J296" s="17"/>
      <c r="K296" s="17" t="str">
        <f>IF(AND(DailyCheck[[#This Row],[Required On-Site]]="Yes",DailyCheck[[#This Row],[Manager Review]]="Remote"),"Compliance Issue","")</f>
        <v/>
      </c>
    </row>
    <row r="297" spans="1:11" hidden="1">
      <c r="A297" s="16">
        <f>IF(B297="", "", DATE(2026, 9, COUNTIFS($B$2:$B297, B297)))</f>
        <v>46291</v>
      </c>
      <c r="B297" s="17" t="s">
        <v>35</v>
      </c>
      <c r="C297" s="17" t="s">
        <v>29</v>
      </c>
      <c r="D297" s="17" t="s">
        <v>30</v>
      </c>
      <c r="E297" s="17">
        <v>30041020</v>
      </c>
      <c r="F297" s="17" t="s">
        <v>14</v>
      </c>
      <c r="G297" s="17" t="s">
        <v>17</v>
      </c>
      <c r="H297" s="17"/>
      <c r="I297" s="17"/>
      <c r="J297" s="17"/>
      <c r="K297" s="17" t="str">
        <f>IF(AND(DailyCheck[[#This Row],[Required On-Site]]="Yes",DailyCheck[[#This Row],[Manager Review]]="Remote"),"Compliance Issue","")</f>
        <v/>
      </c>
    </row>
    <row r="298" spans="1:11" hidden="1">
      <c r="A298" s="16">
        <f>IF(B298="", "", DATE(2026, 9, COUNTIFS($B$2:$B298, B298)))</f>
        <v>46292</v>
      </c>
      <c r="B298" s="17" t="s">
        <v>35</v>
      </c>
      <c r="C298" s="17" t="s">
        <v>29</v>
      </c>
      <c r="D298" s="17" t="s">
        <v>30</v>
      </c>
      <c r="E298" s="17">
        <v>30041020</v>
      </c>
      <c r="F298" s="17" t="s">
        <v>14</v>
      </c>
      <c r="G298" s="17" t="s">
        <v>17</v>
      </c>
      <c r="H298" s="17"/>
      <c r="I298" s="17"/>
      <c r="J298" s="17"/>
      <c r="K298" s="17" t="str">
        <f>IF(AND(DailyCheck[[#This Row],[Required On-Site]]="Yes",DailyCheck[[#This Row],[Manager Review]]="Remote"),"Compliance Issue","")</f>
        <v/>
      </c>
    </row>
    <row r="299" spans="1:11" hidden="1">
      <c r="A299" s="16">
        <f>IF(B299="", "", DATE(2026, 9, COUNTIFS($B$2:$B299, B299)))</f>
        <v>46293</v>
      </c>
      <c r="B299" s="17" t="s">
        <v>35</v>
      </c>
      <c r="C299" s="17" t="s">
        <v>29</v>
      </c>
      <c r="D299" s="17" t="s">
        <v>30</v>
      </c>
      <c r="E299" s="17">
        <v>30041020</v>
      </c>
      <c r="F299" s="17" t="s">
        <v>16</v>
      </c>
      <c r="G299" s="17" t="s">
        <v>18</v>
      </c>
      <c r="H299" s="17"/>
      <c r="I299" s="17"/>
      <c r="J299" s="17"/>
      <c r="K299" s="17" t="str">
        <f>IF(AND(DailyCheck[[#This Row],[Required On-Site]]="Yes",DailyCheck[[#This Row],[Manager Review]]="Remote"),"Compliance Issue","")</f>
        <v/>
      </c>
    </row>
    <row r="300" spans="1:11" hidden="1">
      <c r="A300" s="16">
        <f>IF(B300="", "", DATE(2026, 9, COUNTIFS($B$2:$B300, B300)))</f>
        <v>46294</v>
      </c>
      <c r="B300" s="17" t="s">
        <v>35</v>
      </c>
      <c r="C300" s="17" t="s">
        <v>29</v>
      </c>
      <c r="D300" s="17" t="s">
        <v>30</v>
      </c>
      <c r="E300" s="17">
        <v>30041020</v>
      </c>
      <c r="F300" s="17" t="s">
        <v>16</v>
      </c>
      <c r="G300" s="20" t="s">
        <v>19</v>
      </c>
      <c r="H300" s="17" t="s">
        <v>16</v>
      </c>
      <c r="I300" s="17"/>
      <c r="J300" s="17"/>
      <c r="K300" s="17" t="str">
        <f>IF(AND(DailyCheck[[#This Row],[Required On-Site]]="Yes",DailyCheck[[#This Row],[Manager Review]]="Remote"),"Compliance Issue","")</f>
        <v>Compliance Issue</v>
      </c>
    </row>
    <row r="301" spans="1:11" hidden="1">
      <c r="A301" s="16">
        <f>IF(B301="", "", DATE(2026, 9, COUNTIFS($B$2:$B301, B301)))</f>
        <v>46295</v>
      </c>
      <c r="B301" s="17" t="s">
        <v>35</v>
      </c>
      <c r="C301" s="17" t="s">
        <v>29</v>
      </c>
      <c r="D301" s="17" t="s">
        <v>30</v>
      </c>
      <c r="E301" s="17">
        <v>30041020</v>
      </c>
      <c r="F301" s="17" t="s">
        <v>14</v>
      </c>
      <c r="G301" s="20" t="s">
        <v>19</v>
      </c>
      <c r="H301" s="17"/>
      <c r="I301" s="17"/>
      <c r="J301" s="17"/>
      <c r="K301" s="17" t="str">
        <f>IF(AND(DailyCheck[[#This Row],[Required On-Site]]="Yes",DailyCheck[[#This Row],[Manager Review]]="Remote"),"Compliance Issue","")</f>
        <v/>
      </c>
    </row>
    <row r="302" spans="1:11" hidden="1">
      <c r="A302" s="16">
        <f>IF(B302="", "", DATE(2026, 9, COUNTIFS($B$2:$B302, B302)))</f>
        <v>46266</v>
      </c>
      <c r="B302" s="17" t="s">
        <v>36</v>
      </c>
      <c r="C302" s="17" t="s">
        <v>29</v>
      </c>
      <c r="D302" s="17" t="s">
        <v>30</v>
      </c>
      <c r="E302" s="17">
        <v>30041021</v>
      </c>
      <c r="F302" s="17" t="s">
        <v>14</v>
      </c>
      <c r="G302" s="20" t="s">
        <v>26</v>
      </c>
      <c r="H302" s="17" t="s">
        <v>16</v>
      </c>
      <c r="I302" s="17"/>
      <c r="J302" s="17"/>
      <c r="K302" s="17" t="str">
        <f>IF(AND(DailyCheck[[#This Row],[Required On-Site]]="Yes",DailyCheck[[#This Row],[Manager Review]]="Remote"),"Compliance Issue","")</f>
        <v/>
      </c>
    </row>
    <row r="303" spans="1:11" hidden="1">
      <c r="A303" s="16">
        <f>IF(B303="", "", DATE(2026, 9, COUNTIFS($B$2:$B303, B303)))</f>
        <v>46267</v>
      </c>
      <c r="B303" s="17" t="s">
        <v>36</v>
      </c>
      <c r="C303" s="17" t="s">
        <v>29</v>
      </c>
      <c r="D303" s="17" t="s">
        <v>30</v>
      </c>
      <c r="E303" s="17">
        <v>30041021</v>
      </c>
      <c r="F303" s="17" t="s">
        <v>14</v>
      </c>
      <c r="G303" s="20" t="s">
        <v>26</v>
      </c>
      <c r="H303" s="17" t="s">
        <v>16</v>
      </c>
      <c r="I303" s="17"/>
      <c r="J303" s="17"/>
      <c r="K303" s="17" t="str">
        <f>IF(AND(DailyCheck[[#This Row],[Required On-Site]]="Yes",DailyCheck[[#This Row],[Manager Review]]="Remote"),"Compliance Issue","")</f>
        <v/>
      </c>
    </row>
    <row r="304" spans="1:11" hidden="1">
      <c r="A304" s="16">
        <f>IF(B304="", "", DATE(2026, 9, COUNTIFS($B$2:$B304, B304)))</f>
        <v>46268</v>
      </c>
      <c r="B304" s="17" t="s">
        <v>36</v>
      </c>
      <c r="C304" s="17" t="s">
        <v>29</v>
      </c>
      <c r="D304" s="17" t="s">
        <v>30</v>
      </c>
      <c r="E304" s="17">
        <v>30041021</v>
      </c>
      <c r="F304" s="17" t="s">
        <v>16</v>
      </c>
      <c r="G304" s="17" t="s">
        <v>26</v>
      </c>
      <c r="H304" s="17" t="s">
        <v>16</v>
      </c>
      <c r="I304" s="17"/>
      <c r="J304" s="17"/>
      <c r="K304" s="17" t="str">
        <f>IF(AND(DailyCheck[[#This Row],[Required On-Site]]="Yes",DailyCheck[[#This Row],[Manager Review]]="Remote"),"Compliance Issue","")</f>
        <v/>
      </c>
    </row>
    <row r="305" spans="1:11" hidden="1">
      <c r="A305" s="16">
        <f>IF(B305="", "", DATE(2026, 9, COUNTIFS($B$2:$B305, B305)))</f>
        <v>46269</v>
      </c>
      <c r="B305" s="17" t="s">
        <v>36</v>
      </c>
      <c r="C305" s="17" t="s">
        <v>29</v>
      </c>
      <c r="D305" s="17" t="s">
        <v>30</v>
      </c>
      <c r="E305" s="17">
        <v>30041021</v>
      </c>
      <c r="F305" s="17" t="s">
        <v>14</v>
      </c>
      <c r="G305" s="17" t="s">
        <v>19</v>
      </c>
      <c r="H305" s="17"/>
      <c r="I305" s="17"/>
      <c r="J305" s="17"/>
      <c r="K305" s="17" t="str">
        <f>IF(AND(DailyCheck[[#This Row],[Required On-Site]]="Yes",DailyCheck[[#This Row],[Manager Review]]="Remote"),"Compliance Issue","")</f>
        <v/>
      </c>
    </row>
    <row r="306" spans="1:11" hidden="1">
      <c r="A306" s="16">
        <f>IF(B306="", "", DATE(2026, 9, COUNTIFS($B$2:$B306, B306)))</f>
        <v>46270</v>
      </c>
      <c r="B306" s="17" t="s">
        <v>36</v>
      </c>
      <c r="C306" s="17" t="s">
        <v>29</v>
      </c>
      <c r="D306" s="17" t="s">
        <v>30</v>
      </c>
      <c r="E306" s="17">
        <v>30041021</v>
      </c>
      <c r="F306" s="17" t="s">
        <v>14</v>
      </c>
      <c r="G306" s="17" t="s">
        <v>17</v>
      </c>
      <c r="H306" s="17"/>
      <c r="I306" s="17"/>
      <c r="J306" s="17"/>
      <c r="K306" s="17" t="str">
        <f>IF(AND(DailyCheck[[#This Row],[Required On-Site]]="Yes",DailyCheck[[#This Row],[Manager Review]]="Remote"),"Compliance Issue","")</f>
        <v/>
      </c>
    </row>
    <row r="307" spans="1:11" hidden="1">
      <c r="A307" s="16">
        <f>IF(B307="", "", DATE(2026, 9, COUNTIFS($B$2:$B307, B307)))</f>
        <v>46271</v>
      </c>
      <c r="B307" s="17" t="s">
        <v>36</v>
      </c>
      <c r="C307" s="17" t="s">
        <v>29</v>
      </c>
      <c r="D307" s="17" t="s">
        <v>30</v>
      </c>
      <c r="E307" s="17">
        <v>30041021</v>
      </c>
      <c r="F307" s="17" t="s">
        <v>14</v>
      </c>
      <c r="G307" s="17" t="s">
        <v>17</v>
      </c>
      <c r="H307" s="17"/>
      <c r="I307" s="17"/>
      <c r="J307" s="17"/>
      <c r="K307" s="17" t="str">
        <f>IF(AND(DailyCheck[[#This Row],[Required On-Site]]="Yes",DailyCheck[[#This Row],[Manager Review]]="Remote"),"Compliance Issue","")</f>
        <v/>
      </c>
    </row>
    <row r="308" spans="1:11" hidden="1">
      <c r="A308" s="16">
        <f>IF(B308="", "", DATE(2026, 9, COUNTIFS($B$2:$B308, B308)))</f>
        <v>46272</v>
      </c>
      <c r="B308" s="17" t="s">
        <v>36</v>
      </c>
      <c r="C308" s="17" t="s">
        <v>29</v>
      </c>
      <c r="D308" s="17" t="s">
        <v>30</v>
      </c>
      <c r="E308" s="17">
        <v>30041021</v>
      </c>
      <c r="F308" s="17" t="s">
        <v>16</v>
      </c>
      <c r="G308" s="17" t="s">
        <v>18</v>
      </c>
      <c r="H308" s="17"/>
      <c r="I308" s="17"/>
      <c r="J308" s="17"/>
      <c r="K308" s="17" t="str">
        <f>IF(AND(DailyCheck[[#This Row],[Required On-Site]]="Yes",DailyCheck[[#This Row],[Manager Review]]="Remote"),"Compliance Issue","")</f>
        <v/>
      </c>
    </row>
    <row r="309" spans="1:11" hidden="1">
      <c r="A309" s="16">
        <f>IF(B309="", "", DATE(2026, 9, COUNTIFS($B$2:$B309, B309)))</f>
        <v>46273</v>
      </c>
      <c r="B309" s="17" t="s">
        <v>36</v>
      </c>
      <c r="C309" s="17" t="s">
        <v>29</v>
      </c>
      <c r="D309" s="17" t="s">
        <v>30</v>
      </c>
      <c r="E309" s="17">
        <v>30041021</v>
      </c>
      <c r="F309" s="17" t="s">
        <v>14</v>
      </c>
      <c r="G309" s="20" t="s">
        <v>19</v>
      </c>
      <c r="H309" s="17"/>
      <c r="I309" s="17"/>
      <c r="J309" s="17"/>
      <c r="K309" s="17" t="str">
        <f>IF(AND(DailyCheck[[#This Row],[Required On-Site]]="Yes",DailyCheck[[#This Row],[Manager Review]]="Remote"),"Compliance Issue","")</f>
        <v/>
      </c>
    </row>
    <row r="310" spans="1:11" hidden="1">
      <c r="A310" s="16">
        <f>IF(B310="", "", DATE(2026, 9, COUNTIFS($B$2:$B310, B310)))</f>
        <v>46274</v>
      </c>
      <c r="B310" s="17" t="s">
        <v>36</v>
      </c>
      <c r="C310" s="17" t="s">
        <v>29</v>
      </c>
      <c r="D310" s="17" t="s">
        <v>30</v>
      </c>
      <c r="E310" s="17">
        <v>30041021</v>
      </c>
      <c r="F310" s="17" t="s">
        <v>16</v>
      </c>
      <c r="G310" s="20" t="s">
        <v>18</v>
      </c>
      <c r="H310" s="17"/>
      <c r="I310" s="17"/>
      <c r="J310" s="17"/>
      <c r="K310" s="17" t="str">
        <f>IF(AND(DailyCheck[[#This Row],[Required On-Site]]="Yes",DailyCheck[[#This Row],[Manager Review]]="Remote"),"Compliance Issue","")</f>
        <v/>
      </c>
    </row>
    <row r="311" spans="1:11" hidden="1">
      <c r="A311" s="16">
        <f>IF(B311="", "", DATE(2026, 9, COUNTIFS($B$2:$B311, B311)))</f>
        <v>46275</v>
      </c>
      <c r="B311" s="17" t="s">
        <v>36</v>
      </c>
      <c r="C311" s="17" t="s">
        <v>29</v>
      </c>
      <c r="D311" s="17" t="s">
        <v>30</v>
      </c>
      <c r="E311" s="17">
        <v>30041021</v>
      </c>
      <c r="F311" s="17" t="s">
        <v>16</v>
      </c>
      <c r="G311" s="17" t="s">
        <v>15</v>
      </c>
      <c r="H311" s="17" t="s">
        <v>16</v>
      </c>
      <c r="I311" s="17"/>
      <c r="J311" s="17"/>
      <c r="K311" s="17" t="str">
        <f>IF(AND(DailyCheck[[#This Row],[Required On-Site]]="Yes",DailyCheck[[#This Row],[Manager Review]]="Remote"),"Compliance Issue","")</f>
        <v/>
      </c>
    </row>
    <row r="312" spans="1:11" hidden="1">
      <c r="A312" s="16">
        <f>IF(B312="", "", DATE(2026, 9, COUNTIFS($B$2:$B312, B312)))</f>
        <v>46276</v>
      </c>
      <c r="B312" s="17" t="s">
        <v>36</v>
      </c>
      <c r="C312" s="17" t="s">
        <v>29</v>
      </c>
      <c r="D312" s="17" t="s">
        <v>30</v>
      </c>
      <c r="E312" s="17">
        <v>30041021</v>
      </c>
      <c r="F312" s="17" t="s">
        <v>14</v>
      </c>
      <c r="G312" s="17" t="s">
        <v>15</v>
      </c>
      <c r="H312" s="17" t="s">
        <v>16</v>
      </c>
      <c r="I312" s="17"/>
      <c r="J312" s="17"/>
      <c r="K312" s="17" t="str">
        <f>IF(AND(DailyCheck[[#This Row],[Required On-Site]]="Yes",DailyCheck[[#This Row],[Manager Review]]="Remote"),"Compliance Issue","")</f>
        <v/>
      </c>
    </row>
    <row r="313" spans="1:11" hidden="1">
      <c r="A313" s="16">
        <f>IF(B313="", "", DATE(2026, 9, COUNTIFS($B$2:$B313, B313)))</f>
        <v>46277</v>
      </c>
      <c r="B313" s="17" t="s">
        <v>36</v>
      </c>
      <c r="C313" s="17" t="s">
        <v>29</v>
      </c>
      <c r="D313" s="17" t="s">
        <v>30</v>
      </c>
      <c r="E313" s="17">
        <v>30041021</v>
      </c>
      <c r="F313" s="17" t="s">
        <v>14</v>
      </c>
      <c r="G313" s="17" t="s">
        <v>17</v>
      </c>
      <c r="H313" s="17"/>
      <c r="I313" s="17"/>
      <c r="J313" s="17"/>
      <c r="K313" s="17" t="str">
        <f>IF(AND(DailyCheck[[#This Row],[Required On-Site]]="Yes",DailyCheck[[#This Row],[Manager Review]]="Remote"),"Compliance Issue","")</f>
        <v/>
      </c>
    </row>
    <row r="314" spans="1:11" hidden="1">
      <c r="A314" s="16">
        <f>IF(B314="", "", DATE(2026, 9, COUNTIFS($B$2:$B314, B314)))</f>
        <v>46278</v>
      </c>
      <c r="B314" s="17" t="s">
        <v>36</v>
      </c>
      <c r="C314" s="17" t="s">
        <v>29</v>
      </c>
      <c r="D314" s="17" t="s">
        <v>30</v>
      </c>
      <c r="E314" s="17">
        <v>30041021</v>
      </c>
      <c r="F314" s="17" t="s">
        <v>14</v>
      </c>
      <c r="G314" s="17" t="s">
        <v>17</v>
      </c>
      <c r="H314" s="17"/>
      <c r="I314" s="17"/>
      <c r="J314" s="17"/>
      <c r="K314" s="17" t="str">
        <f>IF(AND(DailyCheck[[#This Row],[Required On-Site]]="Yes",DailyCheck[[#This Row],[Manager Review]]="Remote"),"Compliance Issue","")</f>
        <v/>
      </c>
    </row>
    <row r="315" spans="1:11" hidden="1">
      <c r="A315" s="16">
        <f>IF(B315="", "", DATE(2026, 9, COUNTIFS($B$2:$B315, B315)))</f>
        <v>46279</v>
      </c>
      <c r="B315" s="17" t="s">
        <v>36</v>
      </c>
      <c r="C315" s="17" t="s">
        <v>29</v>
      </c>
      <c r="D315" s="17" t="s">
        <v>30</v>
      </c>
      <c r="E315" s="17">
        <v>30041021</v>
      </c>
      <c r="F315" s="17" t="s">
        <v>16</v>
      </c>
      <c r="G315" s="17" t="s">
        <v>18</v>
      </c>
      <c r="H315" s="17"/>
      <c r="I315" s="17"/>
      <c r="J315" s="17"/>
      <c r="K315" s="17" t="str">
        <f>IF(AND(DailyCheck[[#This Row],[Required On-Site]]="Yes",DailyCheck[[#This Row],[Manager Review]]="Remote"),"Compliance Issue","")</f>
        <v/>
      </c>
    </row>
    <row r="316" spans="1:11" hidden="1">
      <c r="A316" s="16">
        <f>IF(B316="", "", DATE(2026, 9, COUNTIFS($B$2:$B316, B316)))</f>
        <v>46280</v>
      </c>
      <c r="B316" s="17" t="s">
        <v>36</v>
      </c>
      <c r="C316" s="17" t="s">
        <v>29</v>
      </c>
      <c r="D316" s="17" t="s">
        <v>30</v>
      </c>
      <c r="E316" s="17">
        <v>30041021</v>
      </c>
      <c r="F316" s="17" t="s">
        <v>14</v>
      </c>
      <c r="G316" s="20" t="s">
        <v>19</v>
      </c>
      <c r="H316" s="17"/>
      <c r="I316" s="17"/>
      <c r="J316" s="17"/>
      <c r="K316" s="17" t="str">
        <f>IF(AND(DailyCheck[[#This Row],[Required On-Site]]="Yes",DailyCheck[[#This Row],[Manager Review]]="Remote"),"Compliance Issue","")</f>
        <v/>
      </c>
    </row>
    <row r="317" spans="1:11" hidden="1">
      <c r="A317" s="16">
        <f>IF(B317="", "", DATE(2026, 9, COUNTIFS($B$2:$B317, B317)))</f>
        <v>46281</v>
      </c>
      <c r="B317" s="17" t="s">
        <v>36</v>
      </c>
      <c r="C317" s="17" t="s">
        <v>29</v>
      </c>
      <c r="D317" s="17" t="s">
        <v>30</v>
      </c>
      <c r="E317" s="17">
        <v>30041021</v>
      </c>
      <c r="F317" s="17" t="s">
        <v>16</v>
      </c>
      <c r="G317" s="20" t="s">
        <v>19</v>
      </c>
      <c r="H317" s="17" t="s">
        <v>16</v>
      </c>
      <c r="I317" s="17"/>
      <c r="J317" s="17"/>
      <c r="K317" s="17" t="str">
        <f>IF(AND(DailyCheck[[#This Row],[Required On-Site]]="Yes",DailyCheck[[#This Row],[Manager Review]]="Remote"),"Compliance Issue","")</f>
        <v>Compliance Issue</v>
      </c>
    </row>
    <row r="318" spans="1:11" hidden="1">
      <c r="A318" s="16">
        <f>IF(B318="", "", DATE(2026, 9, COUNTIFS($B$2:$B318, B318)))</f>
        <v>46282</v>
      </c>
      <c r="B318" s="17" t="s">
        <v>36</v>
      </c>
      <c r="C318" s="17" t="s">
        <v>29</v>
      </c>
      <c r="D318" s="17" t="s">
        <v>30</v>
      </c>
      <c r="E318" s="17">
        <v>30041021</v>
      </c>
      <c r="F318" s="17" t="s">
        <v>14</v>
      </c>
      <c r="G318" s="17" t="s">
        <v>19</v>
      </c>
      <c r="H318" s="17"/>
      <c r="I318" s="17"/>
      <c r="J318" s="17"/>
      <c r="K318" s="17" t="str">
        <f>IF(AND(DailyCheck[[#This Row],[Required On-Site]]="Yes",DailyCheck[[#This Row],[Manager Review]]="Remote"),"Compliance Issue","")</f>
        <v/>
      </c>
    </row>
    <row r="319" spans="1:11" hidden="1">
      <c r="A319" s="16">
        <f>IF(B319="", "", DATE(2026, 9, COUNTIFS($B$2:$B319, B319)))</f>
        <v>46283</v>
      </c>
      <c r="B319" s="17" t="s">
        <v>36</v>
      </c>
      <c r="C319" s="17" t="s">
        <v>29</v>
      </c>
      <c r="D319" s="17" t="s">
        <v>30</v>
      </c>
      <c r="E319" s="17">
        <v>30041021</v>
      </c>
      <c r="F319" s="17" t="s">
        <v>16</v>
      </c>
      <c r="G319" s="17" t="s">
        <v>19</v>
      </c>
      <c r="H319" s="17" t="s">
        <v>16</v>
      </c>
      <c r="I319" s="17"/>
      <c r="J319" s="17"/>
      <c r="K319" s="17" t="str">
        <f>IF(AND(DailyCheck[[#This Row],[Required On-Site]]="Yes",DailyCheck[[#This Row],[Manager Review]]="Remote"),"Compliance Issue","")</f>
        <v>Compliance Issue</v>
      </c>
    </row>
    <row r="320" spans="1:11" hidden="1">
      <c r="A320" s="16">
        <f>IF(B320="", "", DATE(2026, 9, COUNTIFS($B$2:$B320, B320)))</f>
        <v>46284</v>
      </c>
      <c r="B320" s="17" t="s">
        <v>36</v>
      </c>
      <c r="C320" s="17" t="s">
        <v>29</v>
      </c>
      <c r="D320" s="17" t="s">
        <v>30</v>
      </c>
      <c r="E320" s="17">
        <v>30041021</v>
      </c>
      <c r="F320" s="17" t="s">
        <v>14</v>
      </c>
      <c r="G320" s="17" t="s">
        <v>17</v>
      </c>
      <c r="H320" s="17"/>
      <c r="I320" s="17"/>
      <c r="J320" s="17"/>
      <c r="K320" s="17" t="str">
        <f>IF(AND(DailyCheck[[#This Row],[Required On-Site]]="Yes",DailyCheck[[#This Row],[Manager Review]]="Remote"),"Compliance Issue","")</f>
        <v/>
      </c>
    </row>
    <row r="321" spans="1:11" hidden="1">
      <c r="A321" s="16">
        <f>IF(B321="", "", DATE(2026, 9, COUNTIFS($B$2:$B321, B321)))</f>
        <v>46285</v>
      </c>
      <c r="B321" s="17" t="s">
        <v>36</v>
      </c>
      <c r="C321" s="17" t="s">
        <v>29</v>
      </c>
      <c r="D321" s="17" t="s">
        <v>30</v>
      </c>
      <c r="E321" s="17">
        <v>30041021</v>
      </c>
      <c r="F321" s="17" t="s">
        <v>14</v>
      </c>
      <c r="G321" s="17" t="s">
        <v>17</v>
      </c>
      <c r="H321" s="17"/>
      <c r="I321" s="17"/>
      <c r="J321" s="17"/>
      <c r="K321" s="17" t="str">
        <f>IF(AND(DailyCheck[[#This Row],[Required On-Site]]="Yes",DailyCheck[[#This Row],[Manager Review]]="Remote"),"Compliance Issue","")</f>
        <v/>
      </c>
    </row>
    <row r="322" spans="1:11" hidden="1">
      <c r="A322" s="16">
        <f>IF(B322="", "", DATE(2026, 9, COUNTIFS($B$2:$B322, B322)))</f>
        <v>46286</v>
      </c>
      <c r="B322" s="17" t="s">
        <v>36</v>
      </c>
      <c r="C322" s="17" t="s">
        <v>29</v>
      </c>
      <c r="D322" s="17" t="s">
        <v>30</v>
      </c>
      <c r="E322" s="17">
        <v>30041021</v>
      </c>
      <c r="F322" s="17" t="s">
        <v>16</v>
      </c>
      <c r="G322" s="17" t="s">
        <v>18</v>
      </c>
      <c r="H322" s="17"/>
      <c r="I322" s="17"/>
      <c r="J322" s="17"/>
      <c r="K322" s="17" t="str">
        <f>IF(AND(DailyCheck[[#This Row],[Required On-Site]]="Yes",DailyCheck[[#This Row],[Manager Review]]="Remote"),"Compliance Issue","")</f>
        <v/>
      </c>
    </row>
    <row r="323" spans="1:11" hidden="1">
      <c r="A323" s="16">
        <f>IF(B323="", "", DATE(2026, 9, COUNTIFS($B$2:$B323, B323)))</f>
        <v>46287</v>
      </c>
      <c r="B323" s="17" t="s">
        <v>36</v>
      </c>
      <c r="C323" s="17" t="s">
        <v>29</v>
      </c>
      <c r="D323" s="17" t="s">
        <v>30</v>
      </c>
      <c r="E323" s="17">
        <v>30041021</v>
      </c>
      <c r="F323" s="17" t="s">
        <v>14</v>
      </c>
      <c r="G323" s="20" t="s">
        <v>19</v>
      </c>
      <c r="H323" s="17"/>
      <c r="I323" s="17"/>
      <c r="J323" s="17"/>
      <c r="K323" s="17" t="str">
        <f>IF(AND(DailyCheck[[#This Row],[Required On-Site]]="Yes",DailyCheck[[#This Row],[Manager Review]]="Remote"),"Compliance Issue","")</f>
        <v/>
      </c>
    </row>
    <row r="324" spans="1:11" hidden="1">
      <c r="A324" s="16">
        <f>IF(B324="", "", DATE(2026, 9, COUNTIFS($B$2:$B324, B324)))</f>
        <v>46288</v>
      </c>
      <c r="B324" s="17" t="s">
        <v>36</v>
      </c>
      <c r="C324" s="17" t="s">
        <v>29</v>
      </c>
      <c r="D324" s="17" t="s">
        <v>30</v>
      </c>
      <c r="E324" s="17">
        <v>30041021</v>
      </c>
      <c r="F324" s="17" t="s">
        <v>16</v>
      </c>
      <c r="G324" s="20" t="s">
        <v>18</v>
      </c>
      <c r="H324" s="17"/>
      <c r="I324" s="17"/>
      <c r="J324" s="17"/>
      <c r="K324" s="17" t="str">
        <f>IF(AND(DailyCheck[[#This Row],[Required On-Site]]="Yes",DailyCheck[[#This Row],[Manager Review]]="Remote"),"Compliance Issue","")</f>
        <v/>
      </c>
    </row>
    <row r="325" spans="1:11" hidden="1">
      <c r="A325" s="16">
        <f>IF(B325="", "", DATE(2026, 9, COUNTIFS($B$2:$B325, B325)))</f>
        <v>46289</v>
      </c>
      <c r="B325" s="17" t="s">
        <v>36</v>
      </c>
      <c r="C325" s="17" t="s">
        <v>29</v>
      </c>
      <c r="D325" s="17" t="s">
        <v>30</v>
      </c>
      <c r="E325" s="17">
        <v>30041021</v>
      </c>
      <c r="F325" s="17" t="s">
        <v>14</v>
      </c>
      <c r="G325" s="17" t="s">
        <v>19</v>
      </c>
      <c r="H325" s="17"/>
      <c r="I325" s="17"/>
      <c r="J325" s="17"/>
      <c r="K325" s="17" t="str">
        <f>IF(AND(DailyCheck[[#This Row],[Required On-Site]]="Yes",DailyCheck[[#This Row],[Manager Review]]="Remote"),"Compliance Issue","")</f>
        <v/>
      </c>
    </row>
    <row r="326" spans="1:11" hidden="1">
      <c r="A326" s="16">
        <f>IF(B326="", "", DATE(2026, 9, COUNTIFS($B$2:$B326, B326)))</f>
        <v>46290</v>
      </c>
      <c r="B326" s="17" t="s">
        <v>36</v>
      </c>
      <c r="C326" s="17" t="s">
        <v>29</v>
      </c>
      <c r="D326" s="17" t="s">
        <v>30</v>
      </c>
      <c r="E326" s="17">
        <v>30041021</v>
      </c>
      <c r="F326" s="17" t="s">
        <v>16</v>
      </c>
      <c r="G326" s="17" t="s">
        <v>19</v>
      </c>
      <c r="H326" s="17" t="s">
        <v>16</v>
      </c>
      <c r="I326" s="17"/>
      <c r="J326" s="17"/>
      <c r="K326" s="17" t="str">
        <f>IF(AND(DailyCheck[[#This Row],[Required On-Site]]="Yes",DailyCheck[[#This Row],[Manager Review]]="Remote"),"Compliance Issue","")</f>
        <v>Compliance Issue</v>
      </c>
    </row>
    <row r="327" spans="1:11" hidden="1">
      <c r="A327" s="16">
        <f>IF(B327="", "", DATE(2026, 9, COUNTIFS($B$2:$B327, B327)))</f>
        <v>46291</v>
      </c>
      <c r="B327" s="17" t="s">
        <v>36</v>
      </c>
      <c r="C327" s="17" t="s">
        <v>29</v>
      </c>
      <c r="D327" s="17" t="s">
        <v>30</v>
      </c>
      <c r="E327" s="17">
        <v>30041021</v>
      </c>
      <c r="F327" s="17" t="s">
        <v>14</v>
      </c>
      <c r="G327" s="17" t="s">
        <v>17</v>
      </c>
      <c r="H327" s="17"/>
      <c r="I327" s="17"/>
      <c r="J327" s="17"/>
      <c r="K327" s="17" t="str">
        <f>IF(AND(DailyCheck[[#This Row],[Required On-Site]]="Yes",DailyCheck[[#This Row],[Manager Review]]="Remote"),"Compliance Issue","")</f>
        <v/>
      </c>
    </row>
    <row r="328" spans="1:11" hidden="1">
      <c r="A328" s="16">
        <f>IF(B328="", "", DATE(2026, 9, COUNTIFS($B$2:$B328, B328)))</f>
        <v>46292</v>
      </c>
      <c r="B328" s="17" t="s">
        <v>36</v>
      </c>
      <c r="C328" s="17" t="s">
        <v>29</v>
      </c>
      <c r="D328" s="17" t="s">
        <v>30</v>
      </c>
      <c r="E328" s="17">
        <v>30041021</v>
      </c>
      <c r="F328" s="17" t="s">
        <v>14</v>
      </c>
      <c r="G328" s="17" t="s">
        <v>17</v>
      </c>
      <c r="H328" s="17"/>
      <c r="I328" s="17"/>
      <c r="J328" s="17"/>
      <c r="K328" s="17" t="str">
        <f>IF(AND(DailyCheck[[#This Row],[Required On-Site]]="Yes",DailyCheck[[#This Row],[Manager Review]]="Remote"),"Compliance Issue","")</f>
        <v/>
      </c>
    </row>
    <row r="329" spans="1:11" hidden="1">
      <c r="A329" s="16">
        <f>IF(B329="", "", DATE(2026, 9, COUNTIFS($B$2:$B329, B329)))</f>
        <v>46293</v>
      </c>
      <c r="B329" s="17" t="s">
        <v>36</v>
      </c>
      <c r="C329" s="17" t="s">
        <v>29</v>
      </c>
      <c r="D329" s="17" t="s">
        <v>30</v>
      </c>
      <c r="E329" s="17">
        <v>30041021</v>
      </c>
      <c r="F329" s="17" t="s">
        <v>16</v>
      </c>
      <c r="G329" s="17" t="s">
        <v>19</v>
      </c>
      <c r="H329" s="17" t="s">
        <v>16</v>
      </c>
      <c r="I329" s="17"/>
      <c r="J329" s="17"/>
      <c r="K329" s="17" t="str">
        <f>IF(AND(DailyCheck[[#This Row],[Required On-Site]]="Yes",DailyCheck[[#This Row],[Manager Review]]="Remote"),"Compliance Issue","")</f>
        <v>Compliance Issue</v>
      </c>
    </row>
    <row r="330" spans="1:11" hidden="1">
      <c r="A330" s="16">
        <f>IF(B330="", "", DATE(2026, 9, COUNTIFS($B$2:$B330, B330)))</f>
        <v>46294</v>
      </c>
      <c r="B330" s="17" t="s">
        <v>36</v>
      </c>
      <c r="C330" s="17" t="s">
        <v>29</v>
      </c>
      <c r="D330" s="17" t="s">
        <v>30</v>
      </c>
      <c r="E330" s="17">
        <v>30041021</v>
      </c>
      <c r="F330" s="17" t="s">
        <v>14</v>
      </c>
      <c r="G330" s="20" t="s">
        <v>19</v>
      </c>
      <c r="H330" s="17"/>
      <c r="I330" s="17"/>
      <c r="J330" s="17"/>
      <c r="K330" s="17" t="str">
        <f>IF(AND(DailyCheck[[#This Row],[Required On-Site]]="Yes",DailyCheck[[#This Row],[Manager Review]]="Remote"),"Compliance Issue","")</f>
        <v/>
      </c>
    </row>
    <row r="331" spans="1:11" hidden="1">
      <c r="A331" s="16">
        <f>IF(B331="", "", DATE(2026, 9, COUNTIFS($B$2:$B331, B331)))</f>
        <v>46295</v>
      </c>
      <c r="B331" s="17" t="s">
        <v>36</v>
      </c>
      <c r="C331" s="17" t="s">
        <v>29</v>
      </c>
      <c r="D331" s="17" t="s">
        <v>30</v>
      </c>
      <c r="E331" s="17">
        <v>30041021</v>
      </c>
      <c r="F331" s="17" t="s">
        <v>16</v>
      </c>
      <c r="G331" s="20" t="s">
        <v>19</v>
      </c>
      <c r="H331" s="17" t="s">
        <v>16</v>
      </c>
      <c r="I331" s="17"/>
      <c r="J331" s="17"/>
      <c r="K331" s="17" t="str">
        <f>IF(AND(DailyCheck[[#This Row],[Required On-Site]]="Yes",DailyCheck[[#This Row],[Manager Review]]="Remote"),"Compliance Issue","")</f>
        <v>Compliance Issue</v>
      </c>
    </row>
    <row r="332" spans="1:11" hidden="1">
      <c r="A332" s="16">
        <f>IF(B332="", "", DATE(2026, 9, COUNTIFS($B$2:$B332, B332)))</f>
        <v>46266</v>
      </c>
      <c r="B332" s="17" t="s">
        <v>37</v>
      </c>
      <c r="C332" s="17" t="s">
        <v>29</v>
      </c>
      <c r="D332" s="17" t="s">
        <v>30</v>
      </c>
      <c r="E332" s="17">
        <v>30118404</v>
      </c>
      <c r="F332" s="17" t="s">
        <v>16</v>
      </c>
      <c r="G332" s="20" t="s">
        <v>18</v>
      </c>
      <c r="H332" s="17"/>
      <c r="I332" s="17"/>
      <c r="J332" s="17"/>
      <c r="K332" s="17" t="str">
        <f>IF(AND(DailyCheck[[#This Row],[Required On-Site]]="Yes",DailyCheck[[#This Row],[Manager Review]]="Remote"),"Compliance Issue","")</f>
        <v/>
      </c>
    </row>
    <row r="333" spans="1:11" hidden="1">
      <c r="A333" s="16">
        <f>IF(B333="", "", DATE(2026, 9, COUNTIFS($B$2:$B333, B333)))</f>
        <v>46267</v>
      </c>
      <c r="B333" s="17" t="s">
        <v>37</v>
      </c>
      <c r="C333" s="17" t="s">
        <v>29</v>
      </c>
      <c r="D333" s="17" t="s">
        <v>30</v>
      </c>
      <c r="E333" s="17">
        <v>30118404</v>
      </c>
      <c r="F333" s="17" t="s">
        <v>16</v>
      </c>
      <c r="G333" s="20" t="s">
        <v>18</v>
      </c>
      <c r="H333" s="17"/>
      <c r="I333" s="17"/>
      <c r="J333" s="17"/>
      <c r="K333" s="17" t="str">
        <f>IF(AND(DailyCheck[[#This Row],[Required On-Site]]="Yes",DailyCheck[[#This Row],[Manager Review]]="Remote"),"Compliance Issue","")</f>
        <v/>
      </c>
    </row>
    <row r="334" spans="1:11" hidden="1">
      <c r="A334" s="16">
        <f>IF(B334="", "", DATE(2026, 9, COUNTIFS($B$2:$B334, B334)))</f>
        <v>46268</v>
      </c>
      <c r="B334" s="17" t="s">
        <v>37</v>
      </c>
      <c r="C334" s="17" t="s">
        <v>29</v>
      </c>
      <c r="D334" s="17" t="s">
        <v>30</v>
      </c>
      <c r="E334" s="17">
        <v>30118404</v>
      </c>
      <c r="F334" s="17" t="s">
        <v>14</v>
      </c>
      <c r="G334" s="17" t="s">
        <v>19</v>
      </c>
      <c r="H334" s="17"/>
      <c r="I334" s="17"/>
      <c r="J334" s="17"/>
      <c r="K334" s="17" t="str">
        <f>IF(AND(DailyCheck[[#This Row],[Required On-Site]]="Yes",DailyCheck[[#This Row],[Manager Review]]="Remote"),"Compliance Issue","")</f>
        <v/>
      </c>
    </row>
    <row r="335" spans="1:11" hidden="1">
      <c r="A335" s="16">
        <f>IF(B335="", "", DATE(2026, 9, COUNTIFS($B$2:$B335, B335)))</f>
        <v>46269</v>
      </c>
      <c r="B335" s="17" t="s">
        <v>37</v>
      </c>
      <c r="C335" s="17" t="s">
        <v>29</v>
      </c>
      <c r="D335" s="17" t="s">
        <v>30</v>
      </c>
      <c r="E335" s="17">
        <v>30118404</v>
      </c>
      <c r="F335" s="17" t="s">
        <v>14</v>
      </c>
      <c r="G335" s="17" t="s">
        <v>18</v>
      </c>
      <c r="H335" s="17"/>
      <c r="I335" s="17"/>
      <c r="J335" s="17"/>
      <c r="K335" s="17" t="str">
        <f>IF(AND(DailyCheck[[#This Row],[Required On-Site]]="Yes",DailyCheck[[#This Row],[Manager Review]]="Remote"),"Compliance Issue","")</f>
        <v/>
      </c>
    </row>
    <row r="336" spans="1:11" hidden="1">
      <c r="A336" s="16">
        <f>IF(B336="", "", DATE(2026, 9, COUNTIFS($B$2:$B336, B336)))</f>
        <v>46270</v>
      </c>
      <c r="B336" s="17" t="s">
        <v>37</v>
      </c>
      <c r="C336" s="17" t="s">
        <v>29</v>
      </c>
      <c r="D336" s="17" t="s">
        <v>30</v>
      </c>
      <c r="E336" s="17">
        <v>30118404</v>
      </c>
      <c r="F336" s="17" t="s">
        <v>14</v>
      </c>
      <c r="G336" s="17" t="s">
        <v>17</v>
      </c>
      <c r="H336" s="17"/>
      <c r="I336" s="17"/>
      <c r="J336" s="17"/>
      <c r="K336" s="17" t="str">
        <f>IF(AND(DailyCheck[[#This Row],[Required On-Site]]="Yes",DailyCheck[[#This Row],[Manager Review]]="Remote"),"Compliance Issue","")</f>
        <v/>
      </c>
    </row>
    <row r="337" spans="1:11" hidden="1">
      <c r="A337" s="16">
        <f>IF(B337="", "", DATE(2026, 9, COUNTIFS($B$2:$B337, B337)))</f>
        <v>46271</v>
      </c>
      <c r="B337" s="17" t="s">
        <v>37</v>
      </c>
      <c r="C337" s="17" t="s">
        <v>29</v>
      </c>
      <c r="D337" s="17" t="s">
        <v>30</v>
      </c>
      <c r="E337" s="17">
        <v>30118404</v>
      </c>
      <c r="F337" s="17" t="s">
        <v>14</v>
      </c>
      <c r="G337" s="17" t="s">
        <v>17</v>
      </c>
      <c r="H337" s="17"/>
      <c r="I337" s="17"/>
      <c r="J337" s="17"/>
      <c r="K337" s="17" t="str">
        <f>IF(AND(DailyCheck[[#This Row],[Required On-Site]]="Yes",DailyCheck[[#This Row],[Manager Review]]="Remote"),"Compliance Issue","")</f>
        <v/>
      </c>
    </row>
    <row r="338" spans="1:11" hidden="1">
      <c r="A338" s="16">
        <f>IF(B338="", "", DATE(2026, 9, COUNTIFS($B$2:$B338, B338)))</f>
        <v>46272</v>
      </c>
      <c r="B338" s="17" t="s">
        <v>37</v>
      </c>
      <c r="C338" s="17" t="s">
        <v>29</v>
      </c>
      <c r="D338" s="17" t="s">
        <v>30</v>
      </c>
      <c r="E338" s="17">
        <v>30118404</v>
      </c>
      <c r="F338" s="17" t="s">
        <v>16</v>
      </c>
      <c r="G338" s="17" t="s">
        <v>18</v>
      </c>
      <c r="H338" s="17"/>
      <c r="I338" s="17"/>
      <c r="J338" s="17"/>
      <c r="K338" s="17" t="str">
        <f>IF(AND(DailyCheck[[#This Row],[Required On-Site]]="Yes",DailyCheck[[#This Row],[Manager Review]]="Remote"),"Compliance Issue","")</f>
        <v/>
      </c>
    </row>
    <row r="339" spans="1:11" hidden="1">
      <c r="A339" s="16">
        <f>IF(B339="", "", DATE(2026, 9, COUNTIFS($B$2:$B339, B339)))</f>
        <v>46273</v>
      </c>
      <c r="B339" s="17" t="s">
        <v>37</v>
      </c>
      <c r="C339" s="17" t="s">
        <v>29</v>
      </c>
      <c r="D339" s="17" t="s">
        <v>30</v>
      </c>
      <c r="E339" s="17">
        <v>30118404</v>
      </c>
      <c r="F339" s="17" t="s">
        <v>16</v>
      </c>
      <c r="G339" s="20" t="s">
        <v>18</v>
      </c>
      <c r="H339" s="17"/>
      <c r="I339" s="17"/>
      <c r="J339" s="17"/>
      <c r="K339" s="17" t="str">
        <f>IF(AND(DailyCheck[[#This Row],[Required On-Site]]="Yes",DailyCheck[[#This Row],[Manager Review]]="Remote"),"Compliance Issue","")</f>
        <v/>
      </c>
    </row>
    <row r="340" spans="1:11" hidden="1">
      <c r="A340" s="16">
        <f>IF(B340="", "", DATE(2026, 9, COUNTIFS($B$2:$B340, B340)))</f>
        <v>46274</v>
      </c>
      <c r="B340" s="17" t="s">
        <v>37</v>
      </c>
      <c r="C340" s="17" t="s">
        <v>29</v>
      </c>
      <c r="D340" s="17" t="s">
        <v>30</v>
      </c>
      <c r="E340" s="17">
        <v>30118404</v>
      </c>
      <c r="F340" s="17" t="s">
        <v>16</v>
      </c>
      <c r="G340" s="20" t="s">
        <v>18</v>
      </c>
      <c r="H340" s="17"/>
      <c r="I340" s="17"/>
      <c r="J340" s="17"/>
      <c r="K340" s="17" t="str">
        <f>IF(AND(DailyCheck[[#This Row],[Required On-Site]]="Yes",DailyCheck[[#This Row],[Manager Review]]="Remote"),"Compliance Issue","")</f>
        <v/>
      </c>
    </row>
    <row r="341" spans="1:11" hidden="1">
      <c r="A341" s="16">
        <f>IF(B341="", "", DATE(2026, 9, COUNTIFS($B$2:$B341, B341)))</f>
        <v>46275</v>
      </c>
      <c r="B341" s="17" t="s">
        <v>37</v>
      </c>
      <c r="C341" s="17" t="s">
        <v>29</v>
      </c>
      <c r="D341" s="17" t="s">
        <v>30</v>
      </c>
      <c r="E341" s="17">
        <v>30118404</v>
      </c>
      <c r="F341" s="17" t="s">
        <v>14</v>
      </c>
      <c r="G341" s="17" t="s">
        <v>19</v>
      </c>
      <c r="H341" s="17"/>
      <c r="I341" s="17"/>
      <c r="J341" s="17"/>
      <c r="K341" s="17" t="str">
        <f>IF(AND(DailyCheck[[#This Row],[Required On-Site]]="Yes",DailyCheck[[#This Row],[Manager Review]]="Remote"),"Compliance Issue","")</f>
        <v/>
      </c>
    </row>
    <row r="342" spans="1:11" hidden="1">
      <c r="A342" s="16">
        <f>IF(B342="", "", DATE(2026, 9, COUNTIFS($B$2:$B342, B342)))</f>
        <v>46276</v>
      </c>
      <c r="B342" s="17" t="s">
        <v>37</v>
      </c>
      <c r="C342" s="17" t="s">
        <v>29</v>
      </c>
      <c r="D342" s="17" t="s">
        <v>30</v>
      </c>
      <c r="E342" s="17">
        <v>30118404</v>
      </c>
      <c r="F342" s="17" t="s">
        <v>14</v>
      </c>
      <c r="G342" s="17" t="s">
        <v>19</v>
      </c>
      <c r="H342" s="17"/>
      <c r="I342" s="17"/>
      <c r="J342" s="17"/>
      <c r="K342" s="17" t="str">
        <f>IF(AND(DailyCheck[[#This Row],[Required On-Site]]="Yes",DailyCheck[[#This Row],[Manager Review]]="Remote"),"Compliance Issue","")</f>
        <v/>
      </c>
    </row>
    <row r="343" spans="1:11" hidden="1">
      <c r="A343" s="16">
        <f>IF(B343="", "", DATE(2026, 9, COUNTIFS($B$2:$B343, B343)))</f>
        <v>46277</v>
      </c>
      <c r="B343" s="17" t="s">
        <v>37</v>
      </c>
      <c r="C343" s="17" t="s">
        <v>29</v>
      </c>
      <c r="D343" s="17" t="s">
        <v>30</v>
      </c>
      <c r="E343" s="17">
        <v>30118404</v>
      </c>
      <c r="F343" s="17" t="s">
        <v>14</v>
      </c>
      <c r="G343" s="17" t="s">
        <v>17</v>
      </c>
      <c r="H343" s="17"/>
      <c r="I343" s="17"/>
      <c r="J343" s="17"/>
      <c r="K343" s="17" t="str">
        <f>IF(AND(DailyCheck[[#This Row],[Required On-Site]]="Yes",DailyCheck[[#This Row],[Manager Review]]="Remote"),"Compliance Issue","")</f>
        <v/>
      </c>
    </row>
    <row r="344" spans="1:11" hidden="1">
      <c r="A344" s="16">
        <f>IF(B344="", "", DATE(2026, 9, COUNTIFS($B$2:$B344, B344)))</f>
        <v>46278</v>
      </c>
      <c r="B344" s="17" t="s">
        <v>37</v>
      </c>
      <c r="C344" s="17" t="s">
        <v>29</v>
      </c>
      <c r="D344" s="17" t="s">
        <v>30</v>
      </c>
      <c r="E344" s="17">
        <v>30118404</v>
      </c>
      <c r="F344" s="17" t="s">
        <v>14</v>
      </c>
      <c r="G344" s="17" t="s">
        <v>17</v>
      </c>
      <c r="H344" s="17"/>
      <c r="I344" s="17"/>
      <c r="J344" s="17"/>
      <c r="K344" s="17" t="str">
        <f>IF(AND(DailyCheck[[#This Row],[Required On-Site]]="Yes",DailyCheck[[#This Row],[Manager Review]]="Remote"),"Compliance Issue","")</f>
        <v/>
      </c>
    </row>
    <row r="345" spans="1:11" hidden="1">
      <c r="A345" s="16">
        <f>IF(B345="", "", DATE(2026, 9, COUNTIFS($B$2:$B345, B345)))</f>
        <v>46279</v>
      </c>
      <c r="B345" s="17" t="s">
        <v>37</v>
      </c>
      <c r="C345" s="17" t="s">
        <v>29</v>
      </c>
      <c r="D345" s="17" t="s">
        <v>30</v>
      </c>
      <c r="E345" s="17">
        <v>30118404</v>
      </c>
      <c r="F345" s="17" t="s">
        <v>16</v>
      </c>
      <c r="G345" s="17" t="s">
        <v>18</v>
      </c>
      <c r="H345" s="17"/>
      <c r="I345" s="17"/>
      <c r="J345" s="17"/>
      <c r="K345" s="17" t="str">
        <f>IF(AND(DailyCheck[[#This Row],[Required On-Site]]="Yes",DailyCheck[[#This Row],[Manager Review]]="Remote"),"Compliance Issue","")</f>
        <v/>
      </c>
    </row>
    <row r="346" spans="1:11" hidden="1">
      <c r="A346" s="16">
        <f>IF(B346="", "", DATE(2026, 9, COUNTIFS($B$2:$B346, B346)))</f>
        <v>46280</v>
      </c>
      <c r="B346" s="17" t="s">
        <v>37</v>
      </c>
      <c r="C346" s="17" t="s">
        <v>29</v>
      </c>
      <c r="D346" s="17" t="s">
        <v>30</v>
      </c>
      <c r="E346" s="17">
        <v>30118404</v>
      </c>
      <c r="F346" s="17" t="s">
        <v>16</v>
      </c>
      <c r="G346" s="20" t="s">
        <v>19</v>
      </c>
      <c r="H346" s="17" t="s">
        <v>16</v>
      </c>
      <c r="I346" s="17"/>
      <c r="J346" s="17"/>
      <c r="K346" s="17" t="str">
        <f>IF(AND(DailyCheck[[#This Row],[Required On-Site]]="Yes",DailyCheck[[#This Row],[Manager Review]]="Remote"),"Compliance Issue","")</f>
        <v>Compliance Issue</v>
      </c>
    </row>
    <row r="347" spans="1:11" hidden="1">
      <c r="A347" s="16">
        <f>IF(B347="", "", DATE(2026, 9, COUNTIFS($B$2:$B347, B347)))</f>
        <v>46281</v>
      </c>
      <c r="B347" s="17" t="s">
        <v>37</v>
      </c>
      <c r="C347" s="17" t="s">
        <v>29</v>
      </c>
      <c r="D347" s="17" t="s">
        <v>30</v>
      </c>
      <c r="E347" s="17">
        <v>30118404</v>
      </c>
      <c r="F347" s="17" t="s">
        <v>16</v>
      </c>
      <c r="G347" s="20" t="s">
        <v>18</v>
      </c>
      <c r="H347" s="17"/>
      <c r="I347" s="17"/>
      <c r="J347" s="17"/>
      <c r="K347" s="17" t="str">
        <f>IF(AND(DailyCheck[[#This Row],[Required On-Site]]="Yes",DailyCheck[[#This Row],[Manager Review]]="Remote"),"Compliance Issue","")</f>
        <v/>
      </c>
    </row>
    <row r="348" spans="1:11" hidden="1">
      <c r="A348" s="16">
        <f>IF(B348="", "", DATE(2026, 9, COUNTIFS($B$2:$B348, B348)))</f>
        <v>46282</v>
      </c>
      <c r="B348" s="17" t="s">
        <v>37</v>
      </c>
      <c r="C348" s="17" t="s">
        <v>29</v>
      </c>
      <c r="D348" s="17" t="s">
        <v>30</v>
      </c>
      <c r="E348" s="17">
        <v>30118404</v>
      </c>
      <c r="F348" s="17" t="s">
        <v>14</v>
      </c>
      <c r="G348" s="17" t="s">
        <v>19</v>
      </c>
      <c r="H348" s="17"/>
      <c r="I348" s="17"/>
      <c r="J348" s="17"/>
      <c r="K348" s="17" t="str">
        <f>IF(AND(DailyCheck[[#This Row],[Required On-Site]]="Yes",DailyCheck[[#This Row],[Manager Review]]="Remote"),"Compliance Issue","")</f>
        <v/>
      </c>
    </row>
    <row r="349" spans="1:11" hidden="1">
      <c r="A349" s="16">
        <f>IF(B349="", "", DATE(2026, 9, COUNTIFS($B$2:$B349, B349)))</f>
        <v>46283</v>
      </c>
      <c r="B349" s="17" t="s">
        <v>37</v>
      </c>
      <c r="C349" s="17" t="s">
        <v>29</v>
      </c>
      <c r="D349" s="17" t="s">
        <v>30</v>
      </c>
      <c r="E349" s="17">
        <v>30118404</v>
      </c>
      <c r="F349" s="17" t="s">
        <v>14</v>
      </c>
      <c r="G349" s="17" t="s">
        <v>19</v>
      </c>
      <c r="H349" s="17"/>
      <c r="I349" s="17"/>
      <c r="J349" s="17"/>
      <c r="K349" s="17" t="str">
        <f>IF(AND(DailyCheck[[#This Row],[Required On-Site]]="Yes",DailyCheck[[#This Row],[Manager Review]]="Remote"),"Compliance Issue","")</f>
        <v/>
      </c>
    </row>
    <row r="350" spans="1:11" hidden="1">
      <c r="A350" s="16">
        <f>IF(B350="", "", DATE(2026, 9, COUNTIFS($B$2:$B350, B350)))</f>
        <v>46284</v>
      </c>
      <c r="B350" s="17" t="s">
        <v>37</v>
      </c>
      <c r="C350" s="17" t="s">
        <v>29</v>
      </c>
      <c r="D350" s="17" t="s">
        <v>30</v>
      </c>
      <c r="E350" s="17">
        <v>30118404</v>
      </c>
      <c r="F350" s="17" t="s">
        <v>14</v>
      </c>
      <c r="G350" s="17" t="s">
        <v>17</v>
      </c>
      <c r="H350" s="17"/>
      <c r="I350" s="17"/>
      <c r="J350" s="17"/>
      <c r="K350" s="17" t="str">
        <f>IF(AND(DailyCheck[[#This Row],[Required On-Site]]="Yes",DailyCheck[[#This Row],[Manager Review]]="Remote"),"Compliance Issue","")</f>
        <v/>
      </c>
    </row>
    <row r="351" spans="1:11" hidden="1">
      <c r="A351" s="16">
        <f>IF(B351="", "", DATE(2026, 9, COUNTIFS($B$2:$B351, B351)))</f>
        <v>46285</v>
      </c>
      <c r="B351" s="17" t="s">
        <v>37</v>
      </c>
      <c r="C351" s="17" t="s">
        <v>29</v>
      </c>
      <c r="D351" s="17" t="s">
        <v>30</v>
      </c>
      <c r="E351" s="17">
        <v>30118404</v>
      </c>
      <c r="F351" s="17" t="s">
        <v>14</v>
      </c>
      <c r="G351" s="17" t="s">
        <v>17</v>
      </c>
      <c r="H351" s="17"/>
      <c r="I351" s="17"/>
      <c r="J351" s="17"/>
      <c r="K351" s="17" t="str">
        <f>IF(AND(DailyCheck[[#This Row],[Required On-Site]]="Yes",DailyCheck[[#This Row],[Manager Review]]="Remote"),"Compliance Issue","")</f>
        <v/>
      </c>
    </row>
    <row r="352" spans="1:11" hidden="1">
      <c r="A352" s="16">
        <f>IF(B352="", "", DATE(2026, 9, COUNTIFS($B$2:$B352, B352)))</f>
        <v>46286</v>
      </c>
      <c r="B352" s="17" t="s">
        <v>37</v>
      </c>
      <c r="C352" s="17" t="s">
        <v>29</v>
      </c>
      <c r="D352" s="17" t="s">
        <v>30</v>
      </c>
      <c r="E352" s="17">
        <v>30118404</v>
      </c>
      <c r="F352" s="17" t="s">
        <v>16</v>
      </c>
      <c r="G352" s="17" t="s">
        <v>18</v>
      </c>
      <c r="H352" s="17"/>
      <c r="I352" s="17"/>
      <c r="J352" s="17"/>
      <c r="K352" s="17" t="str">
        <f>IF(AND(DailyCheck[[#This Row],[Required On-Site]]="Yes",DailyCheck[[#This Row],[Manager Review]]="Remote"),"Compliance Issue","")</f>
        <v/>
      </c>
    </row>
    <row r="353" spans="1:11" hidden="1">
      <c r="A353" s="16">
        <f>IF(B353="", "", DATE(2026, 9, COUNTIFS($B$2:$B353, B353)))</f>
        <v>46287</v>
      </c>
      <c r="B353" s="17" t="s">
        <v>37</v>
      </c>
      <c r="C353" s="17" t="s">
        <v>29</v>
      </c>
      <c r="D353" s="17" t="s">
        <v>30</v>
      </c>
      <c r="E353" s="17">
        <v>30118404</v>
      </c>
      <c r="F353" s="17" t="s">
        <v>16</v>
      </c>
      <c r="G353" s="20" t="s">
        <v>18</v>
      </c>
      <c r="H353" s="17"/>
      <c r="I353" s="17"/>
      <c r="J353" s="17"/>
      <c r="K353" s="17" t="str">
        <f>IF(AND(DailyCheck[[#This Row],[Required On-Site]]="Yes",DailyCheck[[#This Row],[Manager Review]]="Remote"),"Compliance Issue","")</f>
        <v/>
      </c>
    </row>
    <row r="354" spans="1:11" hidden="1">
      <c r="A354" s="16">
        <f>IF(B354="", "", DATE(2026, 9, COUNTIFS($B$2:$B354, B354)))</f>
        <v>46288</v>
      </c>
      <c r="B354" s="17" t="s">
        <v>37</v>
      </c>
      <c r="C354" s="17" t="s">
        <v>29</v>
      </c>
      <c r="D354" s="17" t="s">
        <v>30</v>
      </c>
      <c r="E354" s="17">
        <v>30118404</v>
      </c>
      <c r="F354" s="17" t="s">
        <v>16</v>
      </c>
      <c r="G354" s="20" t="s">
        <v>18</v>
      </c>
      <c r="H354" s="17"/>
      <c r="I354" s="17"/>
      <c r="J354" s="17"/>
      <c r="K354" s="17" t="str">
        <f>IF(AND(DailyCheck[[#This Row],[Required On-Site]]="Yes",DailyCheck[[#This Row],[Manager Review]]="Remote"),"Compliance Issue","")</f>
        <v/>
      </c>
    </row>
    <row r="355" spans="1:11" hidden="1">
      <c r="A355" s="16">
        <f>IF(B355="", "", DATE(2026, 9, COUNTIFS($B$2:$B355, B355)))</f>
        <v>46289</v>
      </c>
      <c r="B355" s="17" t="s">
        <v>37</v>
      </c>
      <c r="C355" s="17" t="s">
        <v>29</v>
      </c>
      <c r="D355" s="17" t="s">
        <v>30</v>
      </c>
      <c r="E355" s="17">
        <v>30118404</v>
      </c>
      <c r="F355" s="17" t="s">
        <v>14</v>
      </c>
      <c r="G355" s="17" t="s">
        <v>19</v>
      </c>
      <c r="H355" s="17"/>
      <c r="I355" s="17"/>
      <c r="J355" s="17"/>
      <c r="K355" s="17" t="str">
        <f>IF(AND(DailyCheck[[#This Row],[Required On-Site]]="Yes",DailyCheck[[#This Row],[Manager Review]]="Remote"),"Compliance Issue","")</f>
        <v/>
      </c>
    </row>
    <row r="356" spans="1:11" hidden="1">
      <c r="A356" s="16">
        <f>IF(B356="", "", DATE(2026, 9, COUNTIFS($B$2:$B356, B356)))</f>
        <v>46290</v>
      </c>
      <c r="B356" s="17" t="s">
        <v>37</v>
      </c>
      <c r="C356" s="17" t="s">
        <v>29</v>
      </c>
      <c r="D356" s="17" t="s">
        <v>30</v>
      </c>
      <c r="E356" s="17">
        <v>30118404</v>
      </c>
      <c r="F356" s="17" t="s">
        <v>14</v>
      </c>
      <c r="G356" s="17" t="s">
        <v>19</v>
      </c>
      <c r="H356" s="17"/>
      <c r="I356" s="17"/>
      <c r="J356" s="17"/>
      <c r="K356" s="17" t="str">
        <f>IF(AND(DailyCheck[[#This Row],[Required On-Site]]="Yes",DailyCheck[[#This Row],[Manager Review]]="Remote"),"Compliance Issue","")</f>
        <v/>
      </c>
    </row>
    <row r="357" spans="1:11" hidden="1">
      <c r="A357" s="16">
        <f>IF(B357="", "", DATE(2026, 9, COUNTIFS($B$2:$B357, B357)))</f>
        <v>46291</v>
      </c>
      <c r="B357" s="17" t="s">
        <v>37</v>
      </c>
      <c r="C357" s="17" t="s">
        <v>29</v>
      </c>
      <c r="D357" s="17" t="s">
        <v>30</v>
      </c>
      <c r="E357" s="17">
        <v>30118404</v>
      </c>
      <c r="F357" s="17" t="s">
        <v>14</v>
      </c>
      <c r="G357" s="17" t="s">
        <v>17</v>
      </c>
      <c r="H357" s="17"/>
      <c r="I357" s="17"/>
      <c r="J357" s="17"/>
      <c r="K357" s="17" t="str">
        <f>IF(AND(DailyCheck[[#This Row],[Required On-Site]]="Yes",DailyCheck[[#This Row],[Manager Review]]="Remote"),"Compliance Issue","")</f>
        <v/>
      </c>
    </row>
    <row r="358" spans="1:11" hidden="1">
      <c r="A358" s="16">
        <f>IF(B358="", "", DATE(2026, 9, COUNTIFS($B$2:$B358, B358)))</f>
        <v>46292</v>
      </c>
      <c r="B358" s="17" t="s">
        <v>37</v>
      </c>
      <c r="C358" s="17" t="s">
        <v>29</v>
      </c>
      <c r="D358" s="17" t="s">
        <v>30</v>
      </c>
      <c r="E358" s="17">
        <v>30118404</v>
      </c>
      <c r="F358" s="17" t="s">
        <v>14</v>
      </c>
      <c r="G358" s="17" t="s">
        <v>17</v>
      </c>
      <c r="H358" s="17"/>
      <c r="I358" s="17"/>
      <c r="J358" s="17"/>
      <c r="K358" s="17" t="str">
        <f>IF(AND(DailyCheck[[#This Row],[Required On-Site]]="Yes",DailyCheck[[#This Row],[Manager Review]]="Remote"),"Compliance Issue","")</f>
        <v/>
      </c>
    </row>
    <row r="359" spans="1:11" hidden="1">
      <c r="A359" s="16">
        <f>IF(B359="", "", DATE(2026, 9, COUNTIFS($B$2:$B359, B359)))</f>
        <v>46293</v>
      </c>
      <c r="B359" s="17" t="s">
        <v>37</v>
      </c>
      <c r="C359" s="17" t="s">
        <v>29</v>
      </c>
      <c r="D359" s="17" t="s">
        <v>30</v>
      </c>
      <c r="E359" s="17">
        <v>30118404</v>
      </c>
      <c r="F359" s="17" t="s">
        <v>16</v>
      </c>
      <c r="G359" s="17" t="s">
        <v>19</v>
      </c>
      <c r="H359" s="17" t="s">
        <v>16</v>
      </c>
      <c r="I359" s="17"/>
      <c r="J359" s="17"/>
      <c r="K359" s="17" t="str">
        <f>IF(AND(DailyCheck[[#This Row],[Required On-Site]]="Yes",DailyCheck[[#This Row],[Manager Review]]="Remote"),"Compliance Issue","")</f>
        <v>Compliance Issue</v>
      </c>
    </row>
    <row r="360" spans="1:11" hidden="1">
      <c r="A360" s="16">
        <f>IF(B360="", "", DATE(2026, 9, COUNTIFS($B$2:$B360, B360)))</f>
        <v>46294</v>
      </c>
      <c r="B360" s="17" t="s">
        <v>37</v>
      </c>
      <c r="C360" s="17" t="s">
        <v>29</v>
      </c>
      <c r="D360" s="17" t="s">
        <v>30</v>
      </c>
      <c r="E360" s="17">
        <v>30118404</v>
      </c>
      <c r="F360" s="17" t="s">
        <v>16</v>
      </c>
      <c r="G360" s="20" t="s">
        <v>19</v>
      </c>
      <c r="H360" s="17" t="s">
        <v>16</v>
      </c>
      <c r="I360" s="17"/>
      <c r="J360" s="17"/>
      <c r="K360" s="17" t="str">
        <f>IF(AND(DailyCheck[[#This Row],[Required On-Site]]="Yes",DailyCheck[[#This Row],[Manager Review]]="Remote"),"Compliance Issue","")</f>
        <v>Compliance Issue</v>
      </c>
    </row>
    <row r="361" spans="1:11" hidden="1">
      <c r="A361" s="16">
        <f>IF(B361="", "", DATE(2026, 9, COUNTIFS($B$2:$B361, B361)))</f>
        <v>46295</v>
      </c>
      <c r="B361" s="17" t="s">
        <v>37</v>
      </c>
      <c r="C361" s="17" t="s">
        <v>29</v>
      </c>
      <c r="D361" s="17" t="s">
        <v>30</v>
      </c>
      <c r="E361" s="17">
        <v>30118404</v>
      </c>
      <c r="F361" s="17" t="s">
        <v>16</v>
      </c>
      <c r="G361" s="20" t="s">
        <v>18</v>
      </c>
      <c r="H361" s="17"/>
      <c r="I361" s="17"/>
      <c r="J361" s="17"/>
      <c r="K361" s="17" t="str">
        <f>IF(AND(DailyCheck[[#This Row],[Required On-Site]]="Yes",DailyCheck[[#This Row],[Manager Review]]="Remote"),"Compliance Issue","")</f>
        <v/>
      </c>
    </row>
    <row r="362" spans="1:11" hidden="1">
      <c r="A362" s="16">
        <f>IF(B362="", "", DATE(2026, 9, COUNTIFS($B$2:$B362, B362)))</f>
        <v>46266</v>
      </c>
      <c r="B362" s="17" t="s">
        <v>38</v>
      </c>
      <c r="C362" s="17" t="s">
        <v>39</v>
      </c>
      <c r="D362" s="17" t="s">
        <v>40</v>
      </c>
      <c r="E362" s="17">
        <v>30001414</v>
      </c>
      <c r="F362" s="17" t="s">
        <v>14</v>
      </c>
      <c r="G362" s="20" t="s">
        <v>15</v>
      </c>
      <c r="H362" s="17" t="s">
        <v>16</v>
      </c>
      <c r="I362" s="17"/>
      <c r="J362" s="17"/>
      <c r="K362" s="17" t="str">
        <f>IF(AND(DailyCheck[[#This Row],[Required On-Site]]="Yes",DailyCheck[[#This Row],[Manager Review]]="Remote"),"Compliance Issue","")</f>
        <v/>
      </c>
    </row>
    <row r="363" spans="1:11" hidden="1">
      <c r="A363" s="16">
        <f>IF(B363="", "", DATE(2026, 9, COUNTIFS($B$2:$B363, B363)))</f>
        <v>46267</v>
      </c>
      <c r="B363" s="17" t="s">
        <v>38</v>
      </c>
      <c r="C363" s="17" t="s">
        <v>39</v>
      </c>
      <c r="D363" s="17" t="s">
        <v>40</v>
      </c>
      <c r="E363" s="17">
        <v>30001414</v>
      </c>
      <c r="F363" s="17" t="s">
        <v>14</v>
      </c>
      <c r="G363" s="20" t="s">
        <v>15</v>
      </c>
      <c r="H363" s="17" t="s">
        <v>16</v>
      </c>
      <c r="I363" s="17"/>
      <c r="J363" s="17"/>
      <c r="K363" s="17" t="str">
        <f>IF(AND(DailyCheck[[#This Row],[Required On-Site]]="Yes",DailyCheck[[#This Row],[Manager Review]]="Remote"),"Compliance Issue","")</f>
        <v/>
      </c>
    </row>
    <row r="364" spans="1:11" hidden="1">
      <c r="A364" s="16">
        <f>IF(B364="", "", DATE(2026, 9, COUNTIFS($B$2:$B364, B364)))</f>
        <v>46268</v>
      </c>
      <c r="B364" s="17" t="s">
        <v>38</v>
      </c>
      <c r="C364" s="17" t="s">
        <v>39</v>
      </c>
      <c r="D364" s="17" t="s">
        <v>40</v>
      </c>
      <c r="E364" s="17">
        <v>30001414</v>
      </c>
      <c r="F364" s="17" t="s">
        <v>14</v>
      </c>
      <c r="G364" s="17" t="s">
        <v>15</v>
      </c>
      <c r="H364" s="17" t="s">
        <v>16</v>
      </c>
      <c r="I364" s="17"/>
      <c r="J364" s="17"/>
      <c r="K364" s="17" t="str">
        <f>IF(AND(DailyCheck[[#This Row],[Required On-Site]]="Yes",DailyCheck[[#This Row],[Manager Review]]="Remote"),"Compliance Issue","")</f>
        <v/>
      </c>
    </row>
    <row r="365" spans="1:11" hidden="1">
      <c r="A365" s="16">
        <f>IF(B365="", "", DATE(2026, 9, COUNTIFS($B$2:$B365, B365)))</f>
        <v>46269</v>
      </c>
      <c r="B365" s="17" t="s">
        <v>38</v>
      </c>
      <c r="C365" s="17" t="s">
        <v>39</v>
      </c>
      <c r="D365" s="17" t="s">
        <v>40</v>
      </c>
      <c r="E365" s="17">
        <v>30001414</v>
      </c>
      <c r="F365" s="17" t="s">
        <v>16</v>
      </c>
      <c r="G365" s="17" t="s">
        <v>15</v>
      </c>
      <c r="H365" s="17" t="s">
        <v>16</v>
      </c>
      <c r="I365" s="17"/>
      <c r="J365" s="17"/>
      <c r="K365" s="17" t="str">
        <f>IF(AND(DailyCheck[[#This Row],[Required On-Site]]="Yes",DailyCheck[[#This Row],[Manager Review]]="Remote"),"Compliance Issue","")</f>
        <v/>
      </c>
    </row>
    <row r="366" spans="1:11" hidden="1">
      <c r="A366" s="16">
        <f>IF(B366="", "", DATE(2026, 9, COUNTIFS($B$2:$B366, B366)))</f>
        <v>46270</v>
      </c>
      <c r="B366" s="17" t="s">
        <v>38</v>
      </c>
      <c r="C366" s="17" t="s">
        <v>39</v>
      </c>
      <c r="D366" s="17" t="s">
        <v>40</v>
      </c>
      <c r="E366" s="17">
        <v>30001414</v>
      </c>
      <c r="F366" s="17" t="s">
        <v>14</v>
      </c>
      <c r="G366" s="17" t="s">
        <v>17</v>
      </c>
      <c r="H366" s="17"/>
      <c r="I366" s="17"/>
      <c r="J366" s="17"/>
      <c r="K366" s="17" t="str">
        <f>IF(AND(DailyCheck[[#This Row],[Required On-Site]]="Yes",DailyCheck[[#This Row],[Manager Review]]="Remote"),"Compliance Issue","")</f>
        <v/>
      </c>
    </row>
    <row r="367" spans="1:11" hidden="1">
      <c r="A367" s="16">
        <f>IF(B367="", "", DATE(2026, 9, COUNTIFS($B$2:$B367, B367)))</f>
        <v>46271</v>
      </c>
      <c r="B367" s="17" t="s">
        <v>38</v>
      </c>
      <c r="C367" s="17" t="s">
        <v>39</v>
      </c>
      <c r="D367" s="17" t="s">
        <v>40</v>
      </c>
      <c r="E367" s="17">
        <v>30001414</v>
      </c>
      <c r="F367" s="17" t="s">
        <v>14</v>
      </c>
      <c r="G367" s="17" t="s">
        <v>17</v>
      </c>
      <c r="H367" s="17"/>
      <c r="I367" s="17"/>
      <c r="J367" s="17"/>
      <c r="K367" s="17" t="str">
        <f>IF(AND(DailyCheck[[#This Row],[Required On-Site]]="Yes",DailyCheck[[#This Row],[Manager Review]]="Remote"),"Compliance Issue","")</f>
        <v/>
      </c>
    </row>
    <row r="368" spans="1:11" hidden="1">
      <c r="A368" s="16">
        <f>IF(B368="", "", DATE(2026, 9, COUNTIFS($B$2:$B368, B368)))</f>
        <v>46272</v>
      </c>
      <c r="B368" s="17" t="s">
        <v>38</v>
      </c>
      <c r="C368" s="17" t="s">
        <v>39</v>
      </c>
      <c r="D368" s="17" t="s">
        <v>40</v>
      </c>
      <c r="E368" s="17">
        <v>30001414</v>
      </c>
      <c r="F368" s="17" t="s">
        <v>14</v>
      </c>
      <c r="G368" s="17" t="s">
        <v>19</v>
      </c>
      <c r="H368" s="17"/>
      <c r="I368" s="17"/>
      <c r="J368" s="17"/>
      <c r="K368" s="17" t="str">
        <f>IF(AND(DailyCheck[[#This Row],[Required On-Site]]="Yes",DailyCheck[[#This Row],[Manager Review]]="Remote"),"Compliance Issue","")</f>
        <v/>
      </c>
    </row>
    <row r="369" spans="1:11" hidden="1">
      <c r="A369" s="16">
        <f>IF(B369="", "", DATE(2026, 9, COUNTIFS($B$2:$B369, B369)))</f>
        <v>46273</v>
      </c>
      <c r="B369" s="17" t="s">
        <v>38</v>
      </c>
      <c r="C369" s="17" t="s">
        <v>39</v>
      </c>
      <c r="D369" s="17" t="s">
        <v>40</v>
      </c>
      <c r="E369" s="17">
        <v>30001414</v>
      </c>
      <c r="F369" s="17" t="s">
        <v>16</v>
      </c>
      <c r="G369" s="20" t="s">
        <v>18</v>
      </c>
      <c r="H369" s="17"/>
      <c r="I369" s="17"/>
      <c r="J369" s="17"/>
      <c r="K369" s="17" t="str">
        <f>IF(AND(DailyCheck[[#This Row],[Required On-Site]]="Yes",DailyCheck[[#This Row],[Manager Review]]="Remote"),"Compliance Issue","")</f>
        <v/>
      </c>
    </row>
    <row r="370" spans="1:11" hidden="1">
      <c r="A370" s="16">
        <f>IF(B370="", "", DATE(2026, 9, COUNTIFS($B$2:$B370, B370)))</f>
        <v>46274</v>
      </c>
      <c r="B370" s="17" t="s">
        <v>38</v>
      </c>
      <c r="C370" s="17" t="s">
        <v>39</v>
      </c>
      <c r="D370" s="17" t="s">
        <v>40</v>
      </c>
      <c r="E370" s="17">
        <v>30001414</v>
      </c>
      <c r="F370" s="17" t="s">
        <v>16</v>
      </c>
      <c r="G370" s="20" t="s">
        <v>18</v>
      </c>
      <c r="H370" s="17"/>
      <c r="I370" s="17"/>
      <c r="J370" s="17"/>
      <c r="K370" s="17" t="str">
        <f>IF(AND(DailyCheck[[#This Row],[Required On-Site]]="Yes",DailyCheck[[#This Row],[Manager Review]]="Remote"),"Compliance Issue","")</f>
        <v/>
      </c>
    </row>
    <row r="371" spans="1:11" hidden="1">
      <c r="A371" s="16">
        <f>IF(B371="", "", DATE(2026, 9, COUNTIFS($B$2:$B371, B371)))</f>
        <v>46275</v>
      </c>
      <c r="B371" s="17" t="s">
        <v>38</v>
      </c>
      <c r="C371" s="17" t="s">
        <v>39</v>
      </c>
      <c r="D371" s="17" t="s">
        <v>40</v>
      </c>
      <c r="E371" s="17">
        <v>30001414</v>
      </c>
      <c r="F371" s="17" t="s">
        <v>16</v>
      </c>
      <c r="G371" s="17" t="s">
        <v>18</v>
      </c>
      <c r="H371" s="17"/>
      <c r="I371" s="17"/>
      <c r="J371" s="17"/>
      <c r="K371" s="17" t="str">
        <f>IF(AND(DailyCheck[[#This Row],[Required On-Site]]="Yes",DailyCheck[[#This Row],[Manager Review]]="Remote"),"Compliance Issue","")</f>
        <v/>
      </c>
    </row>
    <row r="372" spans="1:11" hidden="1">
      <c r="A372" s="16">
        <f>IF(B372="", "", DATE(2026, 9, COUNTIFS($B$2:$B372, B372)))</f>
        <v>46276</v>
      </c>
      <c r="B372" s="17" t="s">
        <v>38</v>
      </c>
      <c r="C372" s="17" t="s">
        <v>39</v>
      </c>
      <c r="D372" s="17" t="s">
        <v>40</v>
      </c>
      <c r="E372" s="17">
        <v>30001414</v>
      </c>
      <c r="F372" s="17" t="s">
        <v>14</v>
      </c>
      <c r="G372" s="17" t="s">
        <v>19</v>
      </c>
      <c r="H372" s="17"/>
      <c r="I372" s="17"/>
      <c r="J372" s="17"/>
      <c r="K372" s="17" t="str">
        <f>IF(AND(DailyCheck[[#This Row],[Required On-Site]]="Yes",DailyCheck[[#This Row],[Manager Review]]="Remote"),"Compliance Issue","")</f>
        <v/>
      </c>
    </row>
    <row r="373" spans="1:11" hidden="1">
      <c r="A373" s="16">
        <f>IF(B373="", "", DATE(2026, 9, COUNTIFS($B$2:$B373, B373)))</f>
        <v>46277</v>
      </c>
      <c r="B373" s="17" t="s">
        <v>38</v>
      </c>
      <c r="C373" s="17" t="s">
        <v>39</v>
      </c>
      <c r="D373" s="17" t="s">
        <v>40</v>
      </c>
      <c r="E373" s="17">
        <v>30001414</v>
      </c>
      <c r="F373" s="17" t="s">
        <v>14</v>
      </c>
      <c r="G373" s="17" t="s">
        <v>17</v>
      </c>
      <c r="H373" s="17"/>
      <c r="I373" s="17"/>
      <c r="J373" s="17"/>
      <c r="K373" s="17" t="str">
        <f>IF(AND(DailyCheck[[#This Row],[Required On-Site]]="Yes",DailyCheck[[#This Row],[Manager Review]]="Remote"),"Compliance Issue","")</f>
        <v/>
      </c>
    </row>
    <row r="374" spans="1:11" hidden="1">
      <c r="A374" s="16">
        <f>IF(B374="", "", DATE(2026, 9, COUNTIFS($B$2:$B374, B374)))</f>
        <v>46278</v>
      </c>
      <c r="B374" s="17" t="s">
        <v>38</v>
      </c>
      <c r="C374" s="17" t="s">
        <v>39</v>
      </c>
      <c r="D374" s="17" t="s">
        <v>40</v>
      </c>
      <c r="E374" s="17">
        <v>30001414</v>
      </c>
      <c r="F374" s="17" t="s">
        <v>14</v>
      </c>
      <c r="G374" s="17" t="s">
        <v>17</v>
      </c>
      <c r="H374" s="17"/>
      <c r="I374" s="17"/>
      <c r="J374" s="17"/>
      <c r="K374" s="17" t="str">
        <f>IF(AND(DailyCheck[[#This Row],[Required On-Site]]="Yes",DailyCheck[[#This Row],[Manager Review]]="Remote"),"Compliance Issue","")</f>
        <v/>
      </c>
    </row>
    <row r="375" spans="1:11" hidden="1">
      <c r="A375" s="16">
        <f>IF(B375="", "", DATE(2026, 9, COUNTIFS($B$2:$B375, B375)))</f>
        <v>46279</v>
      </c>
      <c r="B375" s="17" t="s">
        <v>38</v>
      </c>
      <c r="C375" s="17" t="s">
        <v>39</v>
      </c>
      <c r="D375" s="17" t="s">
        <v>40</v>
      </c>
      <c r="E375" s="17">
        <v>30001414</v>
      </c>
      <c r="F375" s="17" t="s">
        <v>14</v>
      </c>
      <c r="G375" s="17" t="s">
        <v>19</v>
      </c>
      <c r="H375" s="17"/>
      <c r="I375" s="17"/>
      <c r="J375" s="17"/>
      <c r="K375" s="17" t="str">
        <f>IF(AND(DailyCheck[[#This Row],[Required On-Site]]="Yes",DailyCheck[[#This Row],[Manager Review]]="Remote"),"Compliance Issue","")</f>
        <v/>
      </c>
    </row>
    <row r="376" spans="1:11" hidden="1">
      <c r="A376" s="16">
        <f>IF(B376="", "", DATE(2026, 9, COUNTIFS($B$2:$B376, B376)))</f>
        <v>46280</v>
      </c>
      <c r="B376" s="17" t="s">
        <v>38</v>
      </c>
      <c r="C376" s="17" t="s">
        <v>39</v>
      </c>
      <c r="D376" s="17" t="s">
        <v>40</v>
      </c>
      <c r="E376" s="17">
        <v>30001414</v>
      </c>
      <c r="F376" s="17" t="s">
        <v>16</v>
      </c>
      <c r="G376" s="20" t="s">
        <v>18</v>
      </c>
      <c r="H376" s="17"/>
      <c r="I376" s="17"/>
      <c r="J376" s="17"/>
      <c r="K376" s="17" t="str">
        <f>IF(AND(DailyCheck[[#This Row],[Required On-Site]]="Yes",DailyCheck[[#This Row],[Manager Review]]="Remote"),"Compliance Issue","")</f>
        <v/>
      </c>
    </row>
    <row r="377" spans="1:11" hidden="1">
      <c r="A377" s="16">
        <f>IF(B377="", "", DATE(2026, 9, COUNTIFS($B$2:$B377, B377)))</f>
        <v>46281</v>
      </c>
      <c r="B377" s="17" t="s">
        <v>38</v>
      </c>
      <c r="C377" s="17" t="s">
        <v>39</v>
      </c>
      <c r="D377" s="17" t="s">
        <v>40</v>
      </c>
      <c r="E377" s="17">
        <v>30001414</v>
      </c>
      <c r="F377" s="17" t="s">
        <v>16</v>
      </c>
      <c r="G377" s="20" t="s">
        <v>18</v>
      </c>
      <c r="H377" s="17"/>
      <c r="I377" s="17"/>
      <c r="J377" s="17"/>
      <c r="K377" s="17" t="str">
        <f>IF(AND(DailyCheck[[#This Row],[Required On-Site]]="Yes",DailyCheck[[#This Row],[Manager Review]]="Remote"),"Compliance Issue","")</f>
        <v/>
      </c>
    </row>
    <row r="378" spans="1:11" hidden="1">
      <c r="A378" s="16">
        <f>IF(B378="", "", DATE(2026, 9, COUNTIFS($B$2:$B378, B378)))</f>
        <v>46282</v>
      </c>
      <c r="B378" s="17" t="s">
        <v>38</v>
      </c>
      <c r="C378" s="17" t="s">
        <v>39</v>
      </c>
      <c r="D378" s="17" t="s">
        <v>40</v>
      </c>
      <c r="E378" s="17">
        <v>30001414</v>
      </c>
      <c r="F378" s="17" t="s">
        <v>16</v>
      </c>
      <c r="G378" s="17" t="s">
        <v>18</v>
      </c>
      <c r="H378" s="17"/>
      <c r="I378" s="17"/>
      <c r="J378" s="17"/>
      <c r="K378" s="17" t="str">
        <f>IF(AND(DailyCheck[[#This Row],[Required On-Site]]="Yes",DailyCheck[[#This Row],[Manager Review]]="Remote"),"Compliance Issue","")</f>
        <v/>
      </c>
    </row>
    <row r="379" spans="1:11" hidden="1">
      <c r="A379" s="16">
        <f>IF(B379="", "", DATE(2026, 9, COUNTIFS($B$2:$B379, B379)))</f>
        <v>46283</v>
      </c>
      <c r="B379" s="17" t="s">
        <v>38</v>
      </c>
      <c r="C379" s="17" t="s">
        <v>39</v>
      </c>
      <c r="D379" s="17" t="s">
        <v>40</v>
      </c>
      <c r="E379" s="17">
        <v>30001414</v>
      </c>
      <c r="F379" s="17" t="s">
        <v>14</v>
      </c>
      <c r="G379" s="17" t="s">
        <v>19</v>
      </c>
      <c r="H379" s="17"/>
      <c r="I379" s="17"/>
      <c r="J379" s="17"/>
      <c r="K379" s="17" t="str">
        <f>IF(AND(DailyCheck[[#This Row],[Required On-Site]]="Yes",DailyCheck[[#This Row],[Manager Review]]="Remote"),"Compliance Issue","")</f>
        <v/>
      </c>
    </row>
    <row r="380" spans="1:11" hidden="1">
      <c r="A380" s="16">
        <f>IF(B380="", "", DATE(2026, 9, COUNTIFS($B$2:$B380, B380)))</f>
        <v>46284</v>
      </c>
      <c r="B380" s="17" t="s">
        <v>38</v>
      </c>
      <c r="C380" s="17" t="s">
        <v>39</v>
      </c>
      <c r="D380" s="17" t="s">
        <v>40</v>
      </c>
      <c r="E380" s="17">
        <v>30001414</v>
      </c>
      <c r="F380" s="17" t="s">
        <v>14</v>
      </c>
      <c r="G380" s="17" t="s">
        <v>17</v>
      </c>
      <c r="H380" s="17"/>
      <c r="I380" s="17"/>
      <c r="J380" s="17"/>
      <c r="K380" s="17" t="str">
        <f>IF(AND(DailyCheck[[#This Row],[Required On-Site]]="Yes",DailyCheck[[#This Row],[Manager Review]]="Remote"),"Compliance Issue","")</f>
        <v/>
      </c>
    </row>
    <row r="381" spans="1:11" hidden="1">
      <c r="A381" s="16">
        <f>IF(B381="", "", DATE(2026, 9, COUNTIFS($B$2:$B381, B381)))</f>
        <v>46285</v>
      </c>
      <c r="B381" s="17" t="s">
        <v>38</v>
      </c>
      <c r="C381" s="17" t="s">
        <v>39</v>
      </c>
      <c r="D381" s="17" t="s">
        <v>40</v>
      </c>
      <c r="E381" s="17">
        <v>30001414</v>
      </c>
      <c r="F381" s="17" t="s">
        <v>14</v>
      </c>
      <c r="G381" s="17" t="s">
        <v>17</v>
      </c>
      <c r="H381" s="17"/>
      <c r="I381" s="17"/>
      <c r="J381" s="17"/>
      <c r="K381" s="17" t="str">
        <f>IF(AND(DailyCheck[[#This Row],[Required On-Site]]="Yes",DailyCheck[[#This Row],[Manager Review]]="Remote"),"Compliance Issue","")</f>
        <v/>
      </c>
    </row>
    <row r="382" spans="1:11" hidden="1">
      <c r="A382" s="16">
        <f>IF(B382="", "", DATE(2026, 9, COUNTIFS($B$2:$B382, B382)))</f>
        <v>46286</v>
      </c>
      <c r="B382" s="17" t="s">
        <v>38</v>
      </c>
      <c r="C382" s="17" t="s">
        <v>39</v>
      </c>
      <c r="D382" s="17" t="s">
        <v>40</v>
      </c>
      <c r="E382" s="17">
        <v>30001414</v>
      </c>
      <c r="F382" s="17" t="s">
        <v>14</v>
      </c>
      <c r="G382" s="17" t="s">
        <v>19</v>
      </c>
      <c r="H382" s="17"/>
      <c r="I382" s="17"/>
      <c r="J382" s="17"/>
      <c r="K382" s="17" t="str">
        <f>IF(AND(DailyCheck[[#This Row],[Required On-Site]]="Yes",DailyCheck[[#This Row],[Manager Review]]="Remote"),"Compliance Issue","")</f>
        <v/>
      </c>
    </row>
    <row r="383" spans="1:11" hidden="1">
      <c r="A383" s="16">
        <f>IF(B383="", "", DATE(2026, 9, COUNTIFS($B$2:$B383, B383)))</f>
        <v>46287</v>
      </c>
      <c r="B383" s="17" t="s">
        <v>38</v>
      </c>
      <c r="C383" s="17" t="s">
        <v>39</v>
      </c>
      <c r="D383" s="17" t="s">
        <v>40</v>
      </c>
      <c r="E383" s="17">
        <v>30001414</v>
      </c>
      <c r="F383" s="17" t="s">
        <v>16</v>
      </c>
      <c r="G383" s="20" t="s">
        <v>18</v>
      </c>
      <c r="H383" s="17"/>
      <c r="I383" s="17"/>
      <c r="J383" s="17"/>
      <c r="K383" s="17" t="str">
        <f>IF(AND(DailyCheck[[#This Row],[Required On-Site]]="Yes",DailyCheck[[#This Row],[Manager Review]]="Remote"),"Compliance Issue","")</f>
        <v/>
      </c>
    </row>
    <row r="384" spans="1:11" hidden="1">
      <c r="A384" s="16">
        <f>IF(B384="", "", DATE(2026, 9, COUNTIFS($B$2:$B384, B384)))</f>
        <v>46288</v>
      </c>
      <c r="B384" s="17" t="s">
        <v>38</v>
      </c>
      <c r="C384" s="17" t="s">
        <v>39</v>
      </c>
      <c r="D384" s="17" t="s">
        <v>40</v>
      </c>
      <c r="E384" s="17">
        <v>30001414</v>
      </c>
      <c r="F384" s="17" t="s">
        <v>16</v>
      </c>
      <c r="G384" s="20" t="s">
        <v>18</v>
      </c>
      <c r="H384" s="17"/>
      <c r="I384" s="17"/>
      <c r="J384" s="17"/>
      <c r="K384" s="17" t="str">
        <f>IF(AND(DailyCheck[[#This Row],[Required On-Site]]="Yes",DailyCheck[[#This Row],[Manager Review]]="Remote"),"Compliance Issue","")</f>
        <v/>
      </c>
    </row>
    <row r="385" spans="1:11" hidden="1">
      <c r="A385" s="16">
        <f>IF(B385="", "", DATE(2026, 9, COUNTIFS($B$2:$B385, B385)))</f>
        <v>46289</v>
      </c>
      <c r="B385" s="17" t="s">
        <v>38</v>
      </c>
      <c r="C385" s="17" t="s">
        <v>39</v>
      </c>
      <c r="D385" s="17" t="s">
        <v>40</v>
      </c>
      <c r="E385" s="17">
        <v>30001414</v>
      </c>
      <c r="F385" s="17" t="s">
        <v>16</v>
      </c>
      <c r="G385" s="17" t="s">
        <v>18</v>
      </c>
      <c r="H385" s="17"/>
      <c r="I385" s="17"/>
      <c r="J385" s="17"/>
      <c r="K385" s="17" t="str">
        <f>IF(AND(DailyCheck[[#This Row],[Required On-Site]]="Yes",DailyCheck[[#This Row],[Manager Review]]="Remote"),"Compliance Issue","")</f>
        <v/>
      </c>
    </row>
    <row r="386" spans="1:11" hidden="1">
      <c r="A386" s="16">
        <f>IF(B386="", "", DATE(2026, 9, COUNTIFS($B$2:$B386, B386)))</f>
        <v>46290</v>
      </c>
      <c r="B386" s="17" t="s">
        <v>38</v>
      </c>
      <c r="C386" s="17" t="s">
        <v>39</v>
      </c>
      <c r="D386" s="17" t="s">
        <v>40</v>
      </c>
      <c r="E386" s="17">
        <v>30001414</v>
      </c>
      <c r="F386" s="17" t="s">
        <v>14</v>
      </c>
      <c r="G386" s="17" t="s">
        <v>19</v>
      </c>
      <c r="H386" s="17"/>
      <c r="I386" s="17"/>
      <c r="J386" s="17"/>
      <c r="K386" s="17" t="str">
        <f>IF(AND(DailyCheck[[#This Row],[Required On-Site]]="Yes",DailyCheck[[#This Row],[Manager Review]]="Remote"),"Compliance Issue","")</f>
        <v/>
      </c>
    </row>
    <row r="387" spans="1:11" hidden="1">
      <c r="A387" s="16">
        <f>IF(B387="", "", DATE(2026, 9, COUNTIFS($B$2:$B387, B387)))</f>
        <v>46291</v>
      </c>
      <c r="B387" s="17" t="s">
        <v>38</v>
      </c>
      <c r="C387" s="17" t="s">
        <v>39</v>
      </c>
      <c r="D387" s="17" t="s">
        <v>40</v>
      </c>
      <c r="E387" s="17">
        <v>30001414</v>
      </c>
      <c r="F387" s="17" t="s">
        <v>14</v>
      </c>
      <c r="G387" s="17" t="s">
        <v>17</v>
      </c>
      <c r="H387" s="17"/>
      <c r="I387" s="17"/>
      <c r="J387" s="17"/>
      <c r="K387" s="17" t="str">
        <f>IF(AND(DailyCheck[[#This Row],[Required On-Site]]="Yes",DailyCheck[[#This Row],[Manager Review]]="Remote"),"Compliance Issue","")</f>
        <v/>
      </c>
    </row>
    <row r="388" spans="1:11" hidden="1">
      <c r="A388" s="16">
        <f>IF(B388="", "", DATE(2026, 9, COUNTIFS($B$2:$B388, B388)))</f>
        <v>46292</v>
      </c>
      <c r="B388" s="17" t="s">
        <v>38</v>
      </c>
      <c r="C388" s="17" t="s">
        <v>39</v>
      </c>
      <c r="D388" s="17" t="s">
        <v>40</v>
      </c>
      <c r="E388" s="17">
        <v>30001414</v>
      </c>
      <c r="F388" s="17" t="s">
        <v>14</v>
      </c>
      <c r="G388" s="17" t="s">
        <v>17</v>
      </c>
      <c r="H388" s="17"/>
      <c r="I388" s="17"/>
      <c r="J388" s="17"/>
      <c r="K388" s="17" t="str">
        <f>IF(AND(DailyCheck[[#This Row],[Required On-Site]]="Yes",DailyCheck[[#This Row],[Manager Review]]="Remote"),"Compliance Issue","")</f>
        <v/>
      </c>
    </row>
    <row r="389" spans="1:11" hidden="1">
      <c r="A389" s="16">
        <f>IF(B389="", "", DATE(2026, 9, COUNTIFS($B$2:$B389, B389)))</f>
        <v>46293</v>
      </c>
      <c r="B389" s="17" t="s">
        <v>38</v>
      </c>
      <c r="C389" s="17" t="s">
        <v>39</v>
      </c>
      <c r="D389" s="17" t="s">
        <v>40</v>
      </c>
      <c r="E389" s="17">
        <v>30001414</v>
      </c>
      <c r="F389" s="17" t="s">
        <v>14</v>
      </c>
      <c r="G389" s="17" t="s">
        <v>19</v>
      </c>
      <c r="H389" s="17"/>
      <c r="I389" s="17"/>
      <c r="J389" s="17"/>
      <c r="K389" s="17" t="str">
        <f>IF(AND(DailyCheck[[#This Row],[Required On-Site]]="Yes",DailyCheck[[#This Row],[Manager Review]]="Remote"),"Compliance Issue","")</f>
        <v/>
      </c>
    </row>
    <row r="390" spans="1:11" hidden="1">
      <c r="A390" s="16">
        <f>IF(B390="", "", DATE(2026, 9, COUNTIFS($B$2:$B390, B390)))</f>
        <v>46294</v>
      </c>
      <c r="B390" s="17" t="s">
        <v>38</v>
      </c>
      <c r="C390" s="17" t="s">
        <v>39</v>
      </c>
      <c r="D390" s="17" t="s">
        <v>40</v>
      </c>
      <c r="E390" s="17">
        <v>30001414</v>
      </c>
      <c r="F390" s="17" t="s">
        <v>16</v>
      </c>
      <c r="G390" s="20" t="s">
        <v>19</v>
      </c>
      <c r="H390" s="17" t="s">
        <v>16</v>
      </c>
      <c r="I390" s="17"/>
      <c r="J390" s="17"/>
      <c r="K390" s="17" t="str">
        <f>IF(AND(DailyCheck[[#This Row],[Required On-Site]]="Yes",DailyCheck[[#This Row],[Manager Review]]="Remote"),"Compliance Issue","")</f>
        <v>Compliance Issue</v>
      </c>
    </row>
    <row r="391" spans="1:11" hidden="1">
      <c r="A391" s="16">
        <f>IF(B391="", "", DATE(2026, 9, COUNTIFS($B$2:$B391, B391)))</f>
        <v>46295</v>
      </c>
      <c r="B391" s="17" t="s">
        <v>38</v>
      </c>
      <c r="C391" s="17" t="s">
        <v>39</v>
      </c>
      <c r="D391" s="17" t="s">
        <v>40</v>
      </c>
      <c r="E391" s="17">
        <v>30001414</v>
      </c>
      <c r="F391" s="17" t="s">
        <v>16</v>
      </c>
      <c r="G391" s="20" t="s">
        <v>18</v>
      </c>
      <c r="H391" s="17"/>
      <c r="I391" s="17"/>
      <c r="J391" s="17"/>
      <c r="K391" s="17" t="str">
        <f>IF(AND(DailyCheck[[#This Row],[Required On-Site]]="Yes",DailyCheck[[#This Row],[Manager Review]]="Remote"),"Compliance Issue","")</f>
        <v/>
      </c>
    </row>
    <row r="392" spans="1:11" hidden="1">
      <c r="A392" s="16">
        <f>IF(B392="", "", DATE(2026, 9, COUNTIFS($B$2:$B392, B392)))</f>
        <v>46266</v>
      </c>
      <c r="B392" s="17" t="s">
        <v>41</v>
      </c>
      <c r="C392" s="17" t="s">
        <v>39</v>
      </c>
      <c r="D392" s="17" t="s">
        <v>40</v>
      </c>
      <c r="E392" s="17">
        <v>30002263</v>
      </c>
      <c r="F392" s="17" t="s">
        <v>14</v>
      </c>
      <c r="G392" s="20" t="s">
        <v>19</v>
      </c>
      <c r="H392" s="17"/>
      <c r="I392" s="17"/>
      <c r="J392" s="17"/>
      <c r="K392" s="17" t="str">
        <f>IF(AND(DailyCheck[[#This Row],[Required On-Site]]="Yes",DailyCheck[[#This Row],[Manager Review]]="Remote"),"Compliance Issue","")</f>
        <v/>
      </c>
    </row>
    <row r="393" spans="1:11" hidden="1">
      <c r="A393" s="16">
        <f>IF(B393="", "", DATE(2026, 9, COUNTIFS($B$2:$B393, B393)))</f>
        <v>46267</v>
      </c>
      <c r="B393" s="17" t="s">
        <v>41</v>
      </c>
      <c r="C393" s="17" t="s">
        <v>39</v>
      </c>
      <c r="D393" s="17" t="s">
        <v>40</v>
      </c>
      <c r="E393" s="17">
        <v>30002263</v>
      </c>
      <c r="F393" s="17" t="s">
        <v>16</v>
      </c>
      <c r="G393" s="20" t="s">
        <v>18</v>
      </c>
      <c r="H393" s="17"/>
      <c r="I393" s="17"/>
      <c r="J393" s="17"/>
      <c r="K393" s="17" t="str">
        <f>IF(AND(DailyCheck[[#This Row],[Required On-Site]]="Yes",DailyCheck[[#This Row],[Manager Review]]="Remote"),"Compliance Issue","")</f>
        <v/>
      </c>
    </row>
    <row r="394" spans="1:11" hidden="1">
      <c r="A394" s="16">
        <f>IF(B394="", "", DATE(2026, 9, COUNTIFS($B$2:$B394, B394)))</f>
        <v>46268</v>
      </c>
      <c r="B394" s="17" t="s">
        <v>41</v>
      </c>
      <c r="C394" s="17" t="s">
        <v>39</v>
      </c>
      <c r="D394" s="17" t="s">
        <v>40</v>
      </c>
      <c r="E394" s="17">
        <v>30002263</v>
      </c>
      <c r="F394" s="17" t="s">
        <v>14</v>
      </c>
      <c r="G394" s="17" t="s">
        <v>19</v>
      </c>
      <c r="H394" s="17"/>
      <c r="I394" s="17"/>
      <c r="J394" s="17"/>
      <c r="K394" s="17" t="str">
        <f>IF(AND(DailyCheck[[#This Row],[Required On-Site]]="Yes",DailyCheck[[#This Row],[Manager Review]]="Remote"),"Compliance Issue","")</f>
        <v/>
      </c>
    </row>
    <row r="395" spans="1:11" hidden="1">
      <c r="A395" s="16">
        <f>IF(B395="", "", DATE(2026, 9, COUNTIFS($B$2:$B395, B395)))</f>
        <v>46269</v>
      </c>
      <c r="B395" s="17" t="s">
        <v>41</v>
      </c>
      <c r="C395" s="17" t="s">
        <v>39</v>
      </c>
      <c r="D395" s="17" t="s">
        <v>40</v>
      </c>
      <c r="E395" s="17">
        <v>30002263</v>
      </c>
      <c r="F395" s="17" t="s">
        <v>16</v>
      </c>
      <c r="G395" s="17" t="s">
        <v>19</v>
      </c>
      <c r="H395" s="17" t="s">
        <v>16</v>
      </c>
      <c r="I395" s="17"/>
      <c r="J395" s="17"/>
      <c r="K395" s="17" t="str">
        <f>IF(AND(DailyCheck[[#This Row],[Required On-Site]]="Yes",DailyCheck[[#This Row],[Manager Review]]="Remote"),"Compliance Issue","")</f>
        <v>Compliance Issue</v>
      </c>
    </row>
    <row r="396" spans="1:11" hidden="1">
      <c r="A396" s="16">
        <f>IF(B396="", "", DATE(2026, 9, COUNTIFS($B$2:$B396, B396)))</f>
        <v>46270</v>
      </c>
      <c r="B396" s="17" t="s">
        <v>41</v>
      </c>
      <c r="C396" s="17" t="s">
        <v>39</v>
      </c>
      <c r="D396" s="17" t="s">
        <v>40</v>
      </c>
      <c r="E396" s="17">
        <v>30002263</v>
      </c>
      <c r="F396" s="17" t="s">
        <v>14</v>
      </c>
      <c r="G396" s="17" t="s">
        <v>17</v>
      </c>
      <c r="H396" s="17"/>
      <c r="I396" s="17"/>
      <c r="J396" s="17"/>
      <c r="K396" s="17" t="str">
        <f>IF(AND(DailyCheck[[#This Row],[Required On-Site]]="Yes",DailyCheck[[#This Row],[Manager Review]]="Remote"),"Compliance Issue","")</f>
        <v/>
      </c>
    </row>
    <row r="397" spans="1:11" hidden="1">
      <c r="A397" s="16">
        <f>IF(B397="", "", DATE(2026, 9, COUNTIFS($B$2:$B397, B397)))</f>
        <v>46271</v>
      </c>
      <c r="B397" s="17" t="s">
        <v>41</v>
      </c>
      <c r="C397" s="17" t="s">
        <v>39</v>
      </c>
      <c r="D397" s="17" t="s">
        <v>40</v>
      </c>
      <c r="E397" s="17">
        <v>30002263</v>
      </c>
      <c r="F397" s="17" t="s">
        <v>14</v>
      </c>
      <c r="G397" s="17" t="s">
        <v>17</v>
      </c>
      <c r="H397" s="17"/>
      <c r="I397" s="17"/>
      <c r="J397" s="17"/>
      <c r="K397" s="17" t="str">
        <f>IF(AND(DailyCheck[[#This Row],[Required On-Site]]="Yes",DailyCheck[[#This Row],[Manager Review]]="Remote"),"Compliance Issue","")</f>
        <v/>
      </c>
    </row>
    <row r="398" spans="1:11" hidden="1">
      <c r="A398" s="16">
        <f>IF(B398="", "", DATE(2026, 9, COUNTIFS($B$2:$B398, B398)))</f>
        <v>46272</v>
      </c>
      <c r="B398" s="17" t="s">
        <v>41</v>
      </c>
      <c r="C398" s="17" t="s">
        <v>39</v>
      </c>
      <c r="D398" s="17" t="s">
        <v>40</v>
      </c>
      <c r="E398" s="17">
        <v>30002263</v>
      </c>
      <c r="F398" s="17" t="s">
        <v>16</v>
      </c>
      <c r="G398" s="17" t="s">
        <v>18</v>
      </c>
      <c r="H398" s="17"/>
      <c r="I398" s="17"/>
      <c r="J398" s="17"/>
      <c r="K398" s="17" t="str">
        <f>IF(AND(DailyCheck[[#This Row],[Required On-Site]]="Yes",DailyCheck[[#This Row],[Manager Review]]="Remote"),"Compliance Issue","")</f>
        <v/>
      </c>
    </row>
    <row r="399" spans="1:11" hidden="1">
      <c r="A399" s="16">
        <f>IF(B399="", "", DATE(2026, 9, COUNTIFS($B$2:$B399, B399)))</f>
        <v>46273</v>
      </c>
      <c r="B399" s="17" t="s">
        <v>41</v>
      </c>
      <c r="C399" s="17" t="s">
        <v>39</v>
      </c>
      <c r="D399" s="17" t="s">
        <v>40</v>
      </c>
      <c r="E399" s="17">
        <v>30002263</v>
      </c>
      <c r="F399" s="17" t="s">
        <v>14</v>
      </c>
      <c r="G399" s="20" t="s">
        <v>19</v>
      </c>
      <c r="H399" s="17"/>
      <c r="I399" s="17"/>
      <c r="J399" s="17"/>
      <c r="K399" s="17" t="str">
        <f>IF(AND(DailyCheck[[#This Row],[Required On-Site]]="Yes",DailyCheck[[#This Row],[Manager Review]]="Remote"),"Compliance Issue","")</f>
        <v/>
      </c>
    </row>
    <row r="400" spans="1:11" hidden="1">
      <c r="A400" s="16">
        <f>IF(B400="", "", DATE(2026, 9, COUNTIFS($B$2:$B400, B400)))</f>
        <v>46274</v>
      </c>
      <c r="B400" s="17" t="s">
        <v>41</v>
      </c>
      <c r="C400" s="17" t="s">
        <v>39</v>
      </c>
      <c r="D400" s="17" t="s">
        <v>40</v>
      </c>
      <c r="E400" s="17">
        <v>30002263</v>
      </c>
      <c r="F400" s="17" t="s">
        <v>16</v>
      </c>
      <c r="G400" s="20" t="s">
        <v>19</v>
      </c>
      <c r="H400" s="17" t="s">
        <v>16</v>
      </c>
      <c r="I400" s="17"/>
      <c r="J400" s="17"/>
      <c r="K400" s="17" t="str">
        <f>IF(AND(DailyCheck[[#This Row],[Required On-Site]]="Yes",DailyCheck[[#This Row],[Manager Review]]="Remote"),"Compliance Issue","")</f>
        <v>Compliance Issue</v>
      </c>
    </row>
    <row r="401" spans="1:11" hidden="1">
      <c r="A401" s="16">
        <f>IF(B401="", "", DATE(2026, 9, COUNTIFS($B$2:$B401, B401)))</f>
        <v>46275</v>
      </c>
      <c r="B401" s="17" t="s">
        <v>41</v>
      </c>
      <c r="C401" s="17" t="s">
        <v>39</v>
      </c>
      <c r="D401" s="17" t="s">
        <v>40</v>
      </c>
      <c r="E401" s="17">
        <v>30002263</v>
      </c>
      <c r="F401" s="17" t="s">
        <v>14</v>
      </c>
      <c r="G401" s="17" t="s">
        <v>19</v>
      </c>
      <c r="H401" s="17"/>
      <c r="I401" s="17"/>
      <c r="J401" s="17"/>
      <c r="K401" s="17" t="str">
        <f>IF(AND(DailyCheck[[#This Row],[Required On-Site]]="Yes",DailyCheck[[#This Row],[Manager Review]]="Remote"),"Compliance Issue","")</f>
        <v/>
      </c>
    </row>
    <row r="402" spans="1:11" hidden="1">
      <c r="A402" s="16">
        <f>IF(B402="", "", DATE(2026, 9, COUNTIFS($B$2:$B402, B402)))</f>
        <v>46276</v>
      </c>
      <c r="B402" s="17" t="s">
        <v>41</v>
      </c>
      <c r="C402" s="17" t="s">
        <v>39</v>
      </c>
      <c r="D402" s="17" t="s">
        <v>40</v>
      </c>
      <c r="E402" s="17">
        <v>30002263</v>
      </c>
      <c r="F402" s="17" t="s">
        <v>16</v>
      </c>
      <c r="G402" s="17" t="s">
        <v>19</v>
      </c>
      <c r="H402" s="17" t="s">
        <v>16</v>
      </c>
      <c r="I402" s="17"/>
      <c r="J402" s="17"/>
      <c r="K402" s="17" t="str">
        <f>IF(AND(DailyCheck[[#This Row],[Required On-Site]]="Yes",DailyCheck[[#This Row],[Manager Review]]="Remote"),"Compliance Issue","")</f>
        <v>Compliance Issue</v>
      </c>
    </row>
    <row r="403" spans="1:11" hidden="1">
      <c r="A403" s="16">
        <f>IF(B403="", "", DATE(2026, 9, COUNTIFS($B$2:$B403, B403)))</f>
        <v>46277</v>
      </c>
      <c r="B403" s="17" t="s">
        <v>41</v>
      </c>
      <c r="C403" s="17" t="s">
        <v>39</v>
      </c>
      <c r="D403" s="17" t="s">
        <v>40</v>
      </c>
      <c r="E403" s="17">
        <v>30002263</v>
      </c>
      <c r="F403" s="17" t="s">
        <v>14</v>
      </c>
      <c r="G403" s="17" t="s">
        <v>17</v>
      </c>
      <c r="H403" s="17"/>
      <c r="I403" s="17"/>
      <c r="J403" s="17"/>
      <c r="K403" s="17" t="str">
        <f>IF(AND(DailyCheck[[#This Row],[Required On-Site]]="Yes",DailyCheck[[#This Row],[Manager Review]]="Remote"),"Compliance Issue","")</f>
        <v/>
      </c>
    </row>
    <row r="404" spans="1:11" hidden="1">
      <c r="A404" s="16">
        <f>IF(B404="", "", DATE(2026, 9, COUNTIFS($B$2:$B404, B404)))</f>
        <v>46278</v>
      </c>
      <c r="B404" s="17" t="s">
        <v>41</v>
      </c>
      <c r="C404" s="17" t="s">
        <v>39</v>
      </c>
      <c r="D404" s="17" t="s">
        <v>40</v>
      </c>
      <c r="E404" s="17">
        <v>30002263</v>
      </c>
      <c r="F404" s="17" t="s">
        <v>14</v>
      </c>
      <c r="G404" s="17" t="s">
        <v>17</v>
      </c>
      <c r="H404" s="17"/>
      <c r="I404" s="17"/>
      <c r="J404" s="17"/>
      <c r="K404" s="17" t="str">
        <f>IF(AND(DailyCheck[[#This Row],[Required On-Site]]="Yes",DailyCheck[[#This Row],[Manager Review]]="Remote"),"Compliance Issue","")</f>
        <v/>
      </c>
    </row>
    <row r="405" spans="1:11" hidden="1">
      <c r="A405" s="16">
        <f>IF(B405="", "", DATE(2026, 9, COUNTIFS($B$2:$B405, B405)))</f>
        <v>46279</v>
      </c>
      <c r="B405" s="17" t="s">
        <v>41</v>
      </c>
      <c r="C405" s="17" t="s">
        <v>39</v>
      </c>
      <c r="D405" s="17" t="s">
        <v>40</v>
      </c>
      <c r="E405" s="17">
        <v>30002263</v>
      </c>
      <c r="F405" s="17" t="s">
        <v>16</v>
      </c>
      <c r="G405" s="17" t="s">
        <v>18</v>
      </c>
      <c r="H405" s="17"/>
      <c r="I405" s="17"/>
      <c r="J405" s="17"/>
      <c r="K405" s="17" t="str">
        <f>IF(AND(DailyCheck[[#This Row],[Required On-Site]]="Yes",DailyCheck[[#This Row],[Manager Review]]="Remote"),"Compliance Issue","")</f>
        <v/>
      </c>
    </row>
    <row r="406" spans="1:11" hidden="1">
      <c r="A406" s="16">
        <f>IF(B406="", "", DATE(2026, 9, COUNTIFS($B$2:$B406, B406)))</f>
        <v>46280</v>
      </c>
      <c r="B406" s="17" t="s">
        <v>41</v>
      </c>
      <c r="C406" s="17" t="s">
        <v>39</v>
      </c>
      <c r="D406" s="17" t="s">
        <v>40</v>
      </c>
      <c r="E406" s="17">
        <v>30002263</v>
      </c>
      <c r="F406" s="17" t="s">
        <v>14</v>
      </c>
      <c r="G406" s="20" t="s">
        <v>19</v>
      </c>
      <c r="H406" s="17"/>
      <c r="I406" s="17"/>
      <c r="J406" s="17"/>
      <c r="K406" s="17" t="str">
        <f>IF(AND(DailyCheck[[#This Row],[Required On-Site]]="Yes",DailyCheck[[#This Row],[Manager Review]]="Remote"),"Compliance Issue","")</f>
        <v/>
      </c>
    </row>
    <row r="407" spans="1:11" hidden="1">
      <c r="A407" s="16">
        <f>IF(B407="", "", DATE(2026, 9, COUNTIFS($B$2:$B407, B407)))</f>
        <v>46281</v>
      </c>
      <c r="B407" s="17" t="s">
        <v>41</v>
      </c>
      <c r="C407" s="17" t="s">
        <v>39</v>
      </c>
      <c r="D407" s="17" t="s">
        <v>40</v>
      </c>
      <c r="E407" s="17">
        <v>30002263</v>
      </c>
      <c r="F407" s="17" t="s">
        <v>16</v>
      </c>
      <c r="G407" s="20" t="s">
        <v>19</v>
      </c>
      <c r="H407" s="17" t="s">
        <v>16</v>
      </c>
      <c r="I407" s="17"/>
      <c r="J407" s="17"/>
      <c r="K407" s="17" t="str">
        <f>IF(AND(DailyCheck[[#This Row],[Required On-Site]]="Yes",DailyCheck[[#This Row],[Manager Review]]="Remote"),"Compliance Issue","")</f>
        <v>Compliance Issue</v>
      </c>
    </row>
    <row r="408" spans="1:11" hidden="1">
      <c r="A408" s="16">
        <f>IF(B408="", "", DATE(2026, 9, COUNTIFS($B$2:$B408, B408)))</f>
        <v>46282</v>
      </c>
      <c r="B408" s="17" t="s">
        <v>41</v>
      </c>
      <c r="C408" s="17" t="s">
        <v>39</v>
      </c>
      <c r="D408" s="17" t="s">
        <v>40</v>
      </c>
      <c r="E408" s="17">
        <v>30002263</v>
      </c>
      <c r="F408" s="17" t="s">
        <v>14</v>
      </c>
      <c r="G408" s="17" t="s">
        <v>19</v>
      </c>
      <c r="H408" s="17"/>
      <c r="I408" s="17"/>
      <c r="J408" s="17"/>
      <c r="K408" s="17" t="str">
        <f>IF(AND(DailyCheck[[#This Row],[Required On-Site]]="Yes",DailyCheck[[#This Row],[Manager Review]]="Remote"),"Compliance Issue","")</f>
        <v/>
      </c>
    </row>
    <row r="409" spans="1:11" hidden="1">
      <c r="A409" s="16">
        <f>IF(B409="", "", DATE(2026, 9, COUNTIFS($B$2:$B409, B409)))</f>
        <v>46283</v>
      </c>
      <c r="B409" s="17" t="s">
        <v>41</v>
      </c>
      <c r="C409" s="17" t="s">
        <v>39</v>
      </c>
      <c r="D409" s="17" t="s">
        <v>40</v>
      </c>
      <c r="E409" s="17">
        <v>30002263</v>
      </c>
      <c r="F409" s="17" t="s">
        <v>16</v>
      </c>
      <c r="G409" s="17" t="s">
        <v>19</v>
      </c>
      <c r="H409" s="17" t="s">
        <v>16</v>
      </c>
      <c r="I409" s="17"/>
      <c r="J409" s="17"/>
      <c r="K409" s="17" t="str">
        <f>IF(AND(DailyCheck[[#This Row],[Required On-Site]]="Yes",DailyCheck[[#This Row],[Manager Review]]="Remote"),"Compliance Issue","")</f>
        <v>Compliance Issue</v>
      </c>
    </row>
    <row r="410" spans="1:11" hidden="1">
      <c r="A410" s="16">
        <f>IF(B410="", "", DATE(2026, 9, COUNTIFS($B$2:$B410, B410)))</f>
        <v>46284</v>
      </c>
      <c r="B410" s="17" t="s">
        <v>41</v>
      </c>
      <c r="C410" s="17" t="s">
        <v>39</v>
      </c>
      <c r="D410" s="17" t="s">
        <v>40</v>
      </c>
      <c r="E410" s="17">
        <v>30002263</v>
      </c>
      <c r="F410" s="17" t="s">
        <v>14</v>
      </c>
      <c r="G410" s="17" t="s">
        <v>17</v>
      </c>
      <c r="H410" s="17"/>
      <c r="I410" s="17"/>
      <c r="J410" s="17"/>
      <c r="K410" s="17" t="str">
        <f>IF(AND(DailyCheck[[#This Row],[Required On-Site]]="Yes",DailyCheck[[#This Row],[Manager Review]]="Remote"),"Compliance Issue","")</f>
        <v/>
      </c>
    </row>
    <row r="411" spans="1:11" hidden="1">
      <c r="A411" s="16">
        <f>IF(B411="", "", DATE(2026, 9, COUNTIFS($B$2:$B411, B411)))</f>
        <v>46285</v>
      </c>
      <c r="B411" s="17" t="s">
        <v>41</v>
      </c>
      <c r="C411" s="17" t="s">
        <v>39</v>
      </c>
      <c r="D411" s="17" t="s">
        <v>40</v>
      </c>
      <c r="E411" s="17">
        <v>30002263</v>
      </c>
      <c r="F411" s="17" t="s">
        <v>14</v>
      </c>
      <c r="G411" s="17" t="s">
        <v>17</v>
      </c>
      <c r="H411" s="17"/>
      <c r="I411" s="17"/>
      <c r="J411" s="17"/>
      <c r="K411" s="17" t="str">
        <f>IF(AND(DailyCheck[[#This Row],[Required On-Site]]="Yes",DailyCheck[[#This Row],[Manager Review]]="Remote"),"Compliance Issue","")</f>
        <v/>
      </c>
    </row>
    <row r="412" spans="1:11" hidden="1">
      <c r="A412" s="16">
        <f>IF(B412="", "", DATE(2026, 9, COUNTIFS($B$2:$B412, B412)))</f>
        <v>46286</v>
      </c>
      <c r="B412" s="17" t="s">
        <v>41</v>
      </c>
      <c r="C412" s="17" t="s">
        <v>39</v>
      </c>
      <c r="D412" s="17" t="s">
        <v>40</v>
      </c>
      <c r="E412" s="17">
        <v>30002263</v>
      </c>
      <c r="F412" s="17" t="s">
        <v>16</v>
      </c>
      <c r="G412" s="17" t="s">
        <v>19</v>
      </c>
      <c r="H412" s="17" t="s">
        <v>16</v>
      </c>
      <c r="I412" s="17"/>
      <c r="J412" s="17"/>
      <c r="K412" s="17" t="str">
        <f>IF(AND(DailyCheck[[#This Row],[Required On-Site]]="Yes",DailyCheck[[#This Row],[Manager Review]]="Remote"),"Compliance Issue","")</f>
        <v>Compliance Issue</v>
      </c>
    </row>
    <row r="413" spans="1:11" hidden="1">
      <c r="A413" s="16">
        <f>IF(B413="", "", DATE(2026, 9, COUNTIFS($B$2:$B413, B413)))</f>
        <v>46287</v>
      </c>
      <c r="B413" s="17" t="s">
        <v>41</v>
      </c>
      <c r="C413" s="17" t="s">
        <v>39</v>
      </c>
      <c r="D413" s="17" t="s">
        <v>40</v>
      </c>
      <c r="E413" s="17">
        <v>30002263</v>
      </c>
      <c r="F413" s="17" t="s">
        <v>14</v>
      </c>
      <c r="G413" s="20" t="s">
        <v>19</v>
      </c>
      <c r="H413" s="17"/>
      <c r="I413" s="17"/>
      <c r="J413" s="17"/>
      <c r="K413" s="17" t="str">
        <f>IF(AND(DailyCheck[[#This Row],[Required On-Site]]="Yes",DailyCheck[[#This Row],[Manager Review]]="Remote"),"Compliance Issue","")</f>
        <v/>
      </c>
    </row>
    <row r="414" spans="1:11" hidden="1">
      <c r="A414" s="16">
        <f>IF(B414="", "", DATE(2026, 9, COUNTIFS($B$2:$B414, B414)))</f>
        <v>46288</v>
      </c>
      <c r="B414" s="17" t="s">
        <v>41</v>
      </c>
      <c r="C414" s="17" t="s">
        <v>39</v>
      </c>
      <c r="D414" s="17" t="s">
        <v>40</v>
      </c>
      <c r="E414" s="17">
        <v>30002263</v>
      </c>
      <c r="F414" s="17" t="s">
        <v>16</v>
      </c>
      <c r="G414" s="20" t="s">
        <v>18</v>
      </c>
      <c r="H414" s="17"/>
      <c r="I414" s="17"/>
      <c r="J414" s="17"/>
      <c r="K414" s="17" t="str">
        <f>IF(AND(DailyCheck[[#This Row],[Required On-Site]]="Yes",DailyCheck[[#This Row],[Manager Review]]="Remote"),"Compliance Issue","")</f>
        <v/>
      </c>
    </row>
    <row r="415" spans="1:11" hidden="1">
      <c r="A415" s="16">
        <f>IF(B415="", "", DATE(2026, 9, COUNTIFS($B$2:$B415, B415)))</f>
        <v>46289</v>
      </c>
      <c r="B415" s="17" t="s">
        <v>41</v>
      </c>
      <c r="C415" s="17" t="s">
        <v>39</v>
      </c>
      <c r="D415" s="17" t="s">
        <v>40</v>
      </c>
      <c r="E415" s="17">
        <v>30002263</v>
      </c>
      <c r="F415" s="17" t="s">
        <v>14</v>
      </c>
      <c r="G415" s="17" t="s">
        <v>19</v>
      </c>
      <c r="H415" s="17"/>
      <c r="I415" s="17"/>
      <c r="J415" s="17"/>
      <c r="K415" s="17" t="str">
        <f>IF(AND(DailyCheck[[#This Row],[Required On-Site]]="Yes",DailyCheck[[#This Row],[Manager Review]]="Remote"),"Compliance Issue","")</f>
        <v/>
      </c>
    </row>
    <row r="416" spans="1:11" hidden="1">
      <c r="A416" s="16">
        <f>IF(B416="", "", DATE(2026, 9, COUNTIFS($B$2:$B416, B416)))</f>
        <v>46290</v>
      </c>
      <c r="B416" s="17" t="s">
        <v>41</v>
      </c>
      <c r="C416" s="17" t="s">
        <v>39</v>
      </c>
      <c r="D416" s="17" t="s">
        <v>40</v>
      </c>
      <c r="E416" s="17">
        <v>30002263</v>
      </c>
      <c r="F416" s="17" t="s">
        <v>16</v>
      </c>
      <c r="G416" s="17" t="s">
        <v>19</v>
      </c>
      <c r="H416" s="17" t="s">
        <v>16</v>
      </c>
      <c r="I416" s="17"/>
      <c r="J416" s="17"/>
      <c r="K416" s="17" t="str">
        <f>IF(AND(DailyCheck[[#This Row],[Required On-Site]]="Yes",DailyCheck[[#This Row],[Manager Review]]="Remote"),"Compliance Issue","")</f>
        <v>Compliance Issue</v>
      </c>
    </row>
    <row r="417" spans="1:11" hidden="1">
      <c r="A417" s="16">
        <f>IF(B417="", "", DATE(2026, 9, COUNTIFS($B$2:$B417, B417)))</f>
        <v>46291</v>
      </c>
      <c r="B417" s="17" t="s">
        <v>41</v>
      </c>
      <c r="C417" s="17" t="s">
        <v>39</v>
      </c>
      <c r="D417" s="17" t="s">
        <v>40</v>
      </c>
      <c r="E417" s="17">
        <v>30002263</v>
      </c>
      <c r="F417" s="17" t="s">
        <v>14</v>
      </c>
      <c r="G417" s="17" t="s">
        <v>17</v>
      </c>
      <c r="H417" s="17"/>
      <c r="I417" s="17"/>
      <c r="J417" s="17"/>
      <c r="K417" s="17" t="str">
        <f>IF(AND(DailyCheck[[#This Row],[Required On-Site]]="Yes",DailyCheck[[#This Row],[Manager Review]]="Remote"),"Compliance Issue","")</f>
        <v/>
      </c>
    </row>
    <row r="418" spans="1:11" hidden="1">
      <c r="A418" s="16">
        <f>IF(B418="", "", DATE(2026, 9, COUNTIFS($B$2:$B418, B418)))</f>
        <v>46292</v>
      </c>
      <c r="B418" s="17" t="s">
        <v>41</v>
      </c>
      <c r="C418" s="17" t="s">
        <v>39</v>
      </c>
      <c r="D418" s="17" t="s">
        <v>40</v>
      </c>
      <c r="E418" s="17">
        <v>30002263</v>
      </c>
      <c r="F418" s="17" t="s">
        <v>14</v>
      </c>
      <c r="G418" s="17" t="s">
        <v>17</v>
      </c>
      <c r="H418" s="17"/>
      <c r="I418" s="17"/>
      <c r="J418" s="17"/>
      <c r="K418" s="17" t="str">
        <f>IF(AND(DailyCheck[[#This Row],[Required On-Site]]="Yes",DailyCheck[[#This Row],[Manager Review]]="Remote"),"Compliance Issue","")</f>
        <v/>
      </c>
    </row>
    <row r="419" spans="1:11" hidden="1">
      <c r="A419" s="16">
        <f>IF(B419="", "", DATE(2026, 9, COUNTIFS($B$2:$B419, B419)))</f>
        <v>46293</v>
      </c>
      <c r="B419" s="17" t="s">
        <v>41</v>
      </c>
      <c r="C419" s="17" t="s">
        <v>39</v>
      </c>
      <c r="D419" s="17" t="s">
        <v>40</v>
      </c>
      <c r="E419" s="17">
        <v>30002263</v>
      </c>
      <c r="F419" s="17" t="s">
        <v>16</v>
      </c>
      <c r="G419" s="17" t="s">
        <v>19</v>
      </c>
      <c r="H419" s="17" t="s">
        <v>16</v>
      </c>
      <c r="I419" s="17"/>
      <c r="J419" s="17"/>
      <c r="K419" s="17" t="str">
        <f>IF(AND(DailyCheck[[#This Row],[Required On-Site]]="Yes",DailyCheck[[#This Row],[Manager Review]]="Remote"),"Compliance Issue","")</f>
        <v>Compliance Issue</v>
      </c>
    </row>
    <row r="420" spans="1:11" hidden="1">
      <c r="A420" s="16">
        <f>IF(B420="", "", DATE(2026, 9, COUNTIFS($B$2:$B420, B420)))</f>
        <v>46294</v>
      </c>
      <c r="B420" s="17" t="s">
        <v>41</v>
      </c>
      <c r="C420" s="17" t="s">
        <v>39</v>
      </c>
      <c r="D420" s="17" t="s">
        <v>40</v>
      </c>
      <c r="E420" s="17">
        <v>30002263</v>
      </c>
      <c r="F420" s="17" t="s">
        <v>14</v>
      </c>
      <c r="G420" s="20" t="s">
        <v>19</v>
      </c>
      <c r="H420" s="17"/>
      <c r="I420" s="17"/>
      <c r="J420" s="17"/>
      <c r="K420" s="17" t="str">
        <f>IF(AND(DailyCheck[[#This Row],[Required On-Site]]="Yes",DailyCheck[[#This Row],[Manager Review]]="Remote"),"Compliance Issue","")</f>
        <v/>
      </c>
    </row>
    <row r="421" spans="1:11" hidden="1">
      <c r="A421" s="16">
        <f>IF(B421="", "", DATE(2026, 9, COUNTIFS($B$2:$B421, B421)))</f>
        <v>46295</v>
      </c>
      <c r="B421" s="17" t="s">
        <v>41</v>
      </c>
      <c r="C421" s="17" t="s">
        <v>39</v>
      </c>
      <c r="D421" s="17" t="s">
        <v>40</v>
      </c>
      <c r="E421" s="17">
        <v>30002263</v>
      </c>
      <c r="F421" s="17" t="s">
        <v>16</v>
      </c>
      <c r="G421" s="20" t="s">
        <v>19</v>
      </c>
      <c r="H421" s="17" t="s">
        <v>16</v>
      </c>
      <c r="I421" s="17"/>
      <c r="J421" s="17"/>
      <c r="K421" s="17" t="str">
        <f>IF(AND(DailyCheck[[#This Row],[Required On-Site]]="Yes",DailyCheck[[#This Row],[Manager Review]]="Remote"),"Compliance Issue","")</f>
        <v>Compliance Issue</v>
      </c>
    </row>
    <row r="422" spans="1:11" hidden="1">
      <c r="A422" s="16">
        <f>IF(B422="", "", DATE(2026, 9, COUNTIFS($B$2:$B422, B422)))</f>
        <v>46266</v>
      </c>
      <c r="B422" s="17" t="s">
        <v>42</v>
      </c>
      <c r="C422" s="17" t="s">
        <v>39</v>
      </c>
      <c r="D422" s="17" t="s">
        <v>40</v>
      </c>
      <c r="E422" s="17">
        <v>30001708</v>
      </c>
      <c r="F422" s="17" t="s">
        <v>16</v>
      </c>
      <c r="G422" s="20" t="s">
        <v>18</v>
      </c>
      <c r="H422" s="17"/>
      <c r="I422" s="17"/>
      <c r="J422" s="17"/>
      <c r="K422" s="17" t="str">
        <f>IF(AND(DailyCheck[[#This Row],[Required On-Site]]="Yes",DailyCheck[[#This Row],[Manager Review]]="Remote"),"Compliance Issue","")</f>
        <v/>
      </c>
    </row>
    <row r="423" spans="1:11" hidden="1">
      <c r="A423" s="16">
        <f>IF(B423="", "", DATE(2026, 9, COUNTIFS($B$2:$B423, B423)))</f>
        <v>46267</v>
      </c>
      <c r="B423" s="17" t="s">
        <v>42</v>
      </c>
      <c r="C423" s="17" t="s">
        <v>39</v>
      </c>
      <c r="D423" s="17" t="s">
        <v>40</v>
      </c>
      <c r="E423" s="17">
        <v>30001708</v>
      </c>
      <c r="F423" s="17" t="s">
        <v>16</v>
      </c>
      <c r="G423" s="20" t="s">
        <v>18</v>
      </c>
      <c r="H423" s="17"/>
      <c r="I423" s="17"/>
      <c r="J423" s="17"/>
      <c r="K423" s="17" t="str">
        <f>IF(AND(DailyCheck[[#This Row],[Required On-Site]]="Yes",DailyCheck[[#This Row],[Manager Review]]="Remote"),"Compliance Issue","")</f>
        <v/>
      </c>
    </row>
    <row r="424" spans="1:11" hidden="1">
      <c r="A424" s="16">
        <f>IF(B424="", "", DATE(2026, 9, COUNTIFS($B$2:$B424, B424)))</f>
        <v>46268</v>
      </c>
      <c r="B424" s="17" t="s">
        <v>42</v>
      </c>
      <c r="C424" s="17" t="s">
        <v>39</v>
      </c>
      <c r="D424" s="17" t="s">
        <v>40</v>
      </c>
      <c r="E424" s="17">
        <v>30001708</v>
      </c>
      <c r="F424" s="17" t="s">
        <v>14</v>
      </c>
      <c r="G424" s="17" t="s">
        <v>19</v>
      </c>
      <c r="H424" s="17"/>
      <c r="I424" s="17"/>
      <c r="J424" s="17"/>
      <c r="K424" s="17" t="str">
        <f>IF(AND(DailyCheck[[#This Row],[Required On-Site]]="Yes",DailyCheck[[#This Row],[Manager Review]]="Remote"),"Compliance Issue","")</f>
        <v/>
      </c>
    </row>
    <row r="425" spans="1:11" hidden="1">
      <c r="A425" s="16">
        <f>IF(B425="", "", DATE(2026, 9, COUNTIFS($B$2:$B425, B425)))</f>
        <v>46269</v>
      </c>
      <c r="B425" s="17" t="s">
        <v>42</v>
      </c>
      <c r="C425" s="17" t="s">
        <v>39</v>
      </c>
      <c r="D425" s="17" t="s">
        <v>40</v>
      </c>
      <c r="E425" s="17">
        <v>30001708</v>
      </c>
      <c r="F425" s="17" t="s">
        <v>14</v>
      </c>
      <c r="G425" s="17" t="s">
        <v>19</v>
      </c>
      <c r="H425" s="17"/>
      <c r="I425" s="17"/>
      <c r="J425" s="17"/>
      <c r="K425" s="17" t="str">
        <f>IF(AND(DailyCheck[[#This Row],[Required On-Site]]="Yes",DailyCheck[[#This Row],[Manager Review]]="Remote"),"Compliance Issue","")</f>
        <v/>
      </c>
    </row>
    <row r="426" spans="1:11" hidden="1">
      <c r="A426" s="16">
        <f>IF(B426="", "", DATE(2026, 9, COUNTIFS($B$2:$B426, B426)))</f>
        <v>46270</v>
      </c>
      <c r="B426" s="17" t="s">
        <v>42</v>
      </c>
      <c r="C426" s="17" t="s">
        <v>39</v>
      </c>
      <c r="D426" s="17" t="s">
        <v>40</v>
      </c>
      <c r="E426" s="17">
        <v>30001708</v>
      </c>
      <c r="F426" s="17" t="s">
        <v>14</v>
      </c>
      <c r="G426" s="17" t="s">
        <v>17</v>
      </c>
      <c r="H426" s="17"/>
      <c r="I426" s="17"/>
      <c r="J426" s="17"/>
      <c r="K426" s="17" t="str">
        <f>IF(AND(DailyCheck[[#This Row],[Required On-Site]]="Yes",DailyCheck[[#This Row],[Manager Review]]="Remote"),"Compliance Issue","")</f>
        <v/>
      </c>
    </row>
    <row r="427" spans="1:11" hidden="1">
      <c r="A427" s="16">
        <f>IF(B427="", "", DATE(2026, 9, COUNTIFS($B$2:$B427, B427)))</f>
        <v>46271</v>
      </c>
      <c r="B427" s="17" t="s">
        <v>42</v>
      </c>
      <c r="C427" s="17" t="s">
        <v>39</v>
      </c>
      <c r="D427" s="17" t="s">
        <v>40</v>
      </c>
      <c r="E427" s="17">
        <v>30001708</v>
      </c>
      <c r="F427" s="17" t="s">
        <v>14</v>
      </c>
      <c r="G427" s="17" t="s">
        <v>17</v>
      </c>
      <c r="H427" s="17"/>
      <c r="I427" s="17"/>
      <c r="J427" s="17"/>
      <c r="K427" s="17" t="str">
        <f>IF(AND(DailyCheck[[#This Row],[Required On-Site]]="Yes",DailyCheck[[#This Row],[Manager Review]]="Remote"),"Compliance Issue","")</f>
        <v/>
      </c>
    </row>
    <row r="428" spans="1:11" hidden="1">
      <c r="A428" s="16">
        <f>IF(B428="", "", DATE(2026, 9, COUNTIFS($B$2:$B428, B428)))</f>
        <v>46272</v>
      </c>
      <c r="B428" s="17" t="s">
        <v>42</v>
      </c>
      <c r="C428" s="17" t="s">
        <v>39</v>
      </c>
      <c r="D428" s="17" t="s">
        <v>40</v>
      </c>
      <c r="E428" s="17">
        <v>30001708</v>
      </c>
      <c r="F428" s="17" t="s">
        <v>16</v>
      </c>
      <c r="G428" s="17" t="s">
        <v>18</v>
      </c>
      <c r="H428" s="17"/>
      <c r="I428" s="17"/>
      <c r="J428" s="17"/>
      <c r="K428" s="17" t="str">
        <f>IF(AND(DailyCheck[[#This Row],[Required On-Site]]="Yes",DailyCheck[[#This Row],[Manager Review]]="Remote"),"Compliance Issue","")</f>
        <v/>
      </c>
    </row>
    <row r="429" spans="1:11" hidden="1">
      <c r="A429" s="16">
        <f>IF(B429="", "", DATE(2026, 9, COUNTIFS($B$2:$B429, B429)))</f>
        <v>46273</v>
      </c>
      <c r="B429" s="17" t="s">
        <v>42</v>
      </c>
      <c r="C429" s="17" t="s">
        <v>39</v>
      </c>
      <c r="D429" s="17" t="s">
        <v>40</v>
      </c>
      <c r="E429" s="17">
        <v>30001708</v>
      </c>
      <c r="F429" s="17" t="s">
        <v>16</v>
      </c>
      <c r="G429" s="20" t="s">
        <v>18</v>
      </c>
      <c r="H429" s="17"/>
      <c r="I429" s="17"/>
      <c r="J429" s="17"/>
      <c r="K429" s="17" t="str">
        <f>IF(AND(DailyCheck[[#This Row],[Required On-Site]]="Yes",DailyCheck[[#This Row],[Manager Review]]="Remote"),"Compliance Issue","")</f>
        <v/>
      </c>
    </row>
    <row r="430" spans="1:11" hidden="1">
      <c r="A430" s="16">
        <f>IF(B430="", "", DATE(2026, 9, COUNTIFS($B$2:$B430, B430)))</f>
        <v>46274</v>
      </c>
      <c r="B430" s="17" t="s">
        <v>42</v>
      </c>
      <c r="C430" s="17" t="s">
        <v>39</v>
      </c>
      <c r="D430" s="17" t="s">
        <v>40</v>
      </c>
      <c r="E430" s="17">
        <v>30001708</v>
      </c>
      <c r="F430" s="17" t="s">
        <v>16</v>
      </c>
      <c r="G430" s="20" t="s">
        <v>18</v>
      </c>
      <c r="H430" s="17"/>
      <c r="I430" s="17"/>
      <c r="J430" s="17"/>
      <c r="K430" s="17" t="str">
        <f>IF(AND(DailyCheck[[#This Row],[Required On-Site]]="Yes",DailyCheck[[#This Row],[Manager Review]]="Remote"),"Compliance Issue","")</f>
        <v/>
      </c>
    </row>
    <row r="431" spans="1:11" hidden="1">
      <c r="A431" s="16">
        <f>IF(B431="", "", DATE(2026, 9, COUNTIFS($B$2:$B431, B431)))</f>
        <v>46275</v>
      </c>
      <c r="B431" s="17" t="s">
        <v>42</v>
      </c>
      <c r="C431" s="17" t="s">
        <v>39</v>
      </c>
      <c r="D431" s="17" t="s">
        <v>40</v>
      </c>
      <c r="E431" s="17">
        <v>30001708</v>
      </c>
      <c r="F431" s="17" t="s">
        <v>14</v>
      </c>
      <c r="G431" s="17" t="s">
        <v>19</v>
      </c>
      <c r="H431" s="17"/>
      <c r="I431" s="17"/>
      <c r="J431" s="17"/>
      <c r="K431" s="17" t="str">
        <f>IF(AND(DailyCheck[[#This Row],[Required On-Site]]="Yes",DailyCheck[[#This Row],[Manager Review]]="Remote"),"Compliance Issue","")</f>
        <v/>
      </c>
    </row>
    <row r="432" spans="1:11" hidden="1">
      <c r="A432" s="16">
        <f>IF(B432="", "", DATE(2026, 9, COUNTIFS($B$2:$B432, B432)))</f>
        <v>46276</v>
      </c>
      <c r="B432" s="17" t="s">
        <v>42</v>
      </c>
      <c r="C432" s="17" t="s">
        <v>39</v>
      </c>
      <c r="D432" s="17" t="s">
        <v>40</v>
      </c>
      <c r="E432" s="17">
        <v>30001708</v>
      </c>
      <c r="F432" s="17" t="s">
        <v>14</v>
      </c>
      <c r="G432" s="17" t="s">
        <v>19</v>
      </c>
      <c r="H432" s="17"/>
      <c r="I432" s="17"/>
      <c r="J432" s="17"/>
      <c r="K432" s="17" t="str">
        <f>IF(AND(DailyCheck[[#This Row],[Required On-Site]]="Yes",DailyCheck[[#This Row],[Manager Review]]="Remote"),"Compliance Issue","")</f>
        <v/>
      </c>
    </row>
    <row r="433" spans="1:11" hidden="1">
      <c r="A433" s="16">
        <f>IF(B433="", "", DATE(2026, 9, COUNTIFS($B$2:$B433, B433)))</f>
        <v>46277</v>
      </c>
      <c r="B433" s="17" t="s">
        <v>42</v>
      </c>
      <c r="C433" s="17" t="s">
        <v>39</v>
      </c>
      <c r="D433" s="17" t="s">
        <v>40</v>
      </c>
      <c r="E433" s="17">
        <v>30001708</v>
      </c>
      <c r="F433" s="17" t="s">
        <v>14</v>
      </c>
      <c r="G433" s="17" t="s">
        <v>17</v>
      </c>
      <c r="H433" s="17"/>
      <c r="I433" s="17"/>
      <c r="J433" s="17"/>
      <c r="K433" s="17" t="str">
        <f>IF(AND(DailyCheck[[#This Row],[Required On-Site]]="Yes",DailyCheck[[#This Row],[Manager Review]]="Remote"),"Compliance Issue","")</f>
        <v/>
      </c>
    </row>
    <row r="434" spans="1:11" hidden="1">
      <c r="A434" s="16">
        <f>IF(B434="", "", DATE(2026, 9, COUNTIFS($B$2:$B434, B434)))</f>
        <v>46278</v>
      </c>
      <c r="B434" s="17" t="s">
        <v>42</v>
      </c>
      <c r="C434" s="17" t="s">
        <v>39</v>
      </c>
      <c r="D434" s="17" t="s">
        <v>40</v>
      </c>
      <c r="E434" s="17">
        <v>30001708</v>
      </c>
      <c r="F434" s="17" t="s">
        <v>14</v>
      </c>
      <c r="G434" s="17" t="s">
        <v>17</v>
      </c>
      <c r="H434" s="17"/>
      <c r="I434" s="17"/>
      <c r="J434" s="17"/>
      <c r="K434" s="17" t="str">
        <f>IF(AND(DailyCheck[[#This Row],[Required On-Site]]="Yes",DailyCheck[[#This Row],[Manager Review]]="Remote"),"Compliance Issue","")</f>
        <v/>
      </c>
    </row>
    <row r="435" spans="1:11" hidden="1">
      <c r="A435" s="16">
        <f>IF(B435="", "", DATE(2026, 9, COUNTIFS($B$2:$B435, B435)))</f>
        <v>46279</v>
      </c>
      <c r="B435" s="17" t="s">
        <v>42</v>
      </c>
      <c r="C435" s="17" t="s">
        <v>39</v>
      </c>
      <c r="D435" s="17" t="s">
        <v>40</v>
      </c>
      <c r="E435" s="17">
        <v>30001708</v>
      </c>
      <c r="F435" s="17" t="s">
        <v>16</v>
      </c>
      <c r="G435" s="17" t="s">
        <v>18</v>
      </c>
      <c r="H435" s="17"/>
      <c r="I435" s="17"/>
      <c r="J435" s="17"/>
      <c r="K435" s="17" t="str">
        <f>IF(AND(DailyCheck[[#This Row],[Required On-Site]]="Yes",DailyCheck[[#This Row],[Manager Review]]="Remote"),"Compliance Issue","")</f>
        <v/>
      </c>
    </row>
    <row r="436" spans="1:11" hidden="1">
      <c r="A436" s="16">
        <f>IF(B436="", "", DATE(2026, 9, COUNTIFS($B$2:$B436, B436)))</f>
        <v>46280</v>
      </c>
      <c r="B436" s="17" t="s">
        <v>42</v>
      </c>
      <c r="C436" s="17" t="s">
        <v>39</v>
      </c>
      <c r="D436" s="17" t="s">
        <v>40</v>
      </c>
      <c r="E436" s="17">
        <v>30001708</v>
      </c>
      <c r="F436" s="17" t="s">
        <v>16</v>
      </c>
      <c r="G436" s="20" t="s">
        <v>26</v>
      </c>
      <c r="H436" s="17" t="s">
        <v>16</v>
      </c>
      <c r="I436" s="17"/>
      <c r="J436" s="17"/>
      <c r="K436" s="17" t="str">
        <f>IF(AND(DailyCheck[[#This Row],[Required On-Site]]="Yes",DailyCheck[[#This Row],[Manager Review]]="Remote"),"Compliance Issue","")</f>
        <v/>
      </c>
    </row>
    <row r="437" spans="1:11" hidden="1">
      <c r="A437" s="16">
        <f>IF(B437="", "", DATE(2026, 9, COUNTIFS($B$2:$B437, B437)))</f>
        <v>46281</v>
      </c>
      <c r="B437" s="17" t="s">
        <v>42</v>
      </c>
      <c r="C437" s="17" t="s">
        <v>39</v>
      </c>
      <c r="D437" s="17" t="s">
        <v>40</v>
      </c>
      <c r="E437" s="17">
        <v>30001708</v>
      </c>
      <c r="F437" s="17" t="s">
        <v>16</v>
      </c>
      <c r="G437" s="20" t="s">
        <v>26</v>
      </c>
      <c r="H437" s="17" t="s">
        <v>16</v>
      </c>
      <c r="I437" s="17"/>
      <c r="J437" s="17"/>
      <c r="K437" s="17" t="str">
        <f>IF(AND(DailyCheck[[#This Row],[Required On-Site]]="Yes",DailyCheck[[#This Row],[Manager Review]]="Remote"),"Compliance Issue","")</f>
        <v/>
      </c>
    </row>
    <row r="438" spans="1:11" hidden="1">
      <c r="A438" s="16">
        <f>IF(B438="", "", DATE(2026, 9, COUNTIFS($B$2:$B438, B438)))</f>
        <v>46282</v>
      </c>
      <c r="B438" s="17" t="s">
        <v>42</v>
      </c>
      <c r="C438" s="17" t="s">
        <v>39</v>
      </c>
      <c r="D438" s="17" t="s">
        <v>40</v>
      </c>
      <c r="E438" s="17">
        <v>30001708</v>
      </c>
      <c r="F438" s="17" t="s">
        <v>14</v>
      </c>
      <c r="G438" s="17" t="s">
        <v>19</v>
      </c>
      <c r="H438" s="17"/>
      <c r="I438" s="17"/>
      <c r="J438" s="17"/>
      <c r="K438" s="17" t="str">
        <f>IF(AND(DailyCheck[[#This Row],[Required On-Site]]="Yes",DailyCheck[[#This Row],[Manager Review]]="Remote"),"Compliance Issue","")</f>
        <v/>
      </c>
    </row>
    <row r="439" spans="1:11" hidden="1">
      <c r="A439" s="16">
        <f>IF(B439="", "", DATE(2026, 9, COUNTIFS($B$2:$B439, B439)))</f>
        <v>46283</v>
      </c>
      <c r="B439" s="17" t="s">
        <v>42</v>
      </c>
      <c r="C439" s="17" t="s">
        <v>39</v>
      </c>
      <c r="D439" s="17" t="s">
        <v>40</v>
      </c>
      <c r="E439" s="17">
        <v>30001708</v>
      </c>
      <c r="F439" s="17" t="s">
        <v>14</v>
      </c>
      <c r="G439" s="17" t="s">
        <v>19</v>
      </c>
      <c r="H439" s="17"/>
      <c r="I439" s="17"/>
      <c r="J439" s="17"/>
      <c r="K439" s="17" t="str">
        <f>IF(AND(DailyCheck[[#This Row],[Required On-Site]]="Yes",DailyCheck[[#This Row],[Manager Review]]="Remote"),"Compliance Issue","")</f>
        <v/>
      </c>
    </row>
    <row r="440" spans="1:11" hidden="1">
      <c r="A440" s="16">
        <f>IF(B440="", "", DATE(2026, 9, COUNTIFS($B$2:$B440, B440)))</f>
        <v>46284</v>
      </c>
      <c r="B440" s="17" t="s">
        <v>42</v>
      </c>
      <c r="C440" s="17" t="s">
        <v>39</v>
      </c>
      <c r="D440" s="17" t="s">
        <v>40</v>
      </c>
      <c r="E440" s="17">
        <v>30001708</v>
      </c>
      <c r="F440" s="17" t="s">
        <v>14</v>
      </c>
      <c r="G440" s="17" t="s">
        <v>17</v>
      </c>
      <c r="H440" s="17"/>
      <c r="I440" s="17"/>
      <c r="J440" s="17"/>
      <c r="K440" s="17" t="str">
        <f>IF(AND(DailyCheck[[#This Row],[Required On-Site]]="Yes",DailyCheck[[#This Row],[Manager Review]]="Remote"),"Compliance Issue","")</f>
        <v/>
      </c>
    </row>
    <row r="441" spans="1:11" hidden="1">
      <c r="A441" s="16">
        <f>IF(B441="", "", DATE(2026, 9, COUNTIFS($B$2:$B441, B441)))</f>
        <v>46285</v>
      </c>
      <c r="B441" s="17" t="s">
        <v>42</v>
      </c>
      <c r="C441" s="17" t="s">
        <v>39</v>
      </c>
      <c r="D441" s="17" t="s">
        <v>40</v>
      </c>
      <c r="E441" s="17">
        <v>30001708</v>
      </c>
      <c r="F441" s="17" t="s">
        <v>14</v>
      </c>
      <c r="G441" s="17" t="s">
        <v>17</v>
      </c>
      <c r="H441" s="17"/>
      <c r="I441" s="17"/>
      <c r="J441" s="17"/>
      <c r="K441" s="17" t="str">
        <f>IF(AND(DailyCheck[[#This Row],[Required On-Site]]="Yes",DailyCheck[[#This Row],[Manager Review]]="Remote"),"Compliance Issue","")</f>
        <v/>
      </c>
    </row>
    <row r="442" spans="1:11" hidden="1">
      <c r="A442" s="16">
        <f>IF(B442="", "", DATE(2026, 9, COUNTIFS($B$2:$B442, B442)))</f>
        <v>46286</v>
      </c>
      <c r="B442" s="17" t="s">
        <v>42</v>
      </c>
      <c r="C442" s="17" t="s">
        <v>39</v>
      </c>
      <c r="D442" s="17" t="s">
        <v>40</v>
      </c>
      <c r="E442" s="17">
        <v>30001708</v>
      </c>
      <c r="F442" s="17" t="s">
        <v>16</v>
      </c>
      <c r="G442" s="17" t="s">
        <v>18</v>
      </c>
      <c r="H442" s="17"/>
      <c r="I442" s="17"/>
      <c r="J442" s="17"/>
      <c r="K442" s="17" t="str">
        <f>IF(AND(DailyCheck[[#This Row],[Required On-Site]]="Yes",DailyCheck[[#This Row],[Manager Review]]="Remote"),"Compliance Issue","")</f>
        <v/>
      </c>
    </row>
    <row r="443" spans="1:11" hidden="1">
      <c r="A443" s="16">
        <f>IF(B443="", "", DATE(2026, 9, COUNTIFS($B$2:$B443, B443)))</f>
        <v>46287</v>
      </c>
      <c r="B443" s="17" t="s">
        <v>42</v>
      </c>
      <c r="C443" s="17" t="s">
        <v>39</v>
      </c>
      <c r="D443" s="17" t="s">
        <v>40</v>
      </c>
      <c r="E443" s="17">
        <v>30001708</v>
      </c>
      <c r="F443" s="17" t="s">
        <v>16</v>
      </c>
      <c r="G443" s="20" t="s">
        <v>18</v>
      </c>
      <c r="H443" s="17"/>
      <c r="I443" s="17"/>
      <c r="J443" s="17"/>
      <c r="K443" s="17" t="str">
        <f>IF(AND(DailyCheck[[#This Row],[Required On-Site]]="Yes",DailyCheck[[#This Row],[Manager Review]]="Remote"),"Compliance Issue","")</f>
        <v/>
      </c>
    </row>
    <row r="444" spans="1:11" hidden="1">
      <c r="A444" s="16">
        <f>IF(B444="", "", DATE(2026, 9, COUNTIFS($B$2:$B444, B444)))</f>
        <v>46288</v>
      </c>
      <c r="B444" s="17" t="s">
        <v>42</v>
      </c>
      <c r="C444" s="17" t="s">
        <v>39</v>
      </c>
      <c r="D444" s="17" t="s">
        <v>40</v>
      </c>
      <c r="E444" s="17">
        <v>30001708</v>
      </c>
      <c r="F444" s="17" t="s">
        <v>16</v>
      </c>
      <c r="G444" s="20" t="s">
        <v>18</v>
      </c>
      <c r="H444" s="17"/>
      <c r="I444" s="17"/>
      <c r="J444" s="17"/>
      <c r="K444" s="17" t="str">
        <f>IF(AND(DailyCheck[[#This Row],[Required On-Site]]="Yes",DailyCheck[[#This Row],[Manager Review]]="Remote"),"Compliance Issue","")</f>
        <v/>
      </c>
    </row>
    <row r="445" spans="1:11" hidden="1">
      <c r="A445" s="16">
        <f>IF(B445="", "", DATE(2026, 9, COUNTIFS($B$2:$B445, B445)))</f>
        <v>46289</v>
      </c>
      <c r="B445" s="17" t="s">
        <v>42</v>
      </c>
      <c r="C445" s="17" t="s">
        <v>39</v>
      </c>
      <c r="D445" s="17" t="s">
        <v>40</v>
      </c>
      <c r="E445" s="17">
        <v>30001708</v>
      </c>
      <c r="F445" s="17" t="s">
        <v>14</v>
      </c>
      <c r="G445" s="17" t="s">
        <v>19</v>
      </c>
      <c r="H445" s="17"/>
      <c r="I445" s="17"/>
      <c r="J445" s="17"/>
      <c r="K445" s="17" t="str">
        <f>IF(AND(DailyCheck[[#This Row],[Required On-Site]]="Yes",DailyCheck[[#This Row],[Manager Review]]="Remote"),"Compliance Issue","")</f>
        <v/>
      </c>
    </row>
    <row r="446" spans="1:11" hidden="1">
      <c r="A446" s="16">
        <f>IF(B446="", "", DATE(2026, 9, COUNTIFS($B$2:$B446, B446)))</f>
        <v>46290</v>
      </c>
      <c r="B446" s="17" t="s">
        <v>42</v>
      </c>
      <c r="C446" s="17" t="s">
        <v>39</v>
      </c>
      <c r="D446" s="17" t="s">
        <v>40</v>
      </c>
      <c r="E446" s="17">
        <v>30001708</v>
      </c>
      <c r="F446" s="17" t="s">
        <v>14</v>
      </c>
      <c r="G446" s="17" t="s">
        <v>19</v>
      </c>
      <c r="H446" s="17"/>
      <c r="I446" s="17"/>
      <c r="J446" s="17"/>
      <c r="K446" s="17" t="str">
        <f>IF(AND(DailyCheck[[#This Row],[Required On-Site]]="Yes",DailyCheck[[#This Row],[Manager Review]]="Remote"),"Compliance Issue","")</f>
        <v/>
      </c>
    </row>
    <row r="447" spans="1:11" hidden="1">
      <c r="A447" s="16">
        <f>IF(B447="", "", DATE(2026, 9, COUNTIFS($B$2:$B447, B447)))</f>
        <v>46291</v>
      </c>
      <c r="B447" s="17" t="s">
        <v>42</v>
      </c>
      <c r="C447" s="17" t="s">
        <v>39</v>
      </c>
      <c r="D447" s="17" t="s">
        <v>40</v>
      </c>
      <c r="E447" s="17">
        <v>30001708</v>
      </c>
      <c r="F447" s="17" t="s">
        <v>14</v>
      </c>
      <c r="G447" s="17" t="s">
        <v>17</v>
      </c>
      <c r="H447" s="17"/>
      <c r="I447" s="17"/>
      <c r="J447" s="17"/>
      <c r="K447" s="17" t="str">
        <f>IF(AND(DailyCheck[[#This Row],[Required On-Site]]="Yes",DailyCheck[[#This Row],[Manager Review]]="Remote"),"Compliance Issue","")</f>
        <v/>
      </c>
    </row>
    <row r="448" spans="1:11" hidden="1">
      <c r="A448" s="16">
        <f>IF(B448="", "", DATE(2026, 9, COUNTIFS($B$2:$B448, B448)))</f>
        <v>46292</v>
      </c>
      <c r="B448" s="17" t="s">
        <v>42</v>
      </c>
      <c r="C448" s="17" t="s">
        <v>39</v>
      </c>
      <c r="D448" s="17" t="s">
        <v>40</v>
      </c>
      <c r="E448" s="17">
        <v>30001708</v>
      </c>
      <c r="F448" s="17" t="s">
        <v>14</v>
      </c>
      <c r="G448" s="17" t="s">
        <v>17</v>
      </c>
      <c r="H448" s="17"/>
      <c r="I448" s="17"/>
      <c r="J448" s="17"/>
      <c r="K448" s="17" t="str">
        <f>IF(AND(DailyCheck[[#This Row],[Required On-Site]]="Yes",DailyCheck[[#This Row],[Manager Review]]="Remote"),"Compliance Issue","")</f>
        <v/>
      </c>
    </row>
    <row r="449" spans="1:11" hidden="1">
      <c r="A449" s="16">
        <f>IF(B449="", "", DATE(2026, 9, COUNTIFS($B$2:$B449, B449)))</f>
        <v>46293</v>
      </c>
      <c r="B449" s="17" t="s">
        <v>42</v>
      </c>
      <c r="C449" s="17" t="s">
        <v>39</v>
      </c>
      <c r="D449" s="17" t="s">
        <v>40</v>
      </c>
      <c r="E449" s="17">
        <v>30001708</v>
      </c>
      <c r="F449" s="17" t="s">
        <v>16</v>
      </c>
      <c r="G449" s="17" t="s">
        <v>19</v>
      </c>
      <c r="H449" s="17" t="s">
        <v>16</v>
      </c>
      <c r="I449" s="17"/>
      <c r="J449" s="17"/>
      <c r="K449" s="17" t="str">
        <f>IF(AND(DailyCheck[[#This Row],[Required On-Site]]="Yes",DailyCheck[[#This Row],[Manager Review]]="Remote"),"Compliance Issue","")</f>
        <v>Compliance Issue</v>
      </c>
    </row>
    <row r="450" spans="1:11" hidden="1">
      <c r="A450" s="16">
        <f>IF(B450="", "", DATE(2026, 9, COUNTIFS($B$2:$B450, B450)))</f>
        <v>46294</v>
      </c>
      <c r="B450" s="17" t="s">
        <v>42</v>
      </c>
      <c r="C450" s="17" t="s">
        <v>39</v>
      </c>
      <c r="D450" s="17" t="s">
        <v>40</v>
      </c>
      <c r="E450" s="17">
        <v>30001708</v>
      </c>
      <c r="F450" s="17" t="s">
        <v>16</v>
      </c>
      <c r="G450" s="20" t="s">
        <v>19</v>
      </c>
      <c r="H450" s="17" t="s">
        <v>16</v>
      </c>
      <c r="I450" s="17"/>
      <c r="J450" s="17"/>
      <c r="K450" s="17" t="str">
        <f>IF(AND(DailyCheck[[#This Row],[Required On-Site]]="Yes",DailyCheck[[#This Row],[Manager Review]]="Remote"),"Compliance Issue","")</f>
        <v>Compliance Issue</v>
      </c>
    </row>
    <row r="451" spans="1:11" hidden="1">
      <c r="A451" s="16">
        <f>IF(B451="", "", DATE(2026, 9, COUNTIFS($B$2:$B451, B451)))</f>
        <v>46295</v>
      </c>
      <c r="B451" s="17" t="s">
        <v>42</v>
      </c>
      <c r="C451" s="17" t="s">
        <v>39</v>
      </c>
      <c r="D451" s="17" t="s">
        <v>40</v>
      </c>
      <c r="E451" s="17">
        <v>30001708</v>
      </c>
      <c r="F451" s="17" t="s">
        <v>16</v>
      </c>
      <c r="G451" s="20" t="s">
        <v>18</v>
      </c>
      <c r="H451" s="17"/>
      <c r="I451" s="17"/>
      <c r="J451" s="17"/>
      <c r="K451" s="17" t="str">
        <f>IF(AND(DailyCheck[[#This Row],[Required On-Site]]="Yes",DailyCheck[[#This Row],[Manager Review]]="Remote"),"Compliance Issue","")</f>
        <v/>
      </c>
    </row>
    <row r="452" spans="1:11" hidden="1">
      <c r="A452" s="16">
        <f>IF(B452="", "", DATE(2026, 9, COUNTIFS($B$2:$B452, B452)))</f>
        <v>46266</v>
      </c>
      <c r="B452" s="17" t="s">
        <v>43</v>
      </c>
      <c r="C452" s="17" t="s">
        <v>39</v>
      </c>
      <c r="D452" s="17" t="s">
        <v>40</v>
      </c>
      <c r="E452" s="17">
        <v>1847226</v>
      </c>
      <c r="F452" s="17" t="s">
        <v>14</v>
      </c>
      <c r="G452" s="20" t="s">
        <v>19</v>
      </c>
      <c r="H452" s="17"/>
      <c r="I452" s="17"/>
      <c r="J452" s="17"/>
      <c r="K452" s="17" t="str">
        <f>IF(AND(DailyCheck[[#This Row],[Required On-Site]]="Yes",DailyCheck[[#This Row],[Manager Review]]="Remote"),"Compliance Issue","")</f>
        <v/>
      </c>
    </row>
    <row r="453" spans="1:11" hidden="1">
      <c r="A453" s="16">
        <f>IF(B453="", "", DATE(2026, 9, COUNTIFS($B$2:$B453, B453)))</f>
        <v>46267</v>
      </c>
      <c r="B453" s="17" t="s">
        <v>43</v>
      </c>
      <c r="C453" s="17" t="s">
        <v>39</v>
      </c>
      <c r="D453" s="17" t="s">
        <v>40</v>
      </c>
      <c r="E453" s="17">
        <v>1847226</v>
      </c>
      <c r="F453" s="17" t="s">
        <v>16</v>
      </c>
      <c r="G453" s="20" t="s">
        <v>18</v>
      </c>
      <c r="H453" s="17"/>
      <c r="I453" s="17"/>
      <c r="J453" s="17"/>
      <c r="K453" s="17" t="str">
        <f>IF(AND(DailyCheck[[#This Row],[Required On-Site]]="Yes",DailyCheck[[#This Row],[Manager Review]]="Remote"),"Compliance Issue","")</f>
        <v/>
      </c>
    </row>
    <row r="454" spans="1:11" hidden="1">
      <c r="A454" s="16">
        <f>IF(B454="", "", DATE(2026, 9, COUNTIFS($B$2:$B454, B454)))</f>
        <v>46268</v>
      </c>
      <c r="B454" s="17" t="s">
        <v>43</v>
      </c>
      <c r="C454" s="17" t="s">
        <v>39</v>
      </c>
      <c r="D454" s="17" t="s">
        <v>40</v>
      </c>
      <c r="E454" s="17">
        <v>1847226</v>
      </c>
      <c r="F454" s="17" t="s">
        <v>16</v>
      </c>
      <c r="G454" s="17" t="s">
        <v>18</v>
      </c>
      <c r="H454" s="17"/>
      <c r="I454" s="17"/>
      <c r="J454" s="17"/>
      <c r="K454" s="17" t="str">
        <f>IF(AND(DailyCheck[[#This Row],[Required On-Site]]="Yes",DailyCheck[[#This Row],[Manager Review]]="Remote"),"Compliance Issue","")</f>
        <v/>
      </c>
    </row>
    <row r="455" spans="1:11" hidden="1">
      <c r="A455" s="16">
        <f>IF(B455="", "", DATE(2026, 9, COUNTIFS($B$2:$B455, B455)))</f>
        <v>46269</v>
      </c>
      <c r="B455" s="17" t="s">
        <v>43</v>
      </c>
      <c r="C455" s="17" t="s">
        <v>39</v>
      </c>
      <c r="D455" s="17" t="s">
        <v>40</v>
      </c>
      <c r="E455" s="17">
        <v>1847226</v>
      </c>
      <c r="F455" s="17" t="s">
        <v>16</v>
      </c>
      <c r="G455" s="17" t="s">
        <v>18</v>
      </c>
      <c r="H455" s="17"/>
      <c r="I455" s="17"/>
      <c r="J455" s="17"/>
      <c r="K455" s="17" t="str">
        <f>IF(AND(DailyCheck[[#This Row],[Required On-Site]]="Yes",DailyCheck[[#This Row],[Manager Review]]="Remote"),"Compliance Issue","")</f>
        <v/>
      </c>
    </row>
    <row r="456" spans="1:11" hidden="1">
      <c r="A456" s="16">
        <f>IF(B456="", "", DATE(2026, 9, COUNTIFS($B$2:$B456, B456)))</f>
        <v>46270</v>
      </c>
      <c r="B456" s="17" t="s">
        <v>43</v>
      </c>
      <c r="C456" s="17" t="s">
        <v>39</v>
      </c>
      <c r="D456" s="17" t="s">
        <v>40</v>
      </c>
      <c r="E456" s="17">
        <v>1847226</v>
      </c>
      <c r="F456" s="17" t="s">
        <v>14</v>
      </c>
      <c r="G456" s="17" t="s">
        <v>17</v>
      </c>
      <c r="H456" s="17"/>
      <c r="I456" s="17"/>
      <c r="J456" s="17"/>
      <c r="K456" s="17" t="str">
        <f>IF(AND(DailyCheck[[#This Row],[Required On-Site]]="Yes",DailyCheck[[#This Row],[Manager Review]]="Remote"),"Compliance Issue","")</f>
        <v/>
      </c>
    </row>
    <row r="457" spans="1:11" hidden="1">
      <c r="A457" s="16">
        <f>IF(B457="", "", DATE(2026, 9, COUNTIFS($B$2:$B457, B457)))</f>
        <v>46271</v>
      </c>
      <c r="B457" s="17" t="s">
        <v>43</v>
      </c>
      <c r="C457" s="17" t="s">
        <v>39</v>
      </c>
      <c r="D457" s="17" t="s">
        <v>40</v>
      </c>
      <c r="E457" s="17">
        <v>1847226</v>
      </c>
      <c r="F457" s="17" t="s">
        <v>14</v>
      </c>
      <c r="G457" s="17" t="s">
        <v>17</v>
      </c>
      <c r="H457" s="17"/>
      <c r="I457" s="17"/>
      <c r="J457" s="17"/>
      <c r="K457" s="17" t="str">
        <f>IF(AND(DailyCheck[[#This Row],[Required On-Site]]="Yes",DailyCheck[[#This Row],[Manager Review]]="Remote"),"Compliance Issue","")</f>
        <v/>
      </c>
    </row>
    <row r="458" spans="1:11" hidden="1">
      <c r="A458" s="16">
        <f>IF(B458="", "", DATE(2026, 9, COUNTIFS($B$2:$B458, B458)))</f>
        <v>46272</v>
      </c>
      <c r="B458" s="17" t="s">
        <v>43</v>
      </c>
      <c r="C458" s="17" t="s">
        <v>39</v>
      </c>
      <c r="D458" s="17" t="s">
        <v>40</v>
      </c>
      <c r="E458" s="17">
        <v>1847226</v>
      </c>
      <c r="F458" s="17" t="s">
        <v>14</v>
      </c>
      <c r="G458" s="17" t="s">
        <v>19</v>
      </c>
      <c r="H458" s="17"/>
      <c r="I458" s="17"/>
      <c r="J458" s="17"/>
      <c r="K458" s="17" t="str">
        <f>IF(AND(DailyCheck[[#This Row],[Required On-Site]]="Yes",DailyCheck[[#This Row],[Manager Review]]="Remote"),"Compliance Issue","")</f>
        <v/>
      </c>
    </row>
    <row r="459" spans="1:11" hidden="1">
      <c r="A459" s="16">
        <f>IF(B459="", "", DATE(2026, 9, COUNTIFS($B$2:$B459, B459)))</f>
        <v>46273</v>
      </c>
      <c r="B459" s="17" t="s">
        <v>43</v>
      </c>
      <c r="C459" s="17" t="s">
        <v>39</v>
      </c>
      <c r="D459" s="17" t="s">
        <v>40</v>
      </c>
      <c r="E459" s="17">
        <v>1847226</v>
      </c>
      <c r="F459" s="17" t="s">
        <v>14</v>
      </c>
      <c r="G459" s="20" t="s">
        <v>19</v>
      </c>
      <c r="H459" s="17"/>
      <c r="I459" s="17"/>
      <c r="J459" s="17"/>
      <c r="K459" s="17" t="str">
        <f>IF(AND(DailyCheck[[#This Row],[Required On-Site]]="Yes",DailyCheck[[#This Row],[Manager Review]]="Remote"),"Compliance Issue","")</f>
        <v/>
      </c>
    </row>
    <row r="460" spans="1:11" hidden="1">
      <c r="A460" s="16">
        <f>IF(B460="", "", DATE(2026, 9, COUNTIFS($B$2:$B460, B460)))</f>
        <v>46274</v>
      </c>
      <c r="B460" s="17" t="s">
        <v>43</v>
      </c>
      <c r="C460" s="17" t="s">
        <v>39</v>
      </c>
      <c r="D460" s="17" t="s">
        <v>40</v>
      </c>
      <c r="E460" s="17">
        <v>1847226</v>
      </c>
      <c r="F460" s="17" t="s">
        <v>16</v>
      </c>
      <c r="G460" s="20" t="s">
        <v>18</v>
      </c>
      <c r="H460" s="17"/>
      <c r="I460" s="17"/>
      <c r="J460" s="17"/>
      <c r="K460" s="17" t="str">
        <f>IF(AND(DailyCheck[[#This Row],[Required On-Site]]="Yes",DailyCheck[[#This Row],[Manager Review]]="Remote"),"Compliance Issue","")</f>
        <v/>
      </c>
    </row>
    <row r="461" spans="1:11" hidden="1">
      <c r="A461" s="16">
        <f>IF(B461="", "", DATE(2026, 9, COUNTIFS($B$2:$B461, B461)))</f>
        <v>46275</v>
      </c>
      <c r="B461" s="17" t="s">
        <v>43</v>
      </c>
      <c r="C461" s="17" t="s">
        <v>39</v>
      </c>
      <c r="D461" s="17" t="s">
        <v>40</v>
      </c>
      <c r="E461" s="17">
        <v>1847226</v>
      </c>
      <c r="F461" s="17" t="s">
        <v>16</v>
      </c>
      <c r="G461" s="17" t="s">
        <v>18</v>
      </c>
      <c r="H461" s="17"/>
      <c r="I461" s="17"/>
      <c r="J461" s="17"/>
      <c r="K461" s="17" t="str">
        <f>IF(AND(DailyCheck[[#This Row],[Required On-Site]]="Yes",DailyCheck[[#This Row],[Manager Review]]="Remote"),"Compliance Issue","")</f>
        <v/>
      </c>
    </row>
    <row r="462" spans="1:11" hidden="1">
      <c r="A462" s="16">
        <f>IF(B462="", "", DATE(2026, 9, COUNTIFS($B$2:$B462, B462)))</f>
        <v>46276</v>
      </c>
      <c r="B462" s="17" t="s">
        <v>43</v>
      </c>
      <c r="C462" s="17" t="s">
        <v>39</v>
      </c>
      <c r="D462" s="17" t="s">
        <v>40</v>
      </c>
      <c r="E462" s="17">
        <v>1847226</v>
      </c>
      <c r="F462" s="17" t="s">
        <v>16</v>
      </c>
      <c r="G462" s="17" t="s">
        <v>18</v>
      </c>
      <c r="H462" s="17"/>
      <c r="I462" s="17"/>
      <c r="J462" s="17"/>
      <c r="K462" s="17" t="str">
        <f>IF(AND(DailyCheck[[#This Row],[Required On-Site]]="Yes",DailyCheck[[#This Row],[Manager Review]]="Remote"),"Compliance Issue","")</f>
        <v/>
      </c>
    </row>
    <row r="463" spans="1:11" hidden="1">
      <c r="A463" s="16">
        <f>IF(B463="", "", DATE(2026, 9, COUNTIFS($B$2:$B463, B463)))</f>
        <v>46277</v>
      </c>
      <c r="B463" s="17" t="s">
        <v>43</v>
      </c>
      <c r="C463" s="17" t="s">
        <v>39</v>
      </c>
      <c r="D463" s="17" t="s">
        <v>40</v>
      </c>
      <c r="E463" s="17">
        <v>1847226</v>
      </c>
      <c r="F463" s="17" t="s">
        <v>14</v>
      </c>
      <c r="G463" s="17" t="s">
        <v>17</v>
      </c>
      <c r="H463" s="17"/>
      <c r="I463" s="17"/>
      <c r="J463" s="17"/>
      <c r="K463" s="17" t="str">
        <f>IF(AND(DailyCheck[[#This Row],[Required On-Site]]="Yes",DailyCheck[[#This Row],[Manager Review]]="Remote"),"Compliance Issue","")</f>
        <v/>
      </c>
    </row>
    <row r="464" spans="1:11" hidden="1">
      <c r="A464" s="16">
        <f>IF(B464="", "", DATE(2026, 9, COUNTIFS($B$2:$B464, B464)))</f>
        <v>46278</v>
      </c>
      <c r="B464" s="17" t="s">
        <v>43</v>
      </c>
      <c r="C464" s="17" t="s">
        <v>39</v>
      </c>
      <c r="D464" s="17" t="s">
        <v>40</v>
      </c>
      <c r="E464" s="17">
        <v>1847226</v>
      </c>
      <c r="F464" s="17" t="s">
        <v>14</v>
      </c>
      <c r="G464" s="17" t="s">
        <v>17</v>
      </c>
      <c r="H464" s="17"/>
      <c r="I464" s="17"/>
      <c r="J464" s="17"/>
      <c r="K464" s="17" t="str">
        <f>IF(AND(DailyCheck[[#This Row],[Required On-Site]]="Yes",DailyCheck[[#This Row],[Manager Review]]="Remote"),"Compliance Issue","")</f>
        <v/>
      </c>
    </row>
    <row r="465" spans="1:11" hidden="1">
      <c r="A465" s="16">
        <f>IF(B465="", "", DATE(2026, 9, COUNTIFS($B$2:$B465, B465)))</f>
        <v>46279</v>
      </c>
      <c r="B465" s="17" t="s">
        <v>43</v>
      </c>
      <c r="C465" s="17" t="s">
        <v>39</v>
      </c>
      <c r="D465" s="17" t="s">
        <v>40</v>
      </c>
      <c r="E465" s="17">
        <v>1847226</v>
      </c>
      <c r="F465" s="17" t="s">
        <v>14</v>
      </c>
      <c r="G465" s="17" t="s">
        <v>19</v>
      </c>
      <c r="H465" s="17"/>
      <c r="I465" s="17"/>
      <c r="J465" s="17"/>
      <c r="K465" s="17" t="str">
        <f>IF(AND(DailyCheck[[#This Row],[Required On-Site]]="Yes",DailyCheck[[#This Row],[Manager Review]]="Remote"),"Compliance Issue","")</f>
        <v/>
      </c>
    </row>
    <row r="466" spans="1:11" hidden="1">
      <c r="A466" s="16">
        <f>IF(B466="", "", DATE(2026, 9, COUNTIFS($B$2:$B466, B466)))</f>
        <v>46280</v>
      </c>
      <c r="B466" s="17" t="s">
        <v>43</v>
      </c>
      <c r="C466" s="17" t="s">
        <v>39</v>
      </c>
      <c r="D466" s="17" t="s">
        <v>40</v>
      </c>
      <c r="E466" s="17">
        <v>1847226</v>
      </c>
      <c r="F466" s="17" t="s">
        <v>14</v>
      </c>
      <c r="G466" s="20" t="s">
        <v>19</v>
      </c>
      <c r="H466" s="17"/>
      <c r="I466" s="17"/>
      <c r="J466" s="17"/>
      <c r="K466" s="17" t="str">
        <f>IF(AND(DailyCheck[[#This Row],[Required On-Site]]="Yes",DailyCheck[[#This Row],[Manager Review]]="Remote"),"Compliance Issue","")</f>
        <v/>
      </c>
    </row>
    <row r="467" spans="1:11" hidden="1">
      <c r="A467" s="16">
        <f>IF(B467="", "", DATE(2026, 9, COUNTIFS($B$2:$B467, B467)))</f>
        <v>46281</v>
      </c>
      <c r="B467" s="17" t="s">
        <v>43</v>
      </c>
      <c r="C467" s="17" t="s">
        <v>39</v>
      </c>
      <c r="D467" s="17" t="s">
        <v>40</v>
      </c>
      <c r="E467" s="17">
        <v>1847226</v>
      </c>
      <c r="F467" s="17" t="s">
        <v>16</v>
      </c>
      <c r="G467" s="20" t="s">
        <v>18</v>
      </c>
      <c r="H467" s="17"/>
      <c r="I467" s="17"/>
      <c r="J467" s="17"/>
      <c r="K467" s="17" t="str">
        <f>IF(AND(DailyCheck[[#This Row],[Required On-Site]]="Yes",DailyCheck[[#This Row],[Manager Review]]="Remote"),"Compliance Issue","")</f>
        <v/>
      </c>
    </row>
    <row r="468" spans="1:11" hidden="1">
      <c r="A468" s="16">
        <f>IF(B468="", "", DATE(2026, 9, COUNTIFS($B$2:$B468, B468)))</f>
        <v>46282</v>
      </c>
      <c r="B468" s="17" t="s">
        <v>43</v>
      </c>
      <c r="C468" s="17" t="s">
        <v>39</v>
      </c>
      <c r="D468" s="17" t="s">
        <v>40</v>
      </c>
      <c r="E468" s="17">
        <v>1847226</v>
      </c>
      <c r="F468" s="17" t="s">
        <v>16</v>
      </c>
      <c r="G468" s="17" t="s">
        <v>18</v>
      </c>
      <c r="H468" s="17"/>
      <c r="I468" s="17"/>
      <c r="J468" s="17"/>
      <c r="K468" s="17" t="str">
        <f>IF(AND(DailyCheck[[#This Row],[Required On-Site]]="Yes",DailyCheck[[#This Row],[Manager Review]]="Remote"),"Compliance Issue","")</f>
        <v/>
      </c>
    </row>
    <row r="469" spans="1:11" hidden="1">
      <c r="A469" s="16">
        <f>IF(B469="", "", DATE(2026, 9, COUNTIFS($B$2:$B469, B469)))</f>
        <v>46283</v>
      </c>
      <c r="B469" s="17" t="s">
        <v>43</v>
      </c>
      <c r="C469" s="17" t="s">
        <v>39</v>
      </c>
      <c r="D469" s="17" t="s">
        <v>40</v>
      </c>
      <c r="E469" s="17">
        <v>1847226</v>
      </c>
      <c r="F469" s="17" t="s">
        <v>16</v>
      </c>
      <c r="G469" s="17" t="s">
        <v>18</v>
      </c>
      <c r="H469" s="17"/>
      <c r="I469" s="17"/>
      <c r="J469" s="17"/>
      <c r="K469" s="17" t="str">
        <f>IF(AND(DailyCheck[[#This Row],[Required On-Site]]="Yes",DailyCheck[[#This Row],[Manager Review]]="Remote"),"Compliance Issue","")</f>
        <v/>
      </c>
    </row>
    <row r="470" spans="1:11" hidden="1">
      <c r="A470" s="16">
        <f>IF(B470="", "", DATE(2026, 9, COUNTIFS($B$2:$B470, B470)))</f>
        <v>46284</v>
      </c>
      <c r="B470" s="17" t="s">
        <v>43</v>
      </c>
      <c r="C470" s="17" t="s">
        <v>39</v>
      </c>
      <c r="D470" s="17" t="s">
        <v>40</v>
      </c>
      <c r="E470" s="17">
        <v>1847226</v>
      </c>
      <c r="F470" s="17" t="s">
        <v>14</v>
      </c>
      <c r="G470" s="17" t="s">
        <v>17</v>
      </c>
      <c r="H470" s="17"/>
      <c r="I470" s="17"/>
      <c r="J470" s="17"/>
      <c r="K470" s="17" t="str">
        <f>IF(AND(DailyCheck[[#This Row],[Required On-Site]]="Yes",DailyCheck[[#This Row],[Manager Review]]="Remote"),"Compliance Issue","")</f>
        <v/>
      </c>
    </row>
    <row r="471" spans="1:11" hidden="1">
      <c r="A471" s="16">
        <f>IF(B471="", "", DATE(2026, 9, COUNTIFS($B$2:$B471, B471)))</f>
        <v>46285</v>
      </c>
      <c r="B471" s="17" t="s">
        <v>43</v>
      </c>
      <c r="C471" s="17" t="s">
        <v>39</v>
      </c>
      <c r="D471" s="17" t="s">
        <v>40</v>
      </c>
      <c r="E471" s="17">
        <v>1847226</v>
      </c>
      <c r="F471" s="17" t="s">
        <v>14</v>
      </c>
      <c r="G471" s="17" t="s">
        <v>17</v>
      </c>
      <c r="H471" s="17"/>
      <c r="I471" s="17"/>
      <c r="J471" s="17"/>
      <c r="K471" s="17" t="str">
        <f>IF(AND(DailyCheck[[#This Row],[Required On-Site]]="Yes",DailyCheck[[#This Row],[Manager Review]]="Remote"),"Compliance Issue","")</f>
        <v/>
      </c>
    </row>
    <row r="472" spans="1:11" hidden="1">
      <c r="A472" s="16">
        <f>IF(B472="", "", DATE(2026, 9, COUNTIFS($B$2:$B472, B472)))</f>
        <v>46286</v>
      </c>
      <c r="B472" s="17" t="s">
        <v>43</v>
      </c>
      <c r="C472" s="17" t="s">
        <v>39</v>
      </c>
      <c r="D472" s="17" t="s">
        <v>40</v>
      </c>
      <c r="E472" s="17">
        <v>1847226</v>
      </c>
      <c r="F472" s="17" t="s">
        <v>14</v>
      </c>
      <c r="G472" s="17" t="s">
        <v>19</v>
      </c>
      <c r="H472" s="17"/>
      <c r="I472" s="17"/>
      <c r="J472" s="17"/>
      <c r="K472" s="17" t="str">
        <f>IF(AND(DailyCheck[[#This Row],[Required On-Site]]="Yes",DailyCheck[[#This Row],[Manager Review]]="Remote"),"Compliance Issue","")</f>
        <v/>
      </c>
    </row>
    <row r="473" spans="1:11" hidden="1">
      <c r="A473" s="16">
        <f>IF(B473="", "", DATE(2026, 9, COUNTIFS($B$2:$B473, B473)))</f>
        <v>46287</v>
      </c>
      <c r="B473" s="17" t="s">
        <v>43</v>
      </c>
      <c r="C473" s="17" t="s">
        <v>39</v>
      </c>
      <c r="D473" s="17" t="s">
        <v>40</v>
      </c>
      <c r="E473" s="17">
        <v>1847226</v>
      </c>
      <c r="F473" s="17" t="s">
        <v>14</v>
      </c>
      <c r="G473" s="20" t="s">
        <v>19</v>
      </c>
      <c r="H473" s="17"/>
      <c r="I473" s="17"/>
      <c r="J473" s="17"/>
      <c r="K473" s="17" t="str">
        <f>IF(AND(DailyCheck[[#This Row],[Required On-Site]]="Yes",DailyCheck[[#This Row],[Manager Review]]="Remote"),"Compliance Issue","")</f>
        <v/>
      </c>
    </row>
    <row r="474" spans="1:11" hidden="1">
      <c r="A474" s="16">
        <f>IF(B474="", "", DATE(2026, 9, COUNTIFS($B$2:$B474, B474)))</f>
        <v>46288</v>
      </c>
      <c r="B474" s="17" t="s">
        <v>43</v>
      </c>
      <c r="C474" s="17" t="s">
        <v>39</v>
      </c>
      <c r="D474" s="17" t="s">
        <v>40</v>
      </c>
      <c r="E474" s="17">
        <v>1847226</v>
      </c>
      <c r="F474" s="17" t="s">
        <v>16</v>
      </c>
      <c r="G474" s="20" t="s">
        <v>18</v>
      </c>
      <c r="H474" s="17"/>
      <c r="I474" s="17"/>
      <c r="J474" s="17"/>
      <c r="K474" s="17" t="str">
        <f>IF(AND(DailyCheck[[#This Row],[Required On-Site]]="Yes",DailyCheck[[#This Row],[Manager Review]]="Remote"),"Compliance Issue","")</f>
        <v/>
      </c>
    </row>
    <row r="475" spans="1:11" hidden="1">
      <c r="A475" s="16">
        <f>IF(B475="", "", DATE(2026, 9, COUNTIFS($B$2:$B475, B475)))</f>
        <v>46289</v>
      </c>
      <c r="B475" s="17" t="s">
        <v>43</v>
      </c>
      <c r="C475" s="17" t="s">
        <v>39</v>
      </c>
      <c r="D475" s="17" t="s">
        <v>40</v>
      </c>
      <c r="E475" s="17">
        <v>1847226</v>
      </c>
      <c r="F475" s="17" t="s">
        <v>16</v>
      </c>
      <c r="G475" s="17" t="s">
        <v>18</v>
      </c>
      <c r="H475" s="17"/>
      <c r="I475" s="17"/>
      <c r="J475" s="17"/>
      <c r="K475" s="17" t="str">
        <f>IF(AND(DailyCheck[[#This Row],[Required On-Site]]="Yes",DailyCheck[[#This Row],[Manager Review]]="Remote"),"Compliance Issue","")</f>
        <v/>
      </c>
    </row>
    <row r="476" spans="1:11" hidden="1">
      <c r="A476" s="16">
        <f>IF(B476="", "", DATE(2026, 9, COUNTIFS($B$2:$B476, B476)))</f>
        <v>46290</v>
      </c>
      <c r="B476" s="17" t="s">
        <v>43</v>
      </c>
      <c r="C476" s="17" t="s">
        <v>39</v>
      </c>
      <c r="D476" s="17" t="s">
        <v>40</v>
      </c>
      <c r="E476" s="17">
        <v>1847226</v>
      </c>
      <c r="F476" s="17" t="s">
        <v>16</v>
      </c>
      <c r="G476" s="17" t="s">
        <v>18</v>
      </c>
      <c r="H476" s="17"/>
      <c r="I476" s="17"/>
      <c r="J476" s="17"/>
      <c r="K476" s="17" t="str">
        <f>IF(AND(DailyCheck[[#This Row],[Required On-Site]]="Yes",DailyCheck[[#This Row],[Manager Review]]="Remote"),"Compliance Issue","")</f>
        <v/>
      </c>
    </row>
    <row r="477" spans="1:11" hidden="1">
      <c r="A477" s="16">
        <f>IF(B477="", "", DATE(2026, 9, COUNTIFS($B$2:$B477, B477)))</f>
        <v>46291</v>
      </c>
      <c r="B477" s="17" t="s">
        <v>43</v>
      </c>
      <c r="C477" s="17" t="s">
        <v>39</v>
      </c>
      <c r="D477" s="17" t="s">
        <v>40</v>
      </c>
      <c r="E477" s="17">
        <v>1847226</v>
      </c>
      <c r="F477" s="17" t="s">
        <v>14</v>
      </c>
      <c r="G477" s="17" t="s">
        <v>17</v>
      </c>
      <c r="H477" s="17"/>
      <c r="I477" s="17"/>
      <c r="J477" s="17"/>
      <c r="K477" s="17" t="str">
        <f>IF(AND(DailyCheck[[#This Row],[Required On-Site]]="Yes",DailyCheck[[#This Row],[Manager Review]]="Remote"),"Compliance Issue","")</f>
        <v/>
      </c>
    </row>
    <row r="478" spans="1:11" hidden="1">
      <c r="A478" s="16">
        <f>IF(B478="", "", DATE(2026, 9, COUNTIFS($B$2:$B478, B478)))</f>
        <v>46292</v>
      </c>
      <c r="B478" s="17" t="s">
        <v>43</v>
      </c>
      <c r="C478" s="17" t="s">
        <v>39</v>
      </c>
      <c r="D478" s="17" t="s">
        <v>40</v>
      </c>
      <c r="E478" s="17">
        <v>1847226</v>
      </c>
      <c r="F478" s="17" t="s">
        <v>14</v>
      </c>
      <c r="G478" s="17" t="s">
        <v>17</v>
      </c>
      <c r="H478" s="17"/>
      <c r="I478" s="17"/>
      <c r="J478" s="17"/>
      <c r="K478" s="17" t="str">
        <f>IF(AND(DailyCheck[[#This Row],[Required On-Site]]="Yes",DailyCheck[[#This Row],[Manager Review]]="Remote"),"Compliance Issue","")</f>
        <v/>
      </c>
    </row>
    <row r="479" spans="1:11" hidden="1">
      <c r="A479" s="16">
        <f>IF(B479="", "", DATE(2026, 9, COUNTIFS($B$2:$B479, B479)))</f>
        <v>46293</v>
      </c>
      <c r="B479" s="17" t="s">
        <v>43</v>
      </c>
      <c r="C479" s="17" t="s">
        <v>39</v>
      </c>
      <c r="D479" s="17" t="s">
        <v>40</v>
      </c>
      <c r="E479" s="17">
        <v>1847226</v>
      </c>
      <c r="F479" s="17" t="s">
        <v>14</v>
      </c>
      <c r="G479" s="17" t="s">
        <v>19</v>
      </c>
      <c r="H479" s="17"/>
      <c r="I479" s="17"/>
      <c r="J479" s="17"/>
      <c r="K479" s="17" t="str">
        <f>IF(AND(DailyCheck[[#This Row],[Required On-Site]]="Yes",DailyCheck[[#This Row],[Manager Review]]="Remote"),"Compliance Issue","")</f>
        <v/>
      </c>
    </row>
    <row r="480" spans="1:11" hidden="1">
      <c r="A480" s="16">
        <f>IF(B480="", "", DATE(2026, 9, COUNTIFS($B$2:$B480, B480)))</f>
        <v>46294</v>
      </c>
      <c r="B480" s="17" t="s">
        <v>43</v>
      </c>
      <c r="C480" s="17" t="s">
        <v>39</v>
      </c>
      <c r="D480" s="17" t="s">
        <v>40</v>
      </c>
      <c r="E480" s="17">
        <v>1847226</v>
      </c>
      <c r="F480" s="17" t="s">
        <v>14</v>
      </c>
      <c r="G480" s="20" t="s">
        <v>19</v>
      </c>
      <c r="H480" s="17"/>
      <c r="I480" s="17"/>
      <c r="J480" s="17"/>
      <c r="K480" s="17" t="str">
        <f>IF(AND(DailyCheck[[#This Row],[Required On-Site]]="Yes",DailyCheck[[#This Row],[Manager Review]]="Remote"),"Compliance Issue","")</f>
        <v/>
      </c>
    </row>
    <row r="481" spans="1:11" hidden="1">
      <c r="A481" s="16">
        <f>IF(B481="", "", DATE(2026, 9, COUNTIFS($B$2:$B481, B481)))</f>
        <v>46295</v>
      </c>
      <c r="B481" s="17" t="s">
        <v>43</v>
      </c>
      <c r="C481" s="17" t="s">
        <v>39</v>
      </c>
      <c r="D481" s="17" t="s">
        <v>40</v>
      </c>
      <c r="E481" s="17">
        <v>1847226</v>
      </c>
      <c r="F481" s="17" t="s">
        <v>16</v>
      </c>
      <c r="G481" s="20" t="s">
        <v>18</v>
      </c>
      <c r="H481" s="17"/>
      <c r="I481" s="17"/>
      <c r="J481" s="17"/>
      <c r="K481" s="17" t="str">
        <f>IF(AND(DailyCheck[[#This Row],[Required On-Site]]="Yes",DailyCheck[[#This Row],[Manager Review]]="Remote"),"Compliance Issue","")</f>
        <v/>
      </c>
    </row>
  </sheetData>
  <sheetProtection algorithmName="SHA-512" hashValue="LZxSZ6k2min6jLB8Fyip/ovp+Y/y0D2hda5Pa271EsHACt0GVWZhaGWyDNMRVqgbmFZoDgPEveP87AoBgugeUw==" saltValue="xRfFFXxOpmKG7PrCEFf35w==" spinCount="100000" sheet="1" objects="1" scenarios="1"/>
  <conditionalFormatting sqref="H203:H1048576 H1:H201">
    <cfRule type="containsText" dxfId="34" priority="13" operator="containsText" text="No">
      <formula>NOT(ISERROR(SEARCH("No",H1)))</formula>
    </cfRule>
    <cfRule type="containsText" dxfId="33" priority="14" operator="containsText" text="Yes">
      <formula>NOT(ISERROR(SEARCH("Yes",H1)))</formula>
    </cfRule>
  </conditionalFormatting>
  <conditionalFormatting sqref="I1:I1048576 G2:G481">
    <cfRule type="containsText" dxfId="32" priority="10" operator="containsText" text="Compensation">
      <formula>NOT(ISERROR(SEARCH("Compensation",G1)))</formula>
    </cfRule>
    <cfRule type="containsText" dxfId="31" priority="12" operator="containsText" text="Annual">
      <formula>NOT(ISERROR(SEARCH("Annual",G1)))</formula>
    </cfRule>
  </conditionalFormatting>
  <conditionalFormatting sqref="I1:I1048576 G2:G481">
    <cfRule type="containsText" dxfId="30" priority="11" operator="containsText" text="OFF">
      <formula>NOT(ISERROR(SEARCH("OFF",G1)))</formula>
    </cfRule>
  </conditionalFormatting>
  <conditionalFormatting sqref="I1:I1048576 G2:G481">
    <cfRule type="containsText" dxfId="29" priority="9" operator="containsText" text="Public Holiday">
      <formula>NOT(ISERROR(SEARCH("Public Holiday",G1)))</formula>
    </cfRule>
  </conditionalFormatting>
  <conditionalFormatting sqref="G1:G1048576">
    <cfRule type="containsText" dxfId="28" priority="3" operator="containsText" text="Remote">
      <formula>NOT(ISERROR(SEARCH("Remote",G1)))</formula>
    </cfRule>
  </conditionalFormatting>
  <conditionalFormatting sqref="G1:G1048576">
    <cfRule type="containsText" dxfId="27" priority="2" operator="containsText" text="On-Site">
      <formula>NOT(ISERROR(SEARCH("On-Site",G1)))</formula>
    </cfRule>
  </conditionalFormatting>
  <conditionalFormatting sqref="K1:K1048576">
    <cfRule type="containsText" dxfId="26" priority="1" operator="containsText" text="Issue">
      <formula>NOT(ISERROR(SEARCH("Issue",K1)))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1000000}">
          <x14:formula1>
            <xm:f>Lists!$B$2:$B$12</xm:f>
          </x14:formula1>
          <xm:sqref>K379 G2:G981</xm:sqref>
        </x14:dataValidation>
        <x14:dataValidation type="list" allowBlank="1" xr:uid="{00000000-0002-0000-0000-000002000000}">
          <x14:formula1>
            <xm:f>Lists!$C$2:$C$4</xm:f>
          </x14:formula1>
          <xm:sqref>H203:H981 H2:H201</xm:sqref>
        </x14:dataValidation>
        <x14:dataValidation type="list" allowBlank="1" xr:uid="{00000000-0002-0000-0000-000000000000}">
          <x14:formula1>
            <xm:f>Lists!$A$2:$A$3</xm:f>
          </x14:formula1>
          <xm:sqref>F2:F981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showGridLines="0" zoomScale="85" zoomScaleNormal="85" workbookViewId="0">
      <pane ySplit="1" topLeftCell="A2" activePane="bottomLeft" state="frozen"/>
      <selection pane="bottomLeft" activeCell="A29" sqref="A29"/>
    </sheetView>
  </sheetViews>
  <sheetFormatPr defaultRowHeight="14.45"/>
  <cols>
    <col min="1" max="1" width="26" customWidth="1"/>
    <col min="2" max="2" width="20.42578125" bestFit="1" customWidth="1"/>
    <col min="3" max="5" width="22" customWidth="1"/>
    <col min="6" max="6" width="24" customWidth="1"/>
    <col min="7" max="7" width="16" customWidth="1"/>
    <col min="8" max="8" width="14" customWidth="1"/>
    <col min="10" max="10" width="35" customWidth="1"/>
    <col min="11" max="11" width="14" customWidth="1"/>
  </cols>
  <sheetData>
    <row r="1" spans="1:11" ht="15">
      <c r="A1" s="1" t="s">
        <v>44</v>
      </c>
      <c r="B1" s="1" t="s">
        <v>2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J1" s="2" t="s">
        <v>51</v>
      </c>
      <c r="K1" s="2" t="s">
        <v>52</v>
      </c>
    </row>
    <row r="2" spans="1:11" ht="15">
      <c r="A2" s="3" t="s">
        <v>11</v>
      </c>
      <c r="B2" s="3" t="s">
        <v>12</v>
      </c>
      <c r="C2" s="9">
        <f ca="1">COUNTIFS(
    DailyCheck[Employee Name], A2,
    DailyCheck[Team], B2,
    DailyCheck[Required On-Site], "Yes",
    DailyCheck[Date], "&lt;=" &amp; TODAY()
)</f>
        <v>11</v>
      </c>
      <c r="D2" s="4">
        <f>COUNTIFS(DailyCheck[Employee Name],A2,DailyCheck[Team],B2,DailyCheck[Required On-Site],"Yes",DailyCheck[Manager Review],"On-Site",DailyCheck[Exception?],"&lt;&gt;Yes")</f>
        <v>7</v>
      </c>
      <c r="E2" s="4">
        <f>COUNTIFS(DailyCheck[Employee Name],A2,DailyCheck[Team],B2,DailyCheck[Required On-Site],"Yes",DailyCheck[Exception?],"Yes")</f>
        <v>4</v>
      </c>
      <c r="F2" s="4">
        <f t="shared" ref="F2:F18" ca="1" si="0">MAX(C2-E2,0)</f>
        <v>7</v>
      </c>
      <c r="G2" s="5">
        <f t="shared" ref="G2:G18" ca="1" si="1">IF(F2=0,"",MIN(D2/F2,1))</f>
        <v>1</v>
      </c>
      <c r="H2" s="6">
        <f t="shared" ref="H2:H18" ca="1" si="2">IF(G2="","",IF(G2&gt;=90%,30%,IF(G2&gt;=80%,15%,IF(G2&gt;=70%,10%,0%))))</f>
        <v>0.3</v>
      </c>
      <c r="J2" s="7" t="s">
        <v>53</v>
      </c>
      <c r="K2" s="7" t="s">
        <v>54</v>
      </c>
    </row>
    <row r="3" spans="1:11" ht="15">
      <c r="A3" s="3" t="s">
        <v>20</v>
      </c>
      <c r="B3" s="3" t="s">
        <v>12</v>
      </c>
      <c r="C3" s="9">
        <f ca="1">COUNTIFS(
    DailyCheck[Employee Name], A3,
    DailyCheck[Team], B3,
    DailyCheck[Required On-Site], "Yes",
    DailyCheck[Date], "&lt;=" &amp; TODAY()
)</f>
        <v>13</v>
      </c>
      <c r="D3" s="4">
        <f>COUNTIFS(DailyCheck[Employee Name],A3,DailyCheck[Team],B3,DailyCheck[Required On-Site],"Yes",DailyCheck[Manager Review],"On-Site",DailyCheck[Exception?],"&lt;&gt;Yes")</f>
        <v>11</v>
      </c>
      <c r="E3" s="4">
        <f>COUNTIFS(DailyCheck[Employee Name],A3,DailyCheck[Team],B3,DailyCheck[Required On-Site],"Yes",DailyCheck[Exception?],"Yes")</f>
        <v>3</v>
      </c>
      <c r="F3" s="4">
        <f t="shared" ca="1" si="0"/>
        <v>10</v>
      </c>
      <c r="G3" s="5">
        <f t="shared" ca="1" si="1"/>
        <v>1</v>
      </c>
      <c r="H3" s="6">
        <f t="shared" ca="1" si="2"/>
        <v>0.3</v>
      </c>
      <c r="J3" s="7" t="s">
        <v>55</v>
      </c>
      <c r="K3" s="7" t="s">
        <v>56</v>
      </c>
    </row>
    <row r="4" spans="1:11" ht="15">
      <c r="A4" s="3" t="s">
        <v>22</v>
      </c>
      <c r="B4" s="3" t="s">
        <v>12</v>
      </c>
      <c r="C4" s="9">
        <f ca="1">COUNTIFS(
    DailyCheck[Employee Name], A4,
    DailyCheck[Team], B4,
    DailyCheck[Required On-Site], "Yes",
    DailyCheck[Date], "&lt;=" &amp; TODAY()
)</f>
        <v>12</v>
      </c>
      <c r="D4" s="4">
        <f>COUNTIFS(DailyCheck[Employee Name],A4,DailyCheck[Team],B4,DailyCheck[Required On-Site],"Yes",DailyCheck[Manager Review],"On-Site",DailyCheck[Exception?],"&lt;&gt;Yes")</f>
        <v>11</v>
      </c>
      <c r="E4" s="4">
        <f>COUNTIFS(DailyCheck[Employee Name],A4,DailyCheck[Team],B4,DailyCheck[Required On-Site],"Yes",DailyCheck[Exception?],"Yes")</f>
        <v>1</v>
      </c>
      <c r="F4" s="4">
        <f t="shared" ca="1" si="0"/>
        <v>11</v>
      </c>
      <c r="G4" s="5">
        <f t="shared" ca="1" si="1"/>
        <v>1</v>
      </c>
      <c r="H4" s="6">
        <f t="shared" ca="1" si="2"/>
        <v>0.3</v>
      </c>
      <c r="J4" s="7" t="s">
        <v>57</v>
      </c>
      <c r="K4" s="7" t="s">
        <v>58</v>
      </c>
    </row>
    <row r="5" spans="1:11" ht="15">
      <c r="A5" s="3" t="s">
        <v>24</v>
      </c>
      <c r="B5" s="3" t="s">
        <v>12</v>
      </c>
      <c r="C5" s="9">
        <f ca="1">COUNTIFS(
    DailyCheck[Employee Name], A5,
    DailyCheck[Team], B5,
    DailyCheck[Required On-Site], "Yes",
    DailyCheck[Date], "&lt;=" &amp; TODAY()
)</f>
        <v>12</v>
      </c>
      <c r="D5" s="4">
        <f>COUNTIFS(DailyCheck[Employee Name],A5,DailyCheck[Team],B5,DailyCheck[Required On-Site],"Yes",DailyCheck[Manager Review],"On-Site",DailyCheck[Exception?],"&lt;&gt;Yes")</f>
        <v>10</v>
      </c>
      <c r="E5" s="4">
        <f>COUNTIFS(DailyCheck[Employee Name],A5,DailyCheck[Team],B5,DailyCheck[Required On-Site],"Yes",DailyCheck[Exception?],"Yes")</f>
        <v>3</v>
      </c>
      <c r="F5" s="4">
        <f t="shared" ca="1" si="0"/>
        <v>9</v>
      </c>
      <c r="G5" s="5">
        <f t="shared" ca="1" si="1"/>
        <v>1</v>
      </c>
      <c r="H5" s="6">
        <f t="shared" ca="1" si="2"/>
        <v>0.3</v>
      </c>
      <c r="J5" s="7" t="s">
        <v>59</v>
      </c>
      <c r="K5" s="7" t="s">
        <v>60</v>
      </c>
    </row>
    <row r="6" spans="1:11" ht="15">
      <c r="A6" s="3" t="s">
        <v>28</v>
      </c>
      <c r="B6" s="3" t="s">
        <v>29</v>
      </c>
      <c r="C6" s="9">
        <f ca="1">COUNTIFS(
    DailyCheck[Employee Name], A6,
    DailyCheck[Team], B6,
    DailyCheck[Required On-Site], "Yes",
    DailyCheck[Date], "&lt;=" &amp; TODAY()
)</f>
        <v>14</v>
      </c>
      <c r="D6" s="4">
        <f>COUNTIFS(DailyCheck[Employee Name],A6,DailyCheck[Team],B6,DailyCheck[Required On-Site],"Yes",DailyCheck[Manager Review],"On-Site",DailyCheck[Exception?],"&lt;&gt;Yes")</f>
        <v>10</v>
      </c>
      <c r="E6" s="4">
        <f>COUNTIFS(DailyCheck[Employee Name],A6,DailyCheck[Team],B6,DailyCheck[Required On-Site],"Yes",DailyCheck[Exception?],"Yes")</f>
        <v>4</v>
      </c>
      <c r="F6" s="4">
        <f t="shared" ca="1" si="0"/>
        <v>10</v>
      </c>
      <c r="G6" s="5">
        <f t="shared" ca="1" si="1"/>
        <v>1</v>
      </c>
      <c r="H6" s="6">
        <f t="shared" ca="1" si="2"/>
        <v>0.3</v>
      </c>
    </row>
    <row r="7" spans="1:11" ht="15">
      <c r="A7" s="3" t="s">
        <v>31</v>
      </c>
      <c r="B7" s="3" t="s">
        <v>29</v>
      </c>
      <c r="C7" s="9">
        <f ca="1">COUNTIFS(
    DailyCheck[Employee Name], A7,
    DailyCheck[Team], B7,
    DailyCheck[Required On-Site], "Yes",
    DailyCheck[Date], "&lt;=" &amp; TODAY()
)</f>
        <v>12</v>
      </c>
      <c r="D7" s="4">
        <f>COUNTIFS(DailyCheck[Employee Name],A7,DailyCheck[Team],B7,DailyCheck[Required On-Site],"Yes",DailyCheck[Manager Review],"On-Site",DailyCheck[Exception?],"&lt;&gt;Yes")</f>
        <v>9</v>
      </c>
      <c r="E7" s="4">
        <f>COUNTIFS(DailyCheck[Employee Name],A7,DailyCheck[Team],B7,DailyCheck[Required On-Site],"Yes",DailyCheck[Exception?],"Yes")</f>
        <v>3</v>
      </c>
      <c r="F7" s="4">
        <f t="shared" ca="1" si="0"/>
        <v>9</v>
      </c>
      <c r="G7" s="5">
        <f t="shared" ca="1" si="1"/>
        <v>1</v>
      </c>
      <c r="H7" s="6">
        <f t="shared" ca="1" si="2"/>
        <v>0.3</v>
      </c>
    </row>
    <row r="8" spans="1:11" ht="15">
      <c r="A8" s="3" t="s">
        <v>32</v>
      </c>
      <c r="B8" s="3" t="s">
        <v>29</v>
      </c>
      <c r="C8" s="9">
        <f ca="1">COUNTIFS(
    DailyCheck[Employee Name], A8,
    DailyCheck[Team], B8,
    DailyCheck[Required On-Site], "Yes",
    DailyCheck[Date], "&lt;=" &amp; TODAY()
)</f>
        <v>13</v>
      </c>
      <c r="D8" s="4">
        <f>COUNTIFS(DailyCheck[Employee Name],A8,DailyCheck[Team],B8,DailyCheck[Required On-Site],"Yes",DailyCheck[Manager Review],"On-Site",DailyCheck[Exception?],"&lt;&gt;Yes")</f>
        <v>9</v>
      </c>
      <c r="E8" s="4">
        <f>COUNTIFS(DailyCheck[Employee Name],A8,DailyCheck[Team],B8,DailyCheck[Required On-Site],"Yes",DailyCheck[Exception?],"Yes")</f>
        <v>5</v>
      </c>
      <c r="F8" s="4">
        <f t="shared" ca="1" si="0"/>
        <v>8</v>
      </c>
      <c r="G8" s="5">
        <f t="shared" ca="1" si="1"/>
        <v>1</v>
      </c>
      <c r="H8" s="6">
        <f t="shared" ca="1" si="2"/>
        <v>0.3</v>
      </c>
    </row>
    <row r="9" spans="1:11" ht="15">
      <c r="A9" s="3" t="s">
        <v>33</v>
      </c>
      <c r="B9" s="3" t="s">
        <v>29</v>
      </c>
      <c r="C9" s="9">
        <f ca="1">COUNTIFS(
    DailyCheck[Employee Name], A9,
    DailyCheck[Team], B9,
    DailyCheck[Required On-Site], "Yes",
    DailyCheck[Date], "&lt;=" &amp; TODAY()
)</f>
        <v>13</v>
      </c>
      <c r="D9" s="4">
        <f>COUNTIFS(DailyCheck[Employee Name],A9,DailyCheck[Team],B9,DailyCheck[Required On-Site],"Yes",DailyCheck[Manager Review],"On-Site",DailyCheck[Exception?],"&lt;&gt;Yes")</f>
        <v>8</v>
      </c>
      <c r="E9" s="4">
        <f>COUNTIFS(DailyCheck[Employee Name],A9,DailyCheck[Team],B9,DailyCheck[Required On-Site],"Yes",DailyCheck[Exception?],"Yes")</f>
        <v>5</v>
      </c>
      <c r="F9" s="4">
        <f t="shared" ca="1" si="0"/>
        <v>8</v>
      </c>
      <c r="G9" s="5">
        <f t="shared" ca="1" si="1"/>
        <v>1</v>
      </c>
      <c r="H9" s="6">
        <f t="shared" ca="1" si="2"/>
        <v>0.3</v>
      </c>
    </row>
    <row r="10" spans="1:11" ht="15">
      <c r="A10" s="3" t="s">
        <v>34</v>
      </c>
      <c r="B10" s="3" t="s">
        <v>29</v>
      </c>
      <c r="C10" s="9">
        <f ca="1">COUNTIFS(
    DailyCheck[Employee Name], A10,
    DailyCheck[Team], B10,
    DailyCheck[Required On-Site], "Yes",
    DailyCheck[Date], "&lt;=" &amp; TODAY()
)</f>
        <v>8</v>
      </c>
      <c r="D10" s="4">
        <f>COUNTIFS(DailyCheck[Employee Name],A10,DailyCheck[Team],B10,DailyCheck[Required On-Site],"Yes",DailyCheck[Manager Review],"On-Site",DailyCheck[Exception?],"&lt;&gt;Yes")</f>
        <v>4</v>
      </c>
      <c r="E10" s="4">
        <f>COUNTIFS(DailyCheck[Employee Name],A10,DailyCheck[Team],B10,DailyCheck[Required On-Site],"Yes",DailyCheck[Exception?],"Yes")</f>
        <v>4</v>
      </c>
      <c r="F10" s="4">
        <f t="shared" ca="1" si="0"/>
        <v>4</v>
      </c>
      <c r="G10" s="5">
        <f t="shared" ca="1" si="1"/>
        <v>1</v>
      </c>
      <c r="H10" s="6">
        <f t="shared" ca="1" si="2"/>
        <v>0.3</v>
      </c>
    </row>
    <row r="11" spans="1:11" ht="15">
      <c r="A11" s="3" t="s">
        <v>35</v>
      </c>
      <c r="B11" s="3" t="s">
        <v>29</v>
      </c>
      <c r="C11" s="9">
        <f ca="1">COUNTIFS(
    DailyCheck[Employee Name], A11,
    DailyCheck[Team], B11,
    DailyCheck[Required On-Site], "Yes",
    DailyCheck[Date], "&lt;=" &amp; TODAY()
)</f>
        <v>13</v>
      </c>
      <c r="D11" s="4">
        <f>COUNTIFS(DailyCheck[Employee Name],A11,DailyCheck[Team],B11,DailyCheck[Required On-Site],"Yes",DailyCheck[Manager Review],"On-Site",DailyCheck[Exception?],"&lt;&gt;Yes")</f>
        <v>9</v>
      </c>
      <c r="E11" s="4">
        <f>COUNTIFS(DailyCheck[Employee Name],A11,DailyCheck[Team],B11,DailyCheck[Required On-Site],"Yes",DailyCheck[Exception?],"Yes")</f>
        <v>4</v>
      </c>
      <c r="F11" s="4">
        <f t="shared" ca="1" si="0"/>
        <v>9</v>
      </c>
      <c r="G11" s="5">
        <f t="shared" ca="1" si="1"/>
        <v>1</v>
      </c>
      <c r="H11" s="6">
        <f t="shared" ca="1" si="2"/>
        <v>0.3</v>
      </c>
    </row>
    <row r="12" spans="1:11" ht="15">
      <c r="A12" s="3" t="s">
        <v>36</v>
      </c>
      <c r="B12" s="3" t="s">
        <v>29</v>
      </c>
      <c r="C12" s="9">
        <f ca="1">COUNTIFS(
    DailyCheck[Employee Name], A12,
    DailyCheck[Team], B12,
    DailyCheck[Required On-Site], "Yes",
    DailyCheck[Date], "&lt;=" &amp; TODAY()
)</f>
        <v>11</v>
      </c>
      <c r="D12" s="4">
        <f>COUNTIFS(DailyCheck[Employee Name],A12,DailyCheck[Team],B12,DailyCheck[Required On-Site],"Yes",DailyCheck[Manager Review],"On-Site",DailyCheck[Exception?],"&lt;&gt;Yes")</f>
        <v>5</v>
      </c>
      <c r="E12" s="4">
        <f>COUNTIFS(DailyCheck[Employee Name],A12,DailyCheck[Team],B12,DailyCheck[Required On-Site],"Yes",DailyCheck[Exception?],"Yes")</f>
        <v>7</v>
      </c>
      <c r="F12" s="4">
        <f t="shared" ca="1" si="0"/>
        <v>4</v>
      </c>
      <c r="G12" s="5">
        <f t="shared" ca="1" si="1"/>
        <v>1</v>
      </c>
      <c r="H12" s="6">
        <f t="shared" ca="1" si="2"/>
        <v>0.3</v>
      </c>
    </row>
    <row r="13" spans="1:11" ht="15">
      <c r="A13" s="3" t="s">
        <v>37</v>
      </c>
      <c r="B13" s="3" t="s">
        <v>29</v>
      </c>
      <c r="C13" s="9">
        <f ca="1">COUNTIFS(
    DailyCheck[Employee Name], A13,
    DailyCheck[Team], B13,
    DailyCheck[Required On-Site], "Yes",
    DailyCheck[Date], "&lt;=" &amp; TODAY()
)</f>
        <v>13</v>
      </c>
      <c r="D13" s="4">
        <f>COUNTIFS(DailyCheck[Employee Name],A13,DailyCheck[Team],B13,DailyCheck[Required On-Site],"Yes",DailyCheck[Manager Review],"On-Site",DailyCheck[Exception?],"&lt;&gt;Yes")</f>
        <v>11</v>
      </c>
      <c r="E13" s="4">
        <f>COUNTIFS(DailyCheck[Employee Name],A13,DailyCheck[Team],B13,DailyCheck[Required On-Site],"Yes",DailyCheck[Exception?],"Yes")</f>
        <v>3</v>
      </c>
      <c r="F13" s="4">
        <f t="shared" ca="1" si="0"/>
        <v>10</v>
      </c>
      <c r="G13" s="5">
        <f t="shared" ca="1" si="1"/>
        <v>1</v>
      </c>
      <c r="H13" s="6">
        <f t="shared" ca="1" si="2"/>
        <v>0.3</v>
      </c>
      <c r="J13" s="10"/>
    </row>
    <row r="14" spans="1:11" ht="15">
      <c r="A14" s="3" t="s">
        <v>38</v>
      </c>
      <c r="B14" s="3" t="s">
        <v>39</v>
      </c>
      <c r="C14" s="9">
        <f ca="1">COUNTIFS(
    DailyCheck[Employee Name], A14,
    DailyCheck[Team], B14,
    DailyCheck[Required On-Site], "Yes",
    DailyCheck[Date], "&lt;=" &amp; TODAY()
)</f>
        <v>11</v>
      </c>
      <c r="D14" s="4">
        <f>COUNTIFS(DailyCheck[Employee Name],A14,DailyCheck[Team],B14,DailyCheck[Required On-Site],"Yes",DailyCheck[Manager Review],"On-Site",DailyCheck[Exception?],"&lt;&gt;Yes")</f>
        <v>10</v>
      </c>
      <c r="E14" s="4">
        <f>COUNTIFS(DailyCheck[Employee Name],A14,DailyCheck[Team],B14,DailyCheck[Required On-Site],"Yes",DailyCheck[Exception?],"Yes")</f>
        <v>2</v>
      </c>
      <c r="F14" s="4">
        <f t="shared" ca="1" si="0"/>
        <v>9</v>
      </c>
      <c r="G14" s="5">
        <f t="shared" ca="1" si="1"/>
        <v>1</v>
      </c>
      <c r="H14" s="6">
        <f t="shared" ca="1" si="2"/>
        <v>0.3</v>
      </c>
    </row>
    <row r="15" spans="1:11" ht="15">
      <c r="A15" s="3" t="s">
        <v>41</v>
      </c>
      <c r="B15" s="3" t="s">
        <v>39</v>
      </c>
      <c r="C15" s="9">
        <f ca="1">COUNTIFS(
    DailyCheck[Employee Name], A15,
    DailyCheck[Team], B15,
    DailyCheck[Required On-Site], "Yes",
    DailyCheck[Date], "&lt;=" &amp; TODAY()
)</f>
        <v>12</v>
      </c>
      <c r="D15" s="4">
        <f>COUNTIFS(DailyCheck[Employee Name],A15,DailyCheck[Team],B15,DailyCheck[Required On-Site],"Yes",DailyCheck[Manager Review],"On-Site",DailyCheck[Exception?],"&lt;&gt;Yes")</f>
        <v>4</v>
      </c>
      <c r="E15" s="4">
        <f>COUNTIFS(DailyCheck[Employee Name],A15,DailyCheck[Team],B15,DailyCheck[Required On-Site],"Yes",DailyCheck[Exception?],"Yes")</f>
        <v>9</v>
      </c>
      <c r="F15" s="4">
        <f t="shared" ca="1" si="0"/>
        <v>3</v>
      </c>
      <c r="G15" s="5">
        <f t="shared" ca="1" si="1"/>
        <v>1</v>
      </c>
      <c r="H15" s="6">
        <f t="shared" ca="1" si="2"/>
        <v>0.3</v>
      </c>
    </row>
    <row r="16" spans="1:11" ht="15">
      <c r="A16" s="3" t="s">
        <v>42</v>
      </c>
      <c r="B16" s="3" t="s">
        <v>39</v>
      </c>
      <c r="C16" s="9">
        <f ca="1">COUNTIFS(
    DailyCheck[Employee Name], A16,
    DailyCheck[Team], B16,
    DailyCheck[Required On-Site], "Yes",
    DailyCheck[Date], "&lt;=" &amp; TODAY()
)</f>
        <v>13</v>
      </c>
      <c r="D16" s="4">
        <f>COUNTIFS(DailyCheck[Employee Name],A16,DailyCheck[Team],B16,DailyCheck[Required On-Site],"Yes",DailyCheck[Manager Review],"On-Site",DailyCheck[Exception?],"&lt;&gt;Yes")</f>
        <v>10</v>
      </c>
      <c r="E16" s="4">
        <f>COUNTIFS(DailyCheck[Employee Name],A16,DailyCheck[Team],B16,DailyCheck[Required On-Site],"Yes",DailyCheck[Exception?],"Yes")</f>
        <v>4</v>
      </c>
      <c r="F16" s="4">
        <f t="shared" ca="1" si="0"/>
        <v>9</v>
      </c>
      <c r="G16" s="5">
        <f t="shared" ca="1" si="1"/>
        <v>1</v>
      </c>
      <c r="H16" s="6">
        <f t="shared" ca="1" si="2"/>
        <v>0.3</v>
      </c>
    </row>
    <row r="17" spans="1:8" ht="15">
      <c r="A17" s="3" t="s">
        <v>43</v>
      </c>
      <c r="B17" s="3" t="s">
        <v>39</v>
      </c>
      <c r="C17" s="9">
        <f ca="1">COUNTIFS(
    DailyCheck[Employee Name], A17,
    DailyCheck[Team], B17,
    DailyCheck[Required On-Site], "Yes",
    DailyCheck[Date], "&lt;=" &amp; TODAY()
)</f>
        <v>12</v>
      </c>
      <c r="D17" s="4">
        <f>COUNTIFS(DailyCheck[Employee Name],A17,DailyCheck[Team],B17,DailyCheck[Required On-Site],"Yes",DailyCheck[Manager Review],"On-Site",DailyCheck[Exception?],"&lt;&gt;Yes")</f>
        <v>13</v>
      </c>
      <c r="E17" s="4">
        <f>COUNTIFS(DailyCheck[Employee Name],A17,DailyCheck[Team],B17,DailyCheck[Required On-Site],"Yes",DailyCheck[Exception?],"Yes")</f>
        <v>0</v>
      </c>
      <c r="F17" s="4">
        <f t="shared" ca="1" si="0"/>
        <v>12</v>
      </c>
      <c r="G17" s="5">
        <f t="shared" ca="1" si="1"/>
        <v>1</v>
      </c>
      <c r="H17" s="6">
        <f t="shared" ca="1" si="2"/>
        <v>0.3</v>
      </c>
    </row>
    <row r="18" spans="1:8" ht="15"/>
    <row r="19" spans="1:8" ht="15"/>
  </sheetData>
  <sheetProtection algorithmName="SHA-512" hashValue="2o4uDw3/2qqOZgWwX9oRLAt6byXMXvIQ0ANbdPy7KgxCpRWe6zLiRACnMarqQpwMAN9/e0v9jbpAOCeIRjlbAg==" saltValue="bgT8iiXZvfepPkRstX69XQ==" spinCount="100000" sheet="1" objects="1" scenarios="1"/>
  <conditionalFormatting sqref="G2:G17">
    <cfRule type="expression" dxfId="10" priority="2">
      <formula>$G2&gt;=0.9</formula>
    </cfRule>
    <cfRule type="expression" dxfId="9" priority="3">
      <formula>AND($G2&lt;0.9,$G2&gt;=0.8)</formula>
    </cfRule>
    <cfRule type="expression" dxfId="8" priority="4">
      <formula>$G2&lt;0.7</formula>
    </cfRule>
  </conditionalFormatting>
  <conditionalFormatting sqref="H19:H1048576 H1:H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showGridLines="0" zoomScale="85" zoomScaleNormal="85" workbookViewId="0">
      <selection sqref="A1:I1"/>
    </sheetView>
  </sheetViews>
  <sheetFormatPr defaultRowHeight="14.45"/>
  <cols>
    <col min="1" max="1" width="24" customWidth="1"/>
    <col min="2" max="4" width="22" customWidth="1"/>
    <col min="5" max="5" width="24" customWidth="1"/>
    <col min="6" max="6" width="16" customWidth="1"/>
    <col min="7" max="8" width="14" customWidth="1"/>
    <col min="9" max="9" width="12" customWidth="1"/>
  </cols>
  <sheetData>
    <row r="1" spans="1:9" ht="21">
      <c r="A1" s="21" t="s">
        <v>61</v>
      </c>
      <c r="B1" s="22"/>
      <c r="C1" s="22"/>
      <c r="D1" s="22"/>
      <c r="E1" s="22"/>
      <c r="F1" s="22"/>
      <c r="G1" s="22"/>
      <c r="H1" s="22"/>
      <c r="I1" s="22"/>
    </row>
    <row r="4" spans="1:9">
      <c r="A4" s="1" t="s">
        <v>62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63</v>
      </c>
      <c r="H4" s="1" t="s">
        <v>64</v>
      </c>
      <c r="I4" s="1" t="s">
        <v>65</v>
      </c>
    </row>
    <row r="5" spans="1:9">
      <c r="A5" s="3" t="s">
        <v>66</v>
      </c>
      <c r="B5" s="3">
        <v>12</v>
      </c>
      <c r="C5" s="3">
        <v>12</v>
      </c>
      <c r="D5" s="3">
        <v>0</v>
      </c>
      <c r="E5" s="4">
        <f t="shared" ref="E5:E11" si="0">MAX(B5-D5,0)</f>
        <v>12</v>
      </c>
      <c r="F5" s="5">
        <f t="shared" ref="F5:F11" si="1">IF(E5=0,"",MIN(C5/E5,1))</f>
        <v>1</v>
      </c>
      <c r="G5" s="8">
        <v>0.3</v>
      </c>
      <c r="H5" s="6">
        <f t="shared" ref="H5:H11" si="2">IF(F5="","",IF(F5&gt;=90%,30%,IF(F5&gt;=80%,15%,IF(F5&gt;=70%,10%,0%))))</f>
        <v>0.3</v>
      </c>
      <c r="I5" s="4" t="str">
        <f t="shared" ref="I5:I11" si="3">IF(G5=H5,"Pass","Check")</f>
        <v>Pass</v>
      </c>
    </row>
    <row r="6" spans="1:9">
      <c r="A6" s="3" t="s">
        <v>67</v>
      </c>
      <c r="B6" s="3">
        <v>12</v>
      </c>
      <c r="C6" s="3">
        <v>11</v>
      </c>
      <c r="D6" s="3">
        <v>1</v>
      </c>
      <c r="E6" s="4">
        <f t="shared" si="0"/>
        <v>11</v>
      </c>
      <c r="F6" s="5">
        <f t="shared" si="1"/>
        <v>1</v>
      </c>
      <c r="G6" s="8">
        <v>0.3</v>
      </c>
      <c r="H6" s="6">
        <f t="shared" si="2"/>
        <v>0.3</v>
      </c>
      <c r="I6" s="4" t="str">
        <f t="shared" si="3"/>
        <v>Pass</v>
      </c>
    </row>
    <row r="7" spans="1:9">
      <c r="A7" s="3" t="s">
        <v>68</v>
      </c>
      <c r="B7" s="3">
        <v>12</v>
      </c>
      <c r="C7" s="3">
        <v>10</v>
      </c>
      <c r="D7" s="3">
        <v>0</v>
      </c>
      <c r="E7" s="4">
        <f t="shared" si="0"/>
        <v>12</v>
      </c>
      <c r="F7" s="5">
        <f t="shared" si="1"/>
        <v>0.83333333333333337</v>
      </c>
      <c r="G7" s="8">
        <v>0.15</v>
      </c>
      <c r="H7" s="6">
        <f t="shared" si="2"/>
        <v>0.15</v>
      </c>
      <c r="I7" s="4" t="str">
        <f t="shared" si="3"/>
        <v>Pass</v>
      </c>
    </row>
    <row r="8" spans="1:9">
      <c r="A8" s="3" t="s">
        <v>69</v>
      </c>
      <c r="B8" s="3">
        <v>12</v>
      </c>
      <c r="C8" s="3">
        <v>8</v>
      </c>
      <c r="D8" s="3">
        <v>0</v>
      </c>
      <c r="E8" s="4">
        <f t="shared" si="0"/>
        <v>12</v>
      </c>
      <c r="F8" s="5">
        <f t="shared" si="1"/>
        <v>0.66666666666666663</v>
      </c>
      <c r="G8" s="8">
        <v>0</v>
      </c>
      <c r="H8" s="6">
        <f t="shared" si="2"/>
        <v>0</v>
      </c>
      <c r="I8" s="4" t="str">
        <f t="shared" si="3"/>
        <v>Pass</v>
      </c>
    </row>
    <row r="9" spans="1:9">
      <c r="A9" s="3" t="s">
        <v>70</v>
      </c>
      <c r="B9" s="3">
        <v>10</v>
      </c>
      <c r="C9" s="3">
        <v>9</v>
      </c>
      <c r="D9" s="3">
        <v>0</v>
      </c>
      <c r="E9" s="4">
        <f t="shared" si="0"/>
        <v>10</v>
      </c>
      <c r="F9" s="5">
        <f t="shared" si="1"/>
        <v>0.9</v>
      </c>
      <c r="G9" s="8">
        <v>0.3</v>
      </c>
      <c r="H9" s="6">
        <f t="shared" si="2"/>
        <v>0.3</v>
      </c>
      <c r="I9" s="4" t="str">
        <f t="shared" si="3"/>
        <v>Pass</v>
      </c>
    </row>
    <row r="10" spans="1:9">
      <c r="A10" s="3" t="s">
        <v>71</v>
      </c>
      <c r="B10" s="3">
        <v>10</v>
      </c>
      <c r="C10" s="3">
        <v>8</v>
      </c>
      <c r="D10" s="3">
        <v>0</v>
      </c>
      <c r="E10" s="4">
        <f t="shared" si="0"/>
        <v>10</v>
      </c>
      <c r="F10" s="5">
        <f t="shared" si="1"/>
        <v>0.8</v>
      </c>
      <c r="G10" s="8">
        <v>0.15</v>
      </c>
      <c r="H10" s="6">
        <f t="shared" si="2"/>
        <v>0.15</v>
      </c>
      <c r="I10" s="4" t="str">
        <f t="shared" si="3"/>
        <v>Pass</v>
      </c>
    </row>
    <row r="11" spans="1:9">
      <c r="A11" s="3" t="s">
        <v>72</v>
      </c>
      <c r="B11" s="3">
        <v>10</v>
      </c>
      <c r="C11" s="3">
        <v>7</v>
      </c>
      <c r="D11" s="3">
        <v>0</v>
      </c>
      <c r="E11" s="4">
        <f t="shared" si="0"/>
        <v>10</v>
      </c>
      <c r="F11" s="5">
        <f t="shared" si="1"/>
        <v>0.7</v>
      </c>
      <c r="G11" s="8">
        <v>0.1</v>
      </c>
      <c r="H11" s="6">
        <f t="shared" si="2"/>
        <v>0.1</v>
      </c>
      <c r="I11" s="4" t="str">
        <f t="shared" si="3"/>
        <v>Pass</v>
      </c>
    </row>
  </sheetData>
  <mergeCells count="1">
    <mergeCell ref="A1:I1"/>
  </mergeCells>
  <conditionalFormatting sqref="I5:I11">
    <cfRule type="expression" dxfId="1" priority="1">
      <formula>$I5="Pass"</formula>
    </cfRule>
    <cfRule type="expression" dxfId="0" priority="2">
      <formula>$I5="Check"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5"/>
  <sheetData>
    <row r="1" spans="1:3">
      <c r="A1" t="s">
        <v>73</v>
      </c>
      <c r="B1" t="s">
        <v>74</v>
      </c>
      <c r="C1" t="s">
        <v>75</v>
      </c>
    </row>
    <row r="2" spans="1:3">
      <c r="A2" t="s">
        <v>16</v>
      </c>
      <c r="B2" t="s">
        <v>18</v>
      </c>
      <c r="C2" t="s">
        <v>16</v>
      </c>
    </row>
    <row r="3" spans="1:3">
      <c r="A3" t="s">
        <v>14</v>
      </c>
      <c r="B3" t="s">
        <v>19</v>
      </c>
      <c r="C3" t="s">
        <v>14</v>
      </c>
    </row>
    <row r="4" spans="1:3">
      <c r="B4" t="s">
        <v>15</v>
      </c>
      <c r="C4" t="s">
        <v>76</v>
      </c>
    </row>
    <row r="5" spans="1:3">
      <c r="B5" t="s">
        <v>27</v>
      </c>
    </row>
    <row r="6" spans="1:3">
      <c r="B6" t="s">
        <v>77</v>
      </c>
    </row>
    <row r="7" spans="1:3">
      <c r="B7" t="s">
        <v>26</v>
      </c>
    </row>
    <row r="8" spans="1:3">
      <c r="B8" t="s">
        <v>78</v>
      </c>
    </row>
    <row r="9" spans="1:3">
      <c r="B9" t="s">
        <v>17</v>
      </c>
    </row>
    <row r="10" spans="1:3">
      <c r="B10" t="s">
        <v>79</v>
      </c>
    </row>
    <row r="11" spans="1:3">
      <c r="B11" t="s">
        <v>80</v>
      </c>
    </row>
    <row r="12" spans="1:3">
      <c r="B12" t="s">
        <v>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9A3843435C98448DDDBB617AEABBB0" ma:contentTypeVersion="14" ma:contentTypeDescription="Create a new document." ma:contentTypeScope="" ma:versionID="8fa7374002ef148184fcd254132e9339">
  <xsd:schema xmlns:xsd="http://www.w3.org/2001/XMLSchema" xmlns:xs="http://www.w3.org/2001/XMLSchema" xmlns:p="http://schemas.microsoft.com/office/2006/metadata/properties" xmlns:ns2="3f5a69d0-e1ac-4b3f-83fc-166928e16781" xmlns:ns3="e8c3ca2b-5fce-4a9b-a347-41567bd26e83" targetNamespace="http://schemas.microsoft.com/office/2006/metadata/properties" ma:root="true" ma:fieldsID="f7375f114d7a313394bd15f2f175ab41" ns2:_="" ns3:_="">
    <xsd:import namespace="3f5a69d0-e1ac-4b3f-83fc-166928e16781"/>
    <xsd:import namespace="e8c3ca2b-5fce-4a9b-a347-41567bd26e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a69d0-e1ac-4b3f-83fc-166928e167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3ca2b-5fce-4a9b-a347-41567bd26e8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07b69f-5ba5-43e0-9f94-2a93b7af0a3b}" ma:internalName="TaxCatchAll" ma:showField="CatchAllData" ma:web="e8c3ca2b-5fce-4a9b-a347-41567bd26e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c3ca2b-5fce-4a9b-a347-41567bd26e83" xsi:nil="true"/>
    <lcf76f155ced4ddcb4097134ff3c332f xmlns="3f5a69d0-e1ac-4b3f-83fc-166928e167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A189C4-1D35-43D0-8301-6BDB0FA3DEF5}"/>
</file>

<file path=customXml/itemProps2.xml><?xml version="1.0" encoding="utf-8"?>
<ds:datastoreItem xmlns:ds="http://schemas.openxmlformats.org/officeDocument/2006/customXml" ds:itemID="{62FC3A15-D0EB-43CA-9CAC-8C85CC5513BD}"/>
</file>

<file path=customXml/itemProps3.xml><?xml version="1.0" encoding="utf-8"?>
<ds:datastoreItem xmlns:ds="http://schemas.openxmlformats.org/officeDocument/2006/customXml" ds:itemID="{D223035A-C746-4C97-AA57-058BEA6A032A}"/>
</file>

<file path=docMetadata/LabelInfo.xml><?xml version="1.0" encoding="utf-8"?>
<clbl:labelList xmlns:clbl="http://schemas.microsoft.com/office/2020/mipLabelMetadata">
  <clbl:label id="{e760c494-6550-44b4-8258-77c175d778b7}" enabled="1" method="Standar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Shehata, Eslam</dc:creator>
  <cp:keywords/>
  <dc:description/>
  <cp:lastModifiedBy>Khodir, Omar</cp:lastModifiedBy>
  <cp:revision/>
  <dcterms:created xsi:type="dcterms:W3CDTF">2026-07-15T12:22:20Z</dcterms:created>
  <dcterms:modified xsi:type="dcterms:W3CDTF">2026-09-29T12:21:24Z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0x010100259A3843435C98448DDDBB617AEABBB0</vt:lpwstr>
  </property>
  <property fmtid="{D5CDD505-2E9C-101B-9397-08002B2CF9AE}" pid="3" name="MediaServiceImageTags">
    <vt:lpwstr/>
  </property>
</Properties>
</file>